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pivotTables/pivotTable1.xml" ContentType="application/vnd.openxmlformats-officedocument.spreadsheetml.pivotTable+xml"/>
  <Override PartName="/xl/drawings/drawing10.xml" ContentType="application/vnd.openxmlformats-officedocument.drawing+xml"/>
  <Override PartName="/xl/activeX/activeX28.xml" ContentType="application/vnd.ms-office.activeX+xml"/>
  <Override PartName="/xl/activeX/activeX28.bin" ContentType="application/vnd.ms-office.activeX"/>
  <Override PartName="/xl/drawings/drawing11.xml" ContentType="application/vnd.openxmlformats-officedocument.drawing+xml"/>
  <Override PartName="/xl/drawings/drawing1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drawings/drawing13.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hidePivotFieldList="1" defaultThemeVersion="124226"/>
  <mc:AlternateContent xmlns:mc="http://schemas.openxmlformats.org/markup-compatibility/2006">
    <mc:Choice Requires="x15">
      <x15ac:absPath xmlns:x15ac="http://schemas.microsoft.com/office/spreadsheetml/2010/11/ac" url="C:\Users\1742699\Documents\Elvis Miguel Mieles Guarin\2-CONFIDENCIAL PERSONAL\Reto TCS API REST\AUT_CrudReto_1742699_1266078\Documentacion\"/>
    </mc:Choice>
  </mc:AlternateContent>
  <bookViews>
    <workbookView xWindow="0" yWindow="0" windowWidth="24000" windowHeight="9730" tabRatio="619" firstSheet="2" activeTab="3"/>
  </bookViews>
  <sheets>
    <sheet name="Parametros" sheetId="12" state="hidden" r:id="rId1"/>
    <sheet name="Planeación" sheetId="1" state="hidden" r:id="rId2"/>
    <sheet name="SprintPlaning" sheetId="20" r:id="rId3"/>
    <sheet name="Diseño" sheetId="2" r:id="rId4"/>
    <sheet name="Diseño Técnico" sheetId="11" state="hidden" r:id="rId5"/>
    <sheet name="G. de Incidentes" sheetId="10" r:id="rId6"/>
    <sheet name="Avance Agil" sheetId="21" r:id="rId7"/>
    <sheet name="Evidencias" sheetId="3" state="hidden" r:id="rId8"/>
    <sheet name="Avance" sheetId="8" state="hidden" r:id="rId9"/>
    <sheet name="Carta de Certificación" sheetId="6" r:id="rId10"/>
    <sheet name="Matriz_Trazabilidad" sheetId="16" state="hidden" r:id="rId11"/>
    <sheet name="SharePoint" sheetId="17" state="hidden" r:id="rId12"/>
    <sheet name="Inf. Ambiente" sheetId="18" state="hidden" r:id="rId13"/>
    <sheet name="Param_General" sheetId="9" state="hidden" r:id="rId14"/>
    <sheet name="TiemposRendimiento" sheetId="19" state="hidden" r:id="rId15"/>
  </sheets>
  <definedNames>
    <definedName name="_xlnm._FilterDatabase" localSheetId="5" hidden="1">'G. de Incidentes'!$N$16:$O$17</definedName>
    <definedName name="aplicaincidente">Param_General!$AD$3</definedName>
    <definedName name="Complejidad">Param_General!$R$3</definedName>
    <definedName name="dedicacion">Param_General!$AF$3</definedName>
    <definedName name="estados">Planeación!$V$2:$V$5</definedName>
    <definedName name="etapa">Param_General!$Z$3</definedName>
    <definedName name="FASE_TERMINADA">Planeación!$A$2:$A$3</definedName>
    <definedName name="funcionalidades">Param_General!$B$12</definedName>
    <definedName name="icoa">Param_General!$B$17</definedName>
    <definedName name="naturaleza">Param_General!$AH$3</definedName>
    <definedName name="_xlnm.Print_Area" localSheetId="9">'Carta de Certificación'!$A$1:$J$31</definedName>
    <definedName name="prioridad">Param_General!$AB$3</definedName>
    <definedName name="proveedor">Param_General!$AI$3</definedName>
    <definedName name="reabiertos">Param_General!$AL$3</definedName>
    <definedName name="rutacritica">Param_General!$X$3</definedName>
    <definedName name="tipo">Param_General!$AJ$3</definedName>
    <definedName name="tipoaplicacion">Param_General!$B$10</definedName>
    <definedName name="TipoRQ">Param_General!$J$3</definedName>
    <definedName name="tipospruebas">Param_General!$B$15</definedName>
  </definedNames>
  <calcPr calcId="162913"/>
  <pivotCaches>
    <pivotCache cacheId="3" r:id="rId16"/>
  </pivotCaches>
</workbook>
</file>

<file path=xl/calcChain.xml><?xml version="1.0" encoding="utf-8"?>
<calcChain xmlns="http://schemas.openxmlformats.org/spreadsheetml/2006/main">
  <c r="B14" i="6" l="1"/>
  <c r="B12" i="6"/>
  <c r="L8" i="2" l="1"/>
  <c r="M8" i="2"/>
  <c r="I7" i="2" l="1"/>
  <c r="C23" i="21" l="1"/>
  <c r="T25" i="21"/>
  <c r="G12" i="21" l="1"/>
  <c r="K46" i="9"/>
  <c r="J46" i="9"/>
  <c r="H46" i="9"/>
  <c r="G46" i="9"/>
  <c r="F46" i="9"/>
  <c r="D46" i="9"/>
  <c r="C46" i="9"/>
  <c r="K45" i="9"/>
  <c r="J45" i="9"/>
  <c r="H45" i="9"/>
  <c r="G45" i="9"/>
  <c r="F45" i="9"/>
  <c r="D45" i="9"/>
  <c r="C45" i="9"/>
  <c r="K44" i="9"/>
  <c r="J44" i="9"/>
  <c r="H44" i="9"/>
  <c r="G44" i="9"/>
  <c r="F44" i="9"/>
  <c r="D44" i="9"/>
  <c r="C44" i="9"/>
  <c r="K43" i="9"/>
  <c r="J43" i="9"/>
  <c r="H43" i="9"/>
  <c r="G43" i="9"/>
  <c r="F43" i="9"/>
  <c r="D43" i="9"/>
  <c r="C43" i="9"/>
  <c r="C74" i="9" l="1"/>
  <c r="E12" i="21" s="1"/>
  <c r="B88" i="9"/>
  <c r="G88" i="9" s="1"/>
  <c r="B89" i="9"/>
  <c r="B90" i="9"/>
  <c r="B87" i="9"/>
  <c r="B66" i="9"/>
  <c r="AH66" i="9" l="1"/>
  <c r="Z66" i="9"/>
  <c r="Q66" i="9"/>
  <c r="L66" i="9"/>
  <c r="G66" i="9"/>
  <c r="AA66" i="9"/>
  <c r="H66" i="9"/>
  <c r="AE66" i="9"/>
  <c r="V66" i="9"/>
  <c r="P66" i="9"/>
  <c r="K66" i="9"/>
  <c r="F66" i="9"/>
  <c r="M66" i="9"/>
  <c r="C66" i="9"/>
  <c r="AC66" i="9"/>
  <c r="T66" i="9"/>
  <c r="O66" i="9"/>
  <c r="I66" i="9"/>
  <c r="D66" i="9"/>
  <c r="S66" i="9"/>
  <c r="AA90" i="9"/>
  <c r="L38" i="21" s="1"/>
  <c r="S90" i="9"/>
  <c r="L37" i="21" s="1"/>
  <c r="O90" i="9"/>
  <c r="M40" i="21" s="1"/>
  <c r="I90" i="9"/>
  <c r="M39" i="21" s="1"/>
  <c r="D90" i="9"/>
  <c r="M36" i="21" s="1"/>
  <c r="Z90" i="9"/>
  <c r="O37" i="21" s="1"/>
  <c r="AH90" i="9"/>
  <c r="O38" i="21" s="1"/>
  <c r="M90" i="9"/>
  <c r="L40" i="21" s="1"/>
  <c r="H90" i="9"/>
  <c r="L39" i="21" s="1"/>
  <c r="C90" i="9"/>
  <c r="L36" i="21" s="1"/>
  <c r="AE90" i="9"/>
  <c r="N38" i="21" s="1"/>
  <c r="V90" i="9"/>
  <c r="N37" i="21" s="1"/>
  <c r="Q90" i="9"/>
  <c r="O40" i="21" s="1"/>
  <c r="L90" i="9"/>
  <c r="O39" i="21" s="1"/>
  <c r="G90" i="9"/>
  <c r="O36" i="21" s="1"/>
  <c r="F79" i="9"/>
  <c r="J19" i="21" s="1"/>
  <c r="AC90" i="9"/>
  <c r="M38" i="21" s="1"/>
  <c r="T90" i="9"/>
  <c r="M37" i="21" s="1"/>
  <c r="P90" i="9"/>
  <c r="N40" i="21" s="1"/>
  <c r="K90" i="9"/>
  <c r="N39" i="21" s="1"/>
  <c r="F90" i="9"/>
  <c r="N36" i="21" s="1"/>
  <c r="C89" i="9"/>
  <c r="D36" i="21" s="1"/>
  <c r="H87" i="9"/>
  <c r="D30" i="21" s="1"/>
  <c r="C77" i="9"/>
  <c r="H17" i="21" s="1"/>
  <c r="P89" i="9"/>
  <c r="F40" i="21" s="1"/>
  <c r="V89" i="9"/>
  <c r="F37" i="21" s="1"/>
  <c r="AA89" i="9"/>
  <c r="D38" i="21" s="1"/>
  <c r="AE89" i="9"/>
  <c r="F38" i="21" s="1"/>
  <c r="H89" i="9"/>
  <c r="D39" i="21" s="1"/>
  <c r="L89" i="9"/>
  <c r="H39" i="21" s="1"/>
  <c r="Q89" i="9"/>
  <c r="H40" i="21" s="1"/>
  <c r="O89" i="9"/>
  <c r="E40" i="21" s="1"/>
  <c r="AC89" i="9"/>
  <c r="E38" i="21" s="1"/>
  <c r="AH89" i="9"/>
  <c r="H38" i="21" s="1"/>
  <c r="I89" i="9"/>
  <c r="E39" i="21" s="1"/>
  <c r="S89" i="9"/>
  <c r="D37" i="21" s="1"/>
  <c r="D89" i="9"/>
  <c r="E36" i="21" s="1"/>
  <c r="T89" i="9"/>
  <c r="E37" i="21" s="1"/>
  <c r="Z89" i="9"/>
  <c r="H37" i="21" s="1"/>
  <c r="K89" i="9"/>
  <c r="F39" i="21" s="1"/>
  <c r="F89" i="9"/>
  <c r="F36" i="21" s="1"/>
  <c r="M89" i="9"/>
  <c r="D40" i="21" s="1"/>
  <c r="G89" i="9"/>
  <c r="H36" i="21" s="1"/>
  <c r="D88" i="9"/>
  <c r="M27" i="21" s="1"/>
  <c r="M88" i="9"/>
  <c r="L31" i="21" s="1"/>
  <c r="AA88" i="9"/>
  <c r="L29" i="21" s="1"/>
  <c r="AE88" i="9"/>
  <c r="N29" i="21" s="1"/>
  <c r="H88" i="9"/>
  <c r="L30" i="21" s="1"/>
  <c r="I88" i="9"/>
  <c r="M30" i="21" s="1"/>
  <c r="P88" i="9"/>
  <c r="N31" i="21" s="1"/>
  <c r="S88" i="9"/>
  <c r="L28" i="21" s="1"/>
  <c r="V88" i="9"/>
  <c r="N28" i="21" s="1"/>
  <c r="L88" i="9"/>
  <c r="O30" i="21" s="1"/>
  <c r="O27" i="21"/>
  <c r="Q88" i="9"/>
  <c r="O31" i="21" s="1"/>
  <c r="T88" i="9"/>
  <c r="M28" i="21" s="1"/>
  <c r="O88" i="9"/>
  <c r="M31" i="21" s="1"/>
  <c r="Z88" i="9"/>
  <c r="O28" i="21" s="1"/>
  <c r="AC88" i="9"/>
  <c r="M29" i="21" s="1"/>
  <c r="K88" i="9"/>
  <c r="N30" i="21" s="1"/>
  <c r="AH88" i="9"/>
  <c r="O29" i="21" s="1"/>
  <c r="F88" i="9"/>
  <c r="N27" i="21" s="1"/>
  <c r="C88" i="9"/>
  <c r="L27" i="21" s="1"/>
  <c r="S87" i="9"/>
  <c r="D28" i="21" s="1"/>
  <c r="M87" i="9"/>
  <c r="D31" i="21" s="1"/>
  <c r="L87" i="9"/>
  <c r="H30" i="21" s="1"/>
  <c r="G87" i="9"/>
  <c r="H27" i="21" s="1"/>
  <c r="D87" i="9"/>
  <c r="E27" i="21" s="1"/>
  <c r="V87" i="9"/>
  <c r="F28" i="21" s="1"/>
  <c r="AE87" i="9"/>
  <c r="F29" i="21" s="1"/>
  <c r="Q87" i="9"/>
  <c r="O87" i="9"/>
  <c r="E31" i="21" s="1"/>
  <c r="AC87" i="9"/>
  <c r="E29" i="21" s="1"/>
  <c r="AH87" i="9"/>
  <c r="H29" i="21" s="1"/>
  <c r="I87" i="9"/>
  <c r="E30" i="21" s="1"/>
  <c r="P87" i="9"/>
  <c r="F31" i="21" s="1"/>
  <c r="AA87" i="9"/>
  <c r="D29" i="21" s="1"/>
  <c r="T87" i="9"/>
  <c r="E28" i="21" s="1"/>
  <c r="Z87" i="9"/>
  <c r="H28" i="21" s="1"/>
  <c r="K87" i="9"/>
  <c r="F30" i="21" s="1"/>
  <c r="F87" i="9"/>
  <c r="F27" i="21" s="1"/>
  <c r="C87" i="9"/>
  <c r="D27" i="21" s="1"/>
  <c r="C12" i="21"/>
  <c r="H78" i="9"/>
  <c r="L18" i="21" s="1"/>
  <c r="J78" i="9"/>
  <c r="M18" i="21" s="1"/>
  <c r="G78" i="9"/>
  <c r="K18" i="21" s="1"/>
  <c r="K78" i="9"/>
  <c r="N18" i="21" s="1"/>
  <c r="F78" i="9"/>
  <c r="J18" i="21" s="1"/>
  <c r="D78" i="9"/>
  <c r="I18" i="21" s="1"/>
  <c r="C78" i="9"/>
  <c r="H18" i="21" s="1"/>
  <c r="H77" i="9"/>
  <c r="L17" i="21" s="1"/>
  <c r="J77" i="9"/>
  <c r="M17" i="21" s="1"/>
  <c r="G77" i="9"/>
  <c r="K17" i="21" s="1"/>
  <c r="K77" i="9"/>
  <c r="N17" i="21" s="1"/>
  <c r="F77" i="9"/>
  <c r="J17" i="21" s="1"/>
  <c r="D77" i="9"/>
  <c r="I17" i="21" s="1"/>
  <c r="C80" i="9"/>
  <c r="H20" i="21" s="1"/>
  <c r="H80" i="9"/>
  <c r="L20" i="21" s="1"/>
  <c r="J80" i="9"/>
  <c r="M20" i="21" s="1"/>
  <c r="G80" i="9"/>
  <c r="K20" i="21" s="1"/>
  <c r="K80" i="9"/>
  <c r="N20" i="21" s="1"/>
  <c r="F80" i="9"/>
  <c r="J20" i="21" s="1"/>
  <c r="D80" i="9"/>
  <c r="I20" i="21" s="1"/>
  <c r="D12" i="21"/>
  <c r="K12" i="21" s="1"/>
  <c r="H79" i="9"/>
  <c r="L19" i="21" s="1"/>
  <c r="J79" i="9"/>
  <c r="M19" i="21" s="1"/>
  <c r="G79" i="9"/>
  <c r="K19" i="21" s="1"/>
  <c r="K79" i="9"/>
  <c r="N19" i="21" s="1"/>
  <c r="D79" i="9"/>
  <c r="I19" i="21" s="1"/>
  <c r="C79" i="9"/>
  <c r="H19" i="21" s="1"/>
  <c r="F12" i="21" l="1"/>
  <c r="M12" i="21" s="1"/>
  <c r="H41" i="21"/>
  <c r="N32" i="21"/>
  <c r="F41" i="21"/>
  <c r="E41" i="21"/>
  <c r="P30" i="21"/>
  <c r="M32" i="21"/>
  <c r="L32" i="21"/>
  <c r="P27" i="21"/>
  <c r="P28" i="21"/>
  <c r="P31" i="21"/>
  <c r="O32" i="21"/>
  <c r="P29" i="21"/>
  <c r="I40" i="21"/>
  <c r="D41" i="21"/>
  <c r="O17" i="21"/>
  <c r="G81" i="9"/>
  <c r="AC91" i="9"/>
  <c r="K91" i="9"/>
  <c r="J81" i="9"/>
  <c r="F32" i="21"/>
  <c r="I27" i="21"/>
  <c r="D32" i="21"/>
  <c r="Q91" i="9"/>
  <c r="H31" i="21"/>
  <c r="H32" i="21" s="1"/>
  <c r="AE91" i="9"/>
  <c r="I29" i="21"/>
  <c r="E32" i="21"/>
  <c r="I28" i="21"/>
  <c r="I30" i="21"/>
  <c r="F91" i="9"/>
  <c r="H21" i="21"/>
  <c r="P17" i="21"/>
  <c r="F81" i="9"/>
  <c r="H81" i="9"/>
  <c r="O20" i="21"/>
  <c r="I21" i="21"/>
  <c r="M21" i="21"/>
  <c r="O18" i="21"/>
  <c r="I12" i="21"/>
  <c r="L12" i="21" s="1"/>
  <c r="J12" i="21"/>
  <c r="K81" i="9"/>
  <c r="N21" i="21"/>
  <c r="P91" i="9"/>
  <c r="C91" i="9"/>
  <c r="AA91" i="9"/>
  <c r="Z91" i="9"/>
  <c r="I91" i="9"/>
  <c r="L91" i="9"/>
  <c r="AH91" i="9"/>
  <c r="S91" i="9"/>
  <c r="O91" i="9"/>
  <c r="G91" i="9"/>
  <c r="H91" i="9"/>
  <c r="D91" i="9"/>
  <c r="M91" i="9"/>
  <c r="T91" i="9"/>
  <c r="V91" i="9"/>
  <c r="W91" i="9"/>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1"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H590" i="10"/>
  <c r="H591" i="10"/>
  <c r="H592" i="10"/>
  <c r="H593" i="10"/>
  <c r="H594" i="10"/>
  <c r="H595" i="10"/>
  <c r="H596" i="10"/>
  <c r="H597" i="10"/>
  <c r="H598" i="10"/>
  <c r="H599" i="10"/>
  <c r="H600" i="10"/>
  <c r="H601" i="10"/>
  <c r="H602" i="10"/>
  <c r="H603" i="10"/>
  <c r="H604" i="10"/>
  <c r="H605" i="10"/>
  <c r="H606" i="10"/>
  <c r="H607" i="10"/>
  <c r="H608" i="10"/>
  <c r="H609" i="10"/>
  <c r="H610" i="10"/>
  <c r="H611" i="10"/>
  <c r="H612" i="10"/>
  <c r="H613" i="10"/>
  <c r="H614" i="10"/>
  <c r="H615" i="10"/>
  <c r="H616" i="10"/>
  <c r="H617" i="10"/>
  <c r="H618" i="10"/>
  <c r="H619" i="10"/>
  <c r="H620" i="10"/>
  <c r="H621" i="10"/>
  <c r="H622" i="10"/>
  <c r="H623" i="10"/>
  <c r="H624" i="10"/>
  <c r="H625" i="10"/>
  <c r="H626" i="10"/>
  <c r="H627" i="10"/>
  <c r="H628" i="10"/>
  <c r="H629" i="10"/>
  <c r="H630" i="10"/>
  <c r="H631" i="10"/>
  <c r="H632" i="10"/>
  <c r="H633" i="10"/>
  <c r="H634" i="10"/>
  <c r="H635" i="10"/>
  <c r="H636" i="10"/>
  <c r="H637" i="10"/>
  <c r="H638" i="10"/>
  <c r="H639" i="10"/>
  <c r="H640" i="10"/>
  <c r="H641" i="10"/>
  <c r="H642" i="10"/>
  <c r="H643" i="10"/>
  <c r="H644" i="10"/>
  <c r="H645" i="10"/>
  <c r="H646" i="10"/>
  <c r="H647" i="10"/>
  <c r="H648" i="10"/>
  <c r="H649" i="10"/>
  <c r="H650" i="10"/>
  <c r="H651" i="10"/>
  <c r="H652" i="10"/>
  <c r="H653" i="10"/>
  <c r="H654" i="10"/>
  <c r="H655" i="10"/>
  <c r="H656" i="10"/>
  <c r="H657" i="10"/>
  <c r="H658" i="10"/>
  <c r="H659" i="10"/>
  <c r="H660" i="10"/>
  <c r="H661" i="10"/>
  <c r="H662" i="10"/>
  <c r="H663" i="10"/>
  <c r="H664" i="10"/>
  <c r="H665" i="10"/>
  <c r="H666" i="10"/>
  <c r="H667" i="10"/>
  <c r="H668" i="10"/>
  <c r="H669" i="10"/>
  <c r="H670" i="10"/>
  <c r="H671" i="10"/>
  <c r="H672" i="10"/>
  <c r="H673" i="10"/>
  <c r="H674" i="10"/>
  <c r="H675" i="10"/>
  <c r="H676" i="10"/>
  <c r="H677" i="10"/>
  <c r="H678" i="10"/>
  <c r="H679" i="10"/>
  <c r="H680" i="10"/>
  <c r="H681" i="10"/>
  <c r="H682" i="10"/>
  <c r="H683" i="10"/>
  <c r="H684" i="10"/>
  <c r="H685" i="10"/>
  <c r="H686" i="10"/>
  <c r="H687" i="10"/>
  <c r="H688" i="10"/>
  <c r="H689" i="10"/>
  <c r="H690" i="10"/>
  <c r="H691" i="10"/>
  <c r="H692" i="10"/>
  <c r="H693" i="10"/>
  <c r="H694" i="10"/>
  <c r="H695" i="10"/>
  <c r="H696" i="10"/>
  <c r="H697" i="10"/>
  <c r="H698" i="10"/>
  <c r="H699" i="10"/>
  <c r="H700" i="10"/>
  <c r="H701" i="10"/>
  <c r="H702" i="10"/>
  <c r="H703" i="10"/>
  <c r="H704" i="10"/>
  <c r="H705" i="10"/>
  <c r="H706" i="10"/>
  <c r="H707" i="10"/>
  <c r="H708" i="10"/>
  <c r="H709" i="10"/>
  <c r="H710" i="10"/>
  <c r="H711" i="10"/>
  <c r="H712" i="10"/>
  <c r="H713" i="10"/>
  <c r="H714" i="10"/>
  <c r="H715" i="10"/>
  <c r="H716" i="10"/>
  <c r="H717" i="10"/>
  <c r="H718" i="10"/>
  <c r="H719" i="10"/>
  <c r="H720" i="10"/>
  <c r="H721" i="10"/>
  <c r="H722" i="10"/>
  <c r="H723" i="10"/>
  <c r="H724" i="10"/>
  <c r="H725" i="10"/>
  <c r="H726" i="10"/>
  <c r="H727" i="10"/>
  <c r="H728" i="10"/>
  <c r="H729" i="10"/>
  <c r="H730" i="10"/>
  <c r="H731" i="10"/>
  <c r="H732" i="10"/>
  <c r="H733" i="10"/>
  <c r="H734" i="10"/>
  <c r="H735" i="10"/>
  <c r="H736" i="10"/>
  <c r="H737" i="10"/>
  <c r="H738" i="10"/>
  <c r="H739" i="10"/>
  <c r="H740" i="10"/>
  <c r="H741" i="10"/>
  <c r="H742" i="10"/>
  <c r="H743" i="10"/>
  <c r="H744" i="10"/>
  <c r="H745" i="10"/>
  <c r="H746" i="10"/>
  <c r="H747" i="10"/>
  <c r="H748" i="10"/>
  <c r="H749" i="10"/>
  <c r="H750" i="10"/>
  <c r="H751" i="10"/>
  <c r="H752" i="10"/>
  <c r="H753" i="10"/>
  <c r="H754" i="10"/>
  <c r="H755" i="10"/>
  <c r="H756" i="10"/>
  <c r="H757" i="10"/>
  <c r="H758" i="10"/>
  <c r="H759" i="10"/>
  <c r="H760" i="10"/>
  <c r="H761" i="10"/>
  <c r="H762" i="10"/>
  <c r="H763" i="10"/>
  <c r="H764" i="10"/>
  <c r="H765" i="10"/>
  <c r="H766" i="10"/>
  <c r="H767" i="10"/>
  <c r="H768" i="10"/>
  <c r="H769" i="10"/>
  <c r="H770" i="10"/>
  <c r="H771" i="10"/>
  <c r="H772" i="10"/>
  <c r="H773" i="10"/>
  <c r="H774" i="10"/>
  <c r="H775" i="10"/>
  <c r="H776" i="10"/>
  <c r="H777" i="10"/>
  <c r="H778" i="10"/>
  <c r="H779" i="10"/>
  <c r="H780" i="10"/>
  <c r="H781" i="10"/>
  <c r="H782" i="10"/>
  <c r="H783" i="10"/>
  <c r="H784" i="10"/>
  <c r="H785" i="10"/>
  <c r="H786" i="10"/>
  <c r="H787" i="10"/>
  <c r="H788" i="10"/>
  <c r="H789" i="10"/>
  <c r="H790" i="10"/>
  <c r="H791" i="10"/>
  <c r="H792" i="10"/>
  <c r="H793" i="10"/>
  <c r="H794" i="10"/>
  <c r="H795" i="10"/>
  <c r="H796" i="10"/>
  <c r="H797" i="10"/>
  <c r="H798" i="10"/>
  <c r="H799" i="10"/>
  <c r="H800" i="10"/>
  <c r="H801" i="10"/>
  <c r="H802" i="10"/>
  <c r="H803" i="10"/>
  <c r="H804" i="10"/>
  <c r="H805" i="10"/>
  <c r="H806" i="10"/>
  <c r="H807" i="10"/>
  <c r="H808" i="10"/>
  <c r="H809" i="10"/>
  <c r="H810" i="10"/>
  <c r="H811" i="10"/>
  <c r="H812" i="10"/>
  <c r="H813" i="10"/>
  <c r="H814" i="10"/>
  <c r="H815" i="10"/>
  <c r="H816" i="10"/>
  <c r="H817" i="10"/>
  <c r="H818" i="10"/>
  <c r="H819" i="10"/>
  <c r="H820" i="10"/>
  <c r="H821" i="10"/>
  <c r="H822" i="10"/>
  <c r="H823" i="10"/>
  <c r="H824" i="10"/>
  <c r="H825" i="10"/>
  <c r="H826" i="10"/>
  <c r="H827" i="10"/>
  <c r="H828" i="10"/>
  <c r="H829" i="10"/>
  <c r="H830" i="10"/>
  <c r="H831" i="10"/>
  <c r="H832" i="10"/>
  <c r="H833" i="10"/>
  <c r="H834" i="10"/>
  <c r="H835" i="10"/>
  <c r="H836" i="10"/>
  <c r="H837" i="10"/>
  <c r="H838" i="10"/>
  <c r="H839" i="10"/>
  <c r="H840" i="10"/>
  <c r="H841" i="10"/>
  <c r="H842" i="10"/>
  <c r="H843" i="10"/>
  <c r="H844" i="10"/>
  <c r="H845" i="10"/>
  <c r="H846" i="10"/>
  <c r="H847" i="10"/>
  <c r="H848" i="10"/>
  <c r="H849" i="10"/>
  <c r="H850" i="10"/>
  <c r="H851" i="10"/>
  <c r="H852" i="10"/>
  <c r="H853" i="10"/>
  <c r="H854" i="10"/>
  <c r="H855" i="10"/>
  <c r="H856" i="10"/>
  <c r="H857" i="10"/>
  <c r="H858" i="10"/>
  <c r="H859" i="10"/>
  <c r="H860" i="10"/>
  <c r="H861" i="10"/>
  <c r="H862" i="10"/>
  <c r="H863" i="10"/>
  <c r="H864" i="10"/>
  <c r="H865" i="10"/>
  <c r="H866" i="10"/>
  <c r="H867" i="10"/>
  <c r="H868" i="10"/>
  <c r="H869" i="10"/>
  <c r="H870" i="10"/>
  <c r="H871" i="10"/>
  <c r="H872" i="10"/>
  <c r="H873" i="10"/>
  <c r="H874" i="10"/>
  <c r="H875" i="10"/>
  <c r="H876" i="10"/>
  <c r="H877" i="10"/>
  <c r="H878" i="10"/>
  <c r="H879" i="10"/>
  <c r="H880" i="10"/>
  <c r="H881" i="10"/>
  <c r="H882" i="10"/>
  <c r="H883" i="10"/>
  <c r="H884" i="10"/>
  <c r="H885" i="10"/>
  <c r="H886" i="10"/>
  <c r="H887" i="10"/>
  <c r="H888" i="10"/>
  <c r="H889" i="10"/>
  <c r="H890" i="10"/>
  <c r="H891" i="10"/>
  <c r="H892" i="10"/>
  <c r="H893" i="10"/>
  <c r="H894" i="10"/>
  <c r="H895" i="10"/>
  <c r="H896" i="10"/>
  <c r="H897" i="10"/>
  <c r="H898" i="10"/>
  <c r="H899" i="10"/>
  <c r="H900" i="10"/>
  <c r="H901" i="10"/>
  <c r="H902" i="10"/>
  <c r="H903" i="10"/>
  <c r="H904" i="10"/>
  <c r="H905" i="10"/>
  <c r="H906" i="10"/>
  <c r="H907" i="10"/>
  <c r="H908" i="10"/>
  <c r="H909" i="10"/>
  <c r="H910" i="10"/>
  <c r="H911" i="10"/>
  <c r="H912" i="10"/>
  <c r="H913" i="10"/>
  <c r="H914" i="10"/>
  <c r="H915" i="10"/>
  <c r="H916" i="10"/>
  <c r="H917" i="10"/>
  <c r="H918" i="10"/>
  <c r="H919" i="10"/>
  <c r="H920" i="10"/>
  <c r="H921" i="10"/>
  <c r="H922" i="10"/>
  <c r="H923" i="10"/>
  <c r="H924" i="10"/>
  <c r="H925" i="10"/>
  <c r="H926" i="10"/>
  <c r="H927" i="10"/>
  <c r="H928" i="10"/>
  <c r="H929" i="10"/>
  <c r="H930" i="10"/>
  <c r="H931" i="10"/>
  <c r="H932" i="10"/>
  <c r="H933" i="10"/>
  <c r="H934" i="10"/>
  <c r="H935" i="10"/>
  <c r="H936" i="10"/>
  <c r="H937" i="10"/>
  <c r="H938" i="10"/>
  <c r="H939" i="10"/>
  <c r="H940" i="10"/>
  <c r="H941" i="10"/>
  <c r="H942" i="10"/>
  <c r="H943" i="10"/>
  <c r="H944" i="10"/>
  <c r="H945" i="10"/>
  <c r="H946" i="10"/>
  <c r="H947" i="10"/>
  <c r="H948" i="10"/>
  <c r="H949" i="10"/>
  <c r="H950" i="10"/>
  <c r="H951" i="10"/>
  <c r="H952" i="10"/>
  <c r="H953" i="10"/>
  <c r="H954" i="10"/>
  <c r="H955" i="10"/>
  <c r="H956" i="10"/>
  <c r="H957" i="10"/>
  <c r="H958" i="10"/>
  <c r="H959" i="10"/>
  <c r="H960" i="10"/>
  <c r="H961" i="10"/>
  <c r="H962" i="10"/>
  <c r="H963" i="10"/>
  <c r="H964" i="10"/>
  <c r="H965" i="10"/>
  <c r="H966" i="10"/>
  <c r="H967" i="10"/>
  <c r="H968" i="10"/>
  <c r="H969" i="10"/>
  <c r="H970" i="10"/>
  <c r="H971" i="10"/>
  <c r="H972" i="10"/>
  <c r="H973" i="10"/>
  <c r="H974" i="10"/>
  <c r="H975" i="10"/>
  <c r="H976" i="10"/>
  <c r="H977" i="10"/>
  <c r="H978" i="10"/>
  <c r="H979" i="10"/>
  <c r="H980" i="10"/>
  <c r="H981" i="10"/>
  <c r="H982" i="10"/>
  <c r="H983" i="10"/>
  <c r="H984" i="10"/>
  <c r="H985" i="10"/>
  <c r="H986" i="10"/>
  <c r="H987" i="10"/>
  <c r="H988" i="10"/>
  <c r="H989" i="10"/>
  <c r="H990" i="10"/>
  <c r="H991" i="10"/>
  <c r="H992" i="10"/>
  <c r="H993" i="10"/>
  <c r="H994" i="10"/>
  <c r="H995" i="10"/>
  <c r="H996" i="10"/>
  <c r="H997" i="10"/>
  <c r="H998" i="10"/>
  <c r="H999" i="10"/>
  <c r="H1000" i="10"/>
  <c r="H1001" i="10"/>
  <c r="H1002" i="10"/>
  <c r="H1003" i="10"/>
  <c r="H1004" i="10"/>
  <c r="H1005" i="10"/>
  <c r="H1006" i="10"/>
  <c r="H1007" i="10"/>
  <c r="H1008" i="10"/>
  <c r="H1009" i="10"/>
  <c r="H1010" i="10"/>
  <c r="H1011" i="10"/>
  <c r="H1012" i="10"/>
  <c r="H1013" i="10"/>
  <c r="H1014" i="10"/>
  <c r="H1015" i="10"/>
  <c r="H1016" i="10"/>
  <c r="H1017" i="10"/>
  <c r="H1018" i="10"/>
  <c r="H1019" i="10"/>
  <c r="H1020" i="10"/>
  <c r="H1021" i="10"/>
  <c r="H1022" i="10"/>
  <c r="H1023" i="10"/>
  <c r="H1024" i="10"/>
  <c r="E2" i="21"/>
  <c r="AK1" i="21"/>
  <c r="E1" i="21"/>
  <c r="I31" i="21" l="1"/>
  <c r="K13" i="19"/>
  <c r="G13" i="19"/>
  <c r="K12" i="19"/>
  <c r="G12" i="19"/>
  <c r="K12" i="1" l="1"/>
  <c r="H12" i="1"/>
  <c r="K11" i="1"/>
  <c r="H11" i="1"/>
  <c r="K34" i="21" l="1"/>
  <c r="T16" i="21"/>
  <c r="T23" i="21"/>
  <c r="C34" i="21"/>
  <c r="T15" i="21"/>
  <c r="T22" i="21"/>
  <c r="T14" i="21"/>
  <c r="K25" i="21"/>
  <c r="T21" i="21"/>
  <c r="T20" i="21"/>
  <c r="T13" i="21"/>
  <c r="C25" i="21"/>
  <c r="I21" i="1" l="1"/>
  <c r="O12" i="10"/>
  <c r="O11" i="10"/>
  <c r="O10" i="10"/>
  <c r="O9" i="10"/>
  <c r="O8" i="10"/>
  <c r="O7" i="10"/>
  <c r="O6" i="10"/>
  <c r="L8" i="10"/>
  <c r="K12" i="10"/>
  <c r="K11" i="10"/>
  <c r="K10" i="10"/>
  <c r="K9" i="10"/>
  <c r="K8" i="10"/>
  <c r="G12" i="10"/>
  <c r="G11" i="10"/>
  <c r="G10" i="10"/>
  <c r="G9" i="10"/>
  <c r="G8" i="10"/>
  <c r="E12" i="10"/>
  <c r="E11" i="10"/>
  <c r="E10" i="10"/>
  <c r="E9" i="10"/>
  <c r="E8" i="10"/>
  <c r="D12" i="10"/>
  <c r="D11" i="10"/>
  <c r="D10" i="10"/>
  <c r="D9" i="10"/>
  <c r="D8" i="10"/>
  <c r="L4" i="2"/>
  <c r="E13" i="10" l="1"/>
  <c r="G13" i="10"/>
  <c r="D13" i="10"/>
  <c r="X721" i="10"/>
  <c r="T721" i="10"/>
  <c r="U721" i="10" s="1"/>
  <c r="Z721" i="10"/>
  <c r="AA721" i="10"/>
  <c r="AB721" i="10"/>
  <c r="X722" i="10"/>
  <c r="T722" i="10"/>
  <c r="U722" i="10" s="1"/>
  <c r="Z722" i="10"/>
  <c r="AA722" i="10"/>
  <c r="AB722" i="10"/>
  <c r="X723" i="10"/>
  <c r="T723" i="10"/>
  <c r="U723" i="10"/>
  <c r="Z723" i="10"/>
  <c r="AA723" i="10"/>
  <c r="AB723" i="10"/>
  <c r="T724" i="10"/>
  <c r="U724" i="10" s="1"/>
  <c r="X724" i="10"/>
  <c r="Z724" i="10"/>
  <c r="AA724" i="10"/>
  <c r="AB724" i="10"/>
  <c r="X725" i="10"/>
  <c r="T725" i="10"/>
  <c r="U725" i="10" s="1"/>
  <c r="Z725" i="10"/>
  <c r="AA725" i="10"/>
  <c r="AB725" i="10"/>
  <c r="T726" i="10"/>
  <c r="U726" i="10" s="1"/>
  <c r="X726" i="10"/>
  <c r="Z726" i="10"/>
  <c r="AA726" i="10"/>
  <c r="AB726" i="10"/>
  <c r="X727" i="10"/>
  <c r="T727" i="10"/>
  <c r="U727" i="10" s="1"/>
  <c r="Z727" i="10"/>
  <c r="AA727" i="10"/>
  <c r="AB727" i="10"/>
  <c r="T728" i="10"/>
  <c r="U728" i="10" s="1"/>
  <c r="X728" i="10"/>
  <c r="Z728" i="10"/>
  <c r="AA728" i="10"/>
  <c r="AB728" i="10"/>
  <c r="X729" i="10"/>
  <c r="T729" i="10"/>
  <c r="U729" i="10" s="1"/>
  <c r="Z729" i="10"/>
  <c r="AA729" i="10"/>
  <c r="AB729" i="10"/>
  <c r="T730" i="10"/>
  <c r="U730" i="10" s="1"/>
  <c r="X730" i="10"/>
  <c r="Z730" i="10"/>
  <c r="AA730" i="10"/>
  <c r="AB730" i="10"/>
  <c r="X731" i="10"/>
  <c r="T731" i="10"/>
  <c r="U731" i="10" s="1"/>
  <c r="Z731" i="10"/>
  <c r="AA731" i="10"/>
  <c r="AB731" i="10"/>
  <c r="T732" i="10"/>
  <c r="U732" i="10" s="1"/>
  <c r="X732" i="10"/>
  <c r="Z732" i="10"/>
  <c r="AA732" i="10"/>
  <c r="AB732" i="10"/>
  <c r="X733" i="10"/>
  <c r="T733" i="10"/>
  <c r="U733" i="10" s="1"/>
  <c r="Z733" i="10"/>
  <c r="AA733" i="10"/>
  <c r="AB733" i="10"/>
  <c r="T734" i="10"/>
  <c r="U734" i="10" s="1"/>
  <c r="X734" i="10"/>
  <c r="Z734" i="10"/>
  <c r="AA734" i="10"/>
  <c r="AB734" i="10"/>
  <c r="X735" i="10"/>
  <c r="T735" i="10"/>
  <c r="U735" i="10" s="1"/>
  <c r="Z735" i="10"/>
  <c r="AA735" i="10"/>
  <c r="AB735" i="10"/>
  <c r="T736" i="10"/>
  <c r="U736" i="10" s="1"/>
  <c r="X736" i="10"/>
  <c r="Z736" i="10"/>
  <c r="AA736" i="10"/>
  <c r="AB736" i="10"/>
  <c r="X737" i="10"/>
  <c r="T737" i="10"/>
  <c r="U737" i="10" s="1"/>
  <c r="Z737" i="10"/>
  <c r="AA737" i="10"/>
  <c r="AB737" i="10"/>
  <c r="T738" i="10"/>
  <c r="U738" i="10" s="1"/>
  <c r="X738" i="10"/>
  <c r="Z738" i="10"/>
  <c r="AA738" i="10"/>
  <c r="AB738" i="10"/>
  <c r="X739" i="10"/>
  <c r="T739" i="10"/>
  <c r="U739" i="10" s="1"/>
  <c r="Z739" i="10"/>
  <c r="AA739" i="10"/>
  <c r="AB739" i="10"/>
  <c r="T740" i="10"/>
  <c r="U740" i="10" s="1"/>
  <c r="X740" i="10"/>
  <c r="Z740" i="10"/>
  <c r="AA740" i="10"/>
  <c r="AB740" i="10"/>
  <c r="X741" i="10"/>
  <c r="T741" i="10"/>
  <c r="U741" i="10"/>
  <c r="Z741" i="10"/>
  <c r="AA741" i="10"/>
  <c r="AB741" i="10"/>
  <c r="T742" i="10"/>
  <c r="U742" i="10" s="1"/>
  <c r="X742" i="10"/>
  <c r="Z742" i="10"/>
  <c r="AA742" i="10"/>
  <c r="AB742" i="10"/>
  <c r="X743" i="10"/>
  <c r="T743" i="10"/>
  <c r="U743" i="10" s="1"/>
  <c r="Z743" i="10"/>
  <c r="AA743" i="10"/>
  <c r="AB743" i="10"/>
  <c r="T744" i="10"/>
  <c r="U744" i="10" s="1"/>
  <c r="X744" i="10"/>
  <c r="Z744" i="10"/>
  <c r="AA744" i="10"/>
  <c r="AB744" i="10"/>
  <c r="X745" i="10"/>
  <c r="T745" i="10"/>
  <c r="U745" i="10" s="1"/>
  <c r="Z745" i="10"/>
  <c r="AA745" i="10"/>
  <c r="AB745" i="10"/>
  <c r="T746" i="10"/>
  <c r="U746" i="10" s="1"/>
  <c r="X746" i="10"/>
  <c r="Z746" i="10"/>
  <c r="AA746" i="10"/>
  <c r="AB746" i="10"/>
  <c r="X747" i="10"/>
  <c r="T747" i="10"/>
  <c r="U747" i="10" s="1"/>
  <c r="Z747" i="10"/>
  <c r="AA747" i="10"/>
  <c r="AB747" i="10"/>
  <c r="T748" i="10"/>
  <c r="U748" i="10" s="1"/>
  <c r="X748" i="10"/>
  <c r="Z748" i="10"/>
  <c r="AA748" i="10"/>
  <c r="AB748" i="10"/>
  <c r="X749" i="10"/>
  <c r="T749" i="10"/>
  <c r="U749" i="10"/>
  <c r="Z749" i="10"/>
  <c r="AA749" i="10"/>
  <c r="AB749" i="10"/>
  <c r="T750" i="10"/>
  <c r="U750" i="10" s="1"/>
  <c r="X750" i="10"/>
  <c r="Z750" i="10"/>
  <c r="AA750" i="10"/>
  <c r="AB750" i="10"/>
  <c r="X751" i="10"/>
  <c r="T751" i="10"/>
  <c r="U751" i="10" s="1"/>
  <c r="Z751" i="10"/>
  <c r="AA751" i="10"/>
  <c r="AB751" i="10"/>
  <c r="T752" i="10"/>
  <c r="U752" i="10" s="1"/>
  <c r="X752" i="10"/>
  <c r="Z752" i="10"/>
  <c r="AA752" i="10"/>
  <c r="AB752" i="10"/>
  <c r="X753" i="10"/>
  <c r="T753" i="10"/>
  <c r="U753" i="10" s="1"/>
  <c r="Z753" i="10"/>
  <c r="AA753" i="10"/>
  <c r="AB753" i="10"/>
  <c r="T754" i="10"/>
  <c r="U754" i="10" s="1"/>
  <c r="X754" i="10"/>
  <c r="Z754" i="10"/>
  <c r="AA754" i="10"/>
  <c r="AB754" i="10"/>
  <c r="X755" i="10"/>
  <c r="T755" i="10"/>
  <c r="U755" i="10" s="1"/>
  <c r="Z755" i="10"/>
  <c r="AA755" i="10"/>
  <c r="AB755" i="10"/>
  <c r="T756" i="10"/>
  <c r="U756" i="10" s="1"/>
  <c r="X756" i="10"/>
  <c r="Z756" i="10"/>
  <c r="AA756" i="10"/>
  <c r="AB756" i="10"/>
  <c r="X757" i="10"/>
  <c r="T757" i="10"/>
  <c r="U757" i="10"/>
  <c r="Z757" i="10"/>
  <c r="AA757" i="10"/>
  <c r="AB757" i="10"/>
  <c r="T758" i="10"/>
  <c r="U758" i="10" s="1"/>
  <c r="X758" i="10"/>
  <c r="Z758" i="10"/>
  <c r="AA758" i="10"/>
  <c r="AB758" i="10"/>
  <c r="X759" i="10"/>
  <c r="T759" i="10"/>
  <c r="U759" i="10" s="1"/>
  <c r="Z759" i="10"/>
  <c r="AA759" i="10"/>
  <c r="AB759" i="10"/>
  <c r="T760" i="10"/>
  <c r="U760" i="10" s="1"/>
  <c r="X760" i="10"/>
  <c r="Z760" i="10"/>
  <c r="AA760" i="10"/>
  <c r="AB760" i="10"/>
  <c r="X761" i="10"/>
  <c r="T761" i="10"/>
  <c r="U761" i="10" s="1"/>
  <c r="Z761" i="10"/>
  <c r="AA761" i="10"/>
  <c r="AB761" i="10"/>
  <c r="T762" i="10"/>
  <c r="U762" i="10" s="1"/>
  <c r="X762" i="10"/>
  <c r="Z762" i="10"/>
  <c r="AA762" i="10"/>
  <c r="AB762" i="10"/>
  <c r="X763" i="10"/>
  <c r="T763" i="10"/>
  <c r="U763" i="10" s="1"/>
  <c r="Z763" i="10"/>
  <c r="AA763" i="10"/>
  <c r="AB763" i="10"/>
  <c r="T764" i="10"/>
  <c r="U764" i="10" s="1"/>
  <c r="X764" i="10"/>
  <c r="Z764" i="10"/>
  <c r="AA764" i="10"/>
  <c r="AB764" i="10"/>
  <c r="X765" i="10"/>
  <c r="T765" i="10"/>
  <c r="U765" i="10" s="1"/>
  <c r="Z765" i="10"/>
  <c r="AA765" i="10"/>
  <c r="AB765" i="10"/>
  <c r="T766" i="10"/>
  <c r="U766" i="10" s="1"/>
  <c r="X766" i="10"/>
  <c r="Z766" i="10"/>
  <c r="AA766" i="10"/>
  <c r="AB766" i="10"/>
  <c r="X767" i="10"/>
  <c r="T767" i="10"/>
  <c r="U767" i="10"/>
  <c r="Z767" i="10"/>
  <c r="AA767" i="10"/>
  <c r="AB767" i="10"/>
  <c r="T768" i="10"/>
  <c r="U768" i="10" s="1"/>
  <c r="X768" i="10"/>
  <c r="Z768" i="10"/>
  <c r="AA768" i="10"/>
  <c r="AB768" i="10"/>
  <c r="X769" i="10"/>
  <c r="T769" i="10"/>
  <c r="U769" i="10" s="1"/>
  <c r="Z769" i="10"/>
  <c r="AA769" i="10"/>
  <c r="AB769" i="10"/>
  <c r="T770" i="10"/>
  <c r="U770" i="10" s="1"/>
  <c r="X770" i="10"/>
  <c r="Z770" i="10"/>
  <c r="AA770" i="10"/>
  <c r="AB770" i="10"/>
  <c r="X771" i="10"/>
  <c r="T771" i="10"/>
  <c r="U771" i="10" s="1"/>
  <c r="Z771" i="10"/>
  <c r="AA771" i="10"/>
  <c r="AB771" i="10"/>
  <c r="T772" i="10"/>
  <c r="U772" i="10" s="1"/>
  <c r="X772" i="10"/>
  <c r="Z772" i="10"/>
  <c r="AA772" i="10"/>
  <c r="AB772" i="10"/>
  <c r="X773" i="10"/>
  <c r="T773" i="10"/>
  <c r="U773" i="10" s="1"/>
  <c r="Z773" i="10"/>
  <c r="AA773" i="10"/>
  <c r="AB773" i="10"/>
  <c r="T774" i="10"/>
  <c r="U774" i="10" s="1"/>
  <c r="X774" i="10"/>
  <c r="Z774" i="10"/>
  <c r="AA774" i="10"/>
  <c r="AB774" i="10"/>
  <c r="X775" i="10"/>
  <c r="T775" i="10"/>
  <c r="U775" i="10"/>
  <c r="Z775" i="10"/>
  <c r="AA775" i="10"/>
  <c r="AB775" i="10"/>
  <c r="T776" i="10"/>
  <c r="U776" i="10" s="1"/>
  <c r="X776" i="10"/>
  <c r="Z776" i="10"/>
  <c r="AA776" i="10"/>
  <c r="AB776" i="10"/>
  <c r="X777" i="10"/>
  <c r="T777" i="10"/>
  <c r="U777" i="10" s="1"/>
  <c r="Z777" i="10"/>
  <c r="AA777" i="10"/>
  <c r="AB777" i="10"/>
  <c r="T778" i="10"/>
  <c r="U778" i="10" s="1"/>
  <c r="X778" i="10"/>
  <c r="Z778" i="10"/>
  <c r="AA778" i="10"/>
  <c r="AB778" i="10"/>
  <c r="X779" i="10"/>
  <c r="T779" i="10"/>
  <c r="U779" i="10" s="1"/>
  <c r="Z779" i="10"/>
  <c r="AA779" i="10"/>
  <c r="AB779" i="10"/>
  <c r="T780" i="10"/>
  <c r="U780" i="10" s="1"/>
  <c r="X780" i="10"/>
  <c r="Z780" i="10"/>
  <c r="AA780" i="10"/>
  <c r="AB780" i="10"/>
  <c r="X781" i="10"/>
  <c r="T781" i="10"/>
  <c r="U781" i="10" s="1"/>
  <c r="Z781" i="10"/>
  <c r="AA781" i="10"/>
  <c r="AB781" i="10"/>
  <c r="T782" i="10"/>
  <c r="U782" i="10" s="1"/>
  <c r="X782" i="10"/>
  <c r="Z782" i="10"/>
  <c r="AA782" i="10"/>
  <c r="AB782" i="10"/>
  <c r="X783" i="10"/>
  <c r="T783" i="10"/>
  <c r="U783" i="10"/>
  <c r="Z783" i="10"/>
  <c r="AA783" i="10"/>
  <c r="AB783" i="10"/>
  <c r="T784" i="10"/>
  <c r="U784" i="10" s="1"/>
  <c r="X784" i="10"/>
  <c r="Z784" i="10"/>
  <c r="AA784" i="10"/>
  <c r="AB784" i="10"/>
  <c r="X785" i="10"/>
  <c r="T785" i="10"/>
  <c r="U785" i="10" s="1"/>
  <c r="Z785" i="10"/>
  <c r="AA785" i="10"/>
  <c r="AB785" i="10"/>
  <c r="T786" i="10"/>
  <c r="U786" i="10" s="1"/>
  <c r="X786" i="10"/>
  <c r="Z786" i="10"/>
  <c r="AA786" i="10"/>
  <c r="AB786" i="10"/>
  <c r="X787" i="10"/>
  <c r="T787" i="10"/>
  <c r="U787" i="10" s="1"/>
  <c r="Z787" i="10"/>
  <c r="AA787" i="10"/>
  <c r="AB787" i="10"/>
  <c r="T788" i="10"/>
  <c r="U788" i="10" s="1"/>
  <c r="X788" i="10"/>
  <c r="Z788" i="10"/>
  <c r="AA788" i="10"/>
  <c r="AB788" i="10"/>
  <c r="X789" i="10"/>
  <c r="T789" i="10"/>
  <c r="U789" i="10"/>
  <c r="Z789" i="10"/>
  <c r="AA789" i="10"/>
  <c r="AB789" i="10"/>
  <c r="T790" i="10"/>
  <c r="U790" i="10" s="1"/>
  <c r="X790" i="10"/>
  <c r="Z790" i="10"/>
  <c r="AA790" i="10"/>
  <c r="AB790" i="10"/>
  <c r="X791" i="10"/>
  <c r="T791" i="10"/>
  <c r="U791" i="10" s="1"/>
  <c r="Z791" i="10"/>
  <c r="AA791" i="10"/>
  <c r="AB791" i="10"/>
  <c r="T792" i="10"/>
  <c r="U792" i="10" s="1"/>
  <c r="X792" i="10"/>
  <c r="Z792" i="10"/>
  <c r="AA792" i="10"/>
  <c r="AB792" i="10"/>
  <c r="X793" i="10"/>
  <c r="T793" i="10"/>
  <c r="U793" i="10"/>
  <c r="Z793" i="10"/>
  <c r="AA793" i="10"/>
  <c r="AB793" i="10"/>
  <c r="T794" i="10"/>
  <c r="U794" i="10" s="1"/>
  <c r="X794" i="10"/>
  <c r="Z794" i="10"/>
  <c r="AA794" i="10"/>
  <c r="AB794" i="10"/>
  <c r="X795" i="10"/>
  <c r="T795" i="10"/>
  <c r="U795" i="10" s="1"/>
  <c r="Z795" i="10"/>
  <c r="AA795" i="10"/>
  <c r="AB795" i="10"/>
  <c r="T796" i="10"/>
  <c r="U796" i="10" s="1"/>
  <c r="X796" i="10"/>
  <c r="Z796" i="10"/>
  <c r="AA796" i="10"/>
  <c r="AB796" i="10"/>
  <c r="X797" i="10"/>
  <c r="T797" i="10"/>
  <c r="U797" i="10" s="1"/>
  <c r="Z797" i="10"/>
  <c r="AA797" i="10"/>
  <c r="AB797" i="10"/>
  <c r="T798" i="10"/>
  <c r="U798" i="10" s="1"/>
  <c r="X798" i="10"/>
  <c r="Z798" i="10"/>
  <c r="AA798" i="10"/>
  <c r="AB798" i="10"/>
  <c r="X799" i="10"/>
  <c r="T799" i="10"/>
  <c r="U799" i="10"/>
  <c r="Z799" i="10"/>
  <c r="AA799" i="10"/>
  <c r="AB799" i="10"/>
  <c r="T800" i="10"/>
  <c r="U800" i="10" s="1"/>
  <c r="X800" i="10"/>
  <c r="Z800" i="10"/>
  <c r="AA800" i="10"/>
  <c r="AB800" i="10"/>
  <c r="X801" i="10"/>
  <c r="T801" i="10"/>
  <c r="U801" i="10" s="1"/>
  <c r="Z801" i="10"/>
  <c r="AA801" i="10"/>
  <c r="AB801" i="10"/>
  <c r="T802" i="10"/>
  <c r="U802" i="10" s="1"/>
  <c r="X802" i="10"/>
  <c r="Z802" i="10"/>
  <c r="AA802" i="10"/>
  <c r="AB802" i="10"/>
  <c r="X803" i="10"/>
  <c r="T803" i="10"/>
  <c r="U803" i="10" s="1"/>
  <c r="Z803" i="10"/>
  <c r="AA803" i="10"/>
  <c r="AB803" i="10"/>
  <c r="T804" i="10"/>
  <c r="U804" i="10" s="1"/>
  <c r="X804" i="10"/>
  <c r="Z804" i="10"/>
  <c r="AA804" i="10"/>
  <c r="AB804" i="10"/>
  <c r="X805" i="10"/>
  <c r="T805" i="10"/>
  <c r="U805" i="10"/>
  <c r="Z805" i="10"/>
  <c r="AA805" i="10"/>
  <c r="AB805" i="10"/>
  <c r="X806" i="10"/>
  <c r="T806" i="10"/>
  <c r="U806" i="10" s="1"/>
  <c r="Z806" i="10"/>
  <c r="AA806" i="10"/>
  <c r="AB806" i="10"/>
  <c r="X807" i="10"/>
  <c r="T807" i="10"/>
  <c r="U807" i="10" s="1"/>
  <c r="Z807" i="10"/>
  <c r="AA807" i="10"/>
  <c r="AB807" i="10"/>
  <c r="T808" i="10"/>
  <c r="U808" i="10" s="1"/>
  <c r="X808" i="10"/>
  <c r="Z808" i="10"/>
  <c r="AA808" i="10"/>
  <c r="AB808" i="10"/>
  <c r="T809" i="10"/>
  <c r="U809" i="10" s="1"/>
  <c r="X809" i="10"/>
  <c r="Z809" i="10"/>
  <c r="AA809" i="10"/>
  <c r="AB809" i="10"/>
  <c r="X810" i="10"/>
  <c r="T810" i="10"/>
  <c r="U810" i="10" s="1"/>
  <c r="Z810" i="10"/>
  <c r="AA810" i="10"/>
  <c r="AB810" i="10"/>
  <c r="X811" i="10"/>
  <c r="T811" i="10"/>
  <c r="U811" i="10" s="1"/>
  <c r="Z811" i="10"/>
  <c r="AA811" i="10"/>
  <c r="AB811" i="10"/>
  <c r="T812" i="10"/>
  <c r="U812" i="10" s="1"/>
  <c r="X812" i="10"/>
  <c r="Z812" i="10"/>
  <c r="AA812" i="10"/>
  <c r="AB812" i="10"/>
  <c r="T813" i="10"/>
  <c r="U813" i="10" s="1"/>
  <c r="X813" i="10"/>
  <c r="Z813" i="10"/>
  <c r="AA813" i="10"/>
  <c r="AB813" i="10"/>
  <c r="X814" i="10"/>
  <c r="T814" i="10"/>
  <c r="U814" i="10" s="1"/>
  <c r="Z814" i="10"/>
  <c r="AA814" i="10"/>
  <c r="AB814" i="10"/>
  <c r="X815" i="10"/>
  <c r="T815" i="10"/>
  <c r="U815" i="10" s="1"/>
  <c r="Z815" i="10"/>
  <c r="AA815" i="10"/>
  <c r="AB815" i="10"/>
  <c r="T816" i="10"/>
  <c r="U816" i="10" s="1"/>
  <c r="X816" i="10"/>
  <c r="Z816" i="10"/>
  <c r="AA816" i="10"/>
  <c r="AB816" i="10"/>
  <c r="T817" i="10"/>
  <c r="U817" i="10" s="1"/>
  <c r="X817" i="10"/>
  <c r="Z817" i="10"/>
  <c r="AA817" i="10"/>
  <c r="AB817" i="10"/>
  <c r="X818" i="10"/>
  <c r="T818" i="10"/>
  <c r="U818" i="10" s="1"/>
  <c r="Z818" i="10"/>
  <c r="AA818" i="10"/>
  <c r="AB818" i="10"/>
  <c r="X819" i="10"/>
  <c r="T819" i="10"/>
  <c r="U819" i="10" s="1"/>
  <c r="Z819" i="10"/>
  <c r="AA819" i="10"/>
  <c r="AB819" i="10"/>
  <c r="T820" i="10"/>
  <c r="U820" i="10" s="1"/>
  <c r="X820" i="10"/>
  <c r="Z820" i="10"/>
  <c r="AA820" i="10"/>
  <c r="AB820" i="10"/>
  <c r="T821" i="10"/>
  <c r="U821" i="10" s="1"/>
  <c r="X821" i="10"/>
  <c r="Z821" i="10"/>
  <c r="AA821" i="10"/>
  <c r="AB821" i="10"/>
  <c r="X822" i="10"/>
  <c r="T822" i="10"/>
  <c r="U822" i="10" s="1"/>
  <c r="Z822" i="10"/>
  <c r="AA822" i="10"/>
  <c r="AB822" i="10"/>
  <c r="X823" i="10"/>
  <c r="T823" i="10"/>
  <c r="U823" i="10" s="1"/>
  <c r="Z823" i="10"/>
  <c r="AA823" i="10"/>
  <c r="AB823" i="10"/>
  <c r="T824" i="10"/>
  <c r="U824" i="10" s="1"/>
  <c r="X824" i="10"/>
  <c r="Z824" i="10"/>
  <c r="AA824" i="10"/>
  <c r="AB824" i="10"/>
  <c r="T825" i="10"/>
  <c r="U825" i="10" s="1"/>
  <c r="X825" i="10"/>
  <c r="Z825" i="10"/>
  <c r="AA825" i="10"/>
  <c r="AB825" i="10"/>
  <c r="X826" i="10"/>
  <c r="T826" i="10"/>
  <c r="U826" i="10" s="1"/>
  <c r="Z826" i="10"/>
  <c r="AA826" i="10"/>
  <c r="AB826" i="10"/>
  <c r="X827" i="10"/>
  <c r="T827" i="10"/>
  <c r="U827" i="10" s="1"/>
  <c r="Z827" i="10"/>
  <c r="AA827" i="10"/>
  <c r="AB827" i="10"/>
  <c r="T828" i="10"/>
  <c r="U828" i="10" s="1"/>
  <c r="X828" i="10"/>
  <c r="Z828" i="10"/>
  <c r="AA828" i="10"/>
  <c r="AB828" i="10"/>
  <c r="T829" i="10"/>
  <c r="U829" i="10" s="1"/>
  <c r="X829" i="10"/>
  <c r="Z829" i="10"/>
  <c r="AA829" i="10"/>
  <c r="AB829" i="10"/>
  <c r="X830" i="10"/>
  <c r="T830" i="10"/>
  <c r="U830" i="10" s="1"/>
  <c r="Z830" i="10"/>
  <c r="AA830" i="10"/>
  <c r="AB830" i="10"/>
  <c r="X831" i="10"/>
  <c r="T831" i="10"/>
  <c r="U831" i="10" s="1"/>
  <c r="Z831" i="10"/>
  <c r="AA831" i="10"/>
  <c r="AB831" i="10"/>
  <c r="T832" i="10"/>
  <c r="U832" i="10" s="1"/>
  <c r="X832" i="10"/>
  <c r="Z832" i="10"/>
  <c r="AA832" i="10"/>
  <c r="AB832" i="10"/>
  <c r="T833" i="10"/>
  <c r="U833" i="10" s="1"/>
  <c r="X833" i="10"/>
  <c r="Z833" i="10"/>
  <c r="AA833" i="10"/>
  <c r="AB833" i="10"/>
  <c r="X834" i="10"/>
  <c r="T834" i="10"/>
  <c r="U834" i="10" s="1"/>
  <c r="Z834" i="10"/>
  <c r="AA834" i="10"/>
  <c r="AB834" i="10"/>
  <c r="X835" i="10"/>
  <c r="T835" i="10"/>
  <c r="U835" i="10" s="1"/>
  <c r="Z835" i="10"/>
  <c r="AA835" i="10"/>
  <c r="AB835" i="10"/>
  <c r="T836" i="10"/>
  <c r="U836" i="10" s="1"/>
  <c r="X836" i="10"/>
  <c r="Z836" i="10"/>
  <c r="AA836" i="10"/>
  <c r="AB836" i="10"/>
  <c r="T837" i="10"/>
  <c r="U837" i="10" s="1"/>
  <c r="X837" i="10"/>
  <c r="Z837" i="10"/>
  <c r="AA837" i="10"/>
  <c r="AB837" i="10"/>
  <c r="X838" i="10"/>
  <c r="T838" i="10"/>
  <c r="U838" i="10" s="1"/>
  <c r="Z838" i="10"/>
  <c r="AA838" i="10"/>
  <c r="AB838" i="10"/>
  <c r="X839" i="10"/>
  <c r="T839" i="10"/>
  <c r="U839" i="10" s="1"/>
  <c r="Z839" i="10"/>
  <c r="AA839" i="10"/>
  <c r="AB839" i="10"/>
  <c r="T840" i="10"/>
  <c r="U840" i="10" s="1"/>
  <c r="X840" i="10"/>
  <c r="Z840" i="10"/>
  <c r="AA840" i="10"/>
  <c r="AB840" i="10"/>
  <c r="T841" i="10"/>
  <c r="U841" i="10" s="1"/>
  <c r="X841" i="10"/>
  <c r="Z841" i="10"/>
  <c r="AA841" i="10"/>
  <c r="AB841" i="10"/>
  <c r="X842" i="10"/>
  <c r="T842" i="10"/>
  <c r="U842" i="10" s="1"/>
  <c r="Z842" i="10"/>
  <c r="AA842" i="10"/>
  <c r="AB842" i="10"/>
  <c r="X843" i="10"/>
  <c r="T843" i="10"/>
  <c r="U843" i="10" s="1"/>
  <c r="Z843" i="10"/>
  <c r="AA843" i="10"/>
  <c r="AB843" i="10"/>
  <c r="T844" i="10"/>
  <c r="U844" i="10" s="1"/>
  <c r="X844" i="10"/>
  <c r="Z844" i="10"/>
  <c r="AA844" i="10"/>
  <c r="AB844" i="10"/>
  <c r="T845" i="10"/>
  <c r="U845" i="10" s="1"/>
  <c r="X845" i="10"/>
  <c r="Z845" i="10"/>
  <c r="AA845" i="10"/>
  <c r="AB845" i="10"/>
  <c r="X846" i="10"/>
  <c r="T846" i="10"/>
  <c r="U846" i="10" s="1"/>
  <c r="Z846" i="10"/>
  <c r="AA846" i="10"/>
  <c r="AB846" i="10"/>
  <c r="X847" i="10"/>
  <c r="T847" i="10"/>
  <c r="U847" i="10" s="1"/>
  <c r="Z847" i="10"/>
  <c r="AA847" i="10"/>
  <c r="AB847" i="10"/>
  <c r="T848" i="10"/>
  <c r="U848" i="10" s="1"/>
  <c r="X848" i="10"/>
  <c r="Z848" i="10"/>
  <c r="AA848" i="10"/>
  <c r="AB848" i="10"/>
  <c r="T849" i="10"/>
  <c r="U849" i="10" s="1"/>
  <c r="X849" i="10"/>
  <c r="Z849" i="10"/>
  <c r="AA849" i="10"/>
  <c r="AB849" i="10"/>
  <c r="X850" i="10"/>
  <c r="T850" i="10"/>
  <c r="U850" i="10" s="1"/>
  <c r="Z850" i="10"/>
  <c r="AA850" i="10"/>
  <c r="AB850" i="10"/>
  <c r="X851" i="10"/>
  <c r="T851" i="10"/>
  <c r="U851" i="10" s="1"/>
  <c r="Z851" i="10"/>
  <c r="AA851" i="10"/>
  <c r="AB851" i="10"/>
  <c r="T852" i="10"/>
  <c r="U852" i="10" s="1"/>
  <c r="X852" i="10"/>
  <c r="Z852" i="10"/>
  <c r="AA852" i="10"/>
  <c r="AB852" i="10"/>
  <c r="T853" i="10"/>
  <c r="U853" i="10" s="1"/>
  <c r="X853" i="10"/>
  <c r="Z853" i="10"/>
  <c r="AA853" i="10"/>
  <c r="AB853" i="10"/>
  <c r="X854" i="10"/>
  <c r="T854" i="10"/>
  <c r="U854" i="10" s="1"/>
  <c r="Z854" i="10"/>
  <c r="AA854" i="10"/>
  <c r="AB854" i="10"/>
  <c r="X855" i="10"/>
  <c r="T855" i="10"/>
  <c r="U855" i="10" s="1"/>
  <c r="Z855" i="10"/>
  <c r="AA855" i="10"/>
  <c r="AB855" i="10"/>
  <c r="T856" i="10"/>
  <c r="U856" i="10" s="1"/>
  <c r="X856" i="10"/>
  <c r="Z856" i="10"/>
  <c r="AA856" i="10"/>
  <c r="AB856" i="10"/>
  <c r="T857" i="10"/>
  <c r="U857" i="10" s="1"/>
  <c r="X857" i="10"/>
  <c r="Z857" i="10"/>
  <c r="AA857" i="10"/>
  <c r="AB857" i="10"/>
  <c r="X858" i="10"/>
  <c r="T858" i="10"/>
  <c r="U858" i="10" s="1"/>
  <c r="Z858" i="10"/>
  <c r="AA858" i="10"/>
  <c r="AB858" i="10"/>
  <c r="X859" i="10"/>
  <c r="T859" i="10"/>
  <c r="U859" i="10" s="1"/>
  <c r="Z859" i="10"/>
  <c r="AA859" i="10"/>
  <c r="AB859" i="10"/>
  <c r="T860" i="10"/>
  <c r="U860" i="10" s="1"/>
  <c r="X860" i="10"/>
  <c r="Z860" i="10"/>
  <c r="AA860" i="10"/>
  <c r="AB860" i="10"/>
  <c r="T861" i="10"/>
  <c r="U861" i="10" s="1"/>
  <c r="X861" i="10"/>
  <c r="Z861" i="10"/>
  <c r="AA861" i="10"/>
  <c r="AB861" i="10"/>
  <c r="X862" i="10"/>
  <c r="T862" i="10"/>
  <c r="U862" i="10" s="1"/>
  <c r="Z862" i="10"/>
  <c r="AA862" i="10"/>
  <c r="AB862" i="10"/>
  <c r="X863" i="10"/>
  <c r="T863" i="10"/>
  <c r="U863" i="10" s="1"/>
  <c r="Z863" i="10"/>
  <c r="AA863" i="10"/>
  <c r="AB863" i="10"/>
  <c r="T864" i="10"/>
  <c r="U864" i="10" s="1"/>
  <c r="X864" i="10"/>
  <c r="Z864" i="10"/>
  <c r="AA864" i="10"/>
  <c r="AB864" i="10"/>
  <c r="T865" i="10"/>
  <c r="U865" i="10" s="1"/>
  <c r="X865" i="10"/>
  <c r="Z865" i="10"/>
  <c r="AA865" i="10"/>
  <c r="AB865" i="10"/>
  <c r="X866" i="10"/>
  <c r="T866" i="10"/>
  <c r="U866" i="10" s="1"/>
  <c r="Z866" i="10"/>
  <c r="AA866" i="10"/>
  <c r="AB866" i="10"/>
  <c r="T867" i="10"/>
  <c r="U867" i="10" s="1"/>
  <c r="X867" i="10"/>
  <c r="Z867" i="10"/>
  <c r="AA867" i="10"/>
  <c r="AB867" i="10"/>
  <c r="T868" i="10"/>
  <c r="U868" i="10"/>
  <c r="X868" i="10"/>
  <c r="Z868" i="10"/>
  <c r="AA868" i="10"/>
  <c r="AB868" i="10"/>
  <c r="T869" i="10"/>
  <c r="U869" i="10" s="1"/>
  <c r="X869" i="10"/>
  <c r="Z869" i="10"/>
  <c r="AA869" i="10"/>
  <c r="AB869" i="10"/>
  <c r="X870" i="10"/>
  <c r="T870" i="10"/>
  <c r="U870" i="10" s="1"/>
  <c r="Z870" i="10"/>
  <c r="AA870" i="10"/>
  <c r="AB870" i="10"/>
  <c r="X871" i="10"/>
  <c r="T871" i="10"/>
  <c r="U871" i="10" s="1"/>
  <c r="Z871" i="10"/>
  <c r="AA871" i="10"/>
  <c r="AB871" i="10"/>
  <c r="X872" i="10"/>
  <c r="T872" i="10"/>
  <c r="U872" i="10" s="1"/>
  <c r="Z872" i="10"/>
  <c r="AA872" i="10"/>
  <c r="AB872" i="10"/>
  <c r="T873" i="10"/>
  <c r="U873" i="10" s="1"/>
  <c r="X873" i="10"/>
  <c r="Z873" i="10"/>
  <c r="AA873" i="10"/>
  <c r="AB873" i="10"/>
  <c r="X874" i="10"/>
  <c r="T874" i="10"/>
  <c r="U874" i="10" s="1"/>
  <c r="Z874" i="10"/>
  <c r="AA874" i="10"/>
  <c r="AB874" i="10"/>
  <c r="X875" i="10"/>
  <c r="T875" i="10"/>
  <c r="U875" i="10" s="1"/>
  <c r="Z875" i="10"/>
  <c r="AA875" i="10"/>
  <c r="AB875" i="10"/>
  <c r="X876" i="10"/>
  <c r="T876" i="10"/>
  <c r="U876" i="10" s="1"/>
  <c r="Z876" i="10"/>
  <c r="AA876" i="10"/>
  <c r="AB876" i="10"/>
  <c r="T877" i="10"/>
  <c r="U877" i="10" s="1"/>
  <c r="X877" i="10"/>
  <c r="Z877" i="10"/>
  <c r="AA877" i="10"/>
  <c r="AB877" i="10"/>
  <c r="X878" i="10"/>
  <c r="T878" i="10"/>
  <c r="U878" i="10" s="1"/>
  <c r="Z878" i="10"/>
  <c r="AA878" i="10"/>
  <c r="AB878" i="10"/>
  <c r="X879" i="10"/>
  <c r="T879" i="10"/>
  <c r="U879" i="10" s="1"/>
  <c r="Z879" i="10"/>
  <c r="AA879" i="10"/>
  <c r="AB879" i="10"/>
  <c r="X880" i="10"/>
  <c r="T880" i="10"/>
  <c r="U880" i="10" s="1"/>
  <c r="Z880" i="10"/>
  <c r="AA880" i="10"/>
  <c r="AB880" i="10"/>
  <c r="T881" i="10"/>
  <c r="U881" i="10" s="1"/>
  <c r="X881" i="10"/>
  <c r="Z881" i="10"/>
  <c r="AA881" i="10"/>
  <c r="AB881" i="10"/>
  <c r="T882" i="10"/>
  <c r="U882" i="10" s="1"/>
  <c r="X882" i="10"/>
  <c r="Z882" i="10"/>
  <c r="AA882" i="10"/>
  <c r="AB882" i="10"/>
  <c r="X883" i="10"/>
  <c r="T883" i="10"/>
  <c r="U883" i="10" s="1"/>
  <c r="Z883" i="10"/>
  <c r="AA883" i="10"/>
  <c r="AB883" i="10"/>
  <c r="T884" i="10"/>
  <c r="U884" i="10" s="1"/>
  <c r="X884" i="10"/>
  <c r="Z884" i="10"/>
  <c r="AA884" i="10"/>
  <c r="AB884" i="10"/>
  <c r="X885" i="10"/>
  <c r="T885" i="10"/>
  <c r="U885" i="10" s="1"/>
  <c r="Z885" i="10"/>
  <c r="AA885" i="10"/>
  <c r="AB885" i="10"/>
  <c r="T886" i="10"/>
  <c r="U886" i="10" s="1"/>
  <c r="X886" i="10"/>
  <c r="Z886" i="10"/>
  <c r="AA886" i="10"/>
  <c r="AB886" i="10"/>
  <c r="X887" i="10"/>
  <c r="T887" i="10"/>
  <c r="U887" i="10" s="1"/>
  <c r="Z887" i="10"/>
  <c r="AA887" i="10"/>
  <c r="AB887" i="10"/>
  <c r="T888" i="10"/>
  <c r="U888" i="10" s="1"/>
  <c r="X888" i="10"/>
  <c r="Z888" i="10"/>
  <c r="AA888" i="10"/>
  <c r="AB888" i="10"/>
  <c r="X889" i="10"/>
  <c r="T889" i="10"/>
  <c r="U889" i="10" s="1"/>
  <c r="Z889" i="10"/>
  <c r="AA889" i="10"/>
  <c r="AB889" i="10"/>
  <c r="T890" i="10"/>
  <c r="U890" i="10" s="1"/>
  <c r="X890" i="10"/>
  <c r="Z890" i="10"/>
  <c r="AA890" i="10"/>
  <c r="AB890" i="10"/>
  <c r="X891" i="10"/>
  <c r="T891" i="10"/>
  <c r="U891" i="10" s="1"/>
  <c r="Z891" i="10"/>
  <c r="AA891" i="10"/>
  <c r="AB891" i="10"/>
  <c r="T892" i="10"/>
  <c r="U892" i="10" s="1"/>
  <c r="X892" i="10"/>
  <c r="Z892" i="10"/>
  <c r="AA892" i="10"/>
  <c r="AB892" i="10"/>
  <c r="X893" i="10"/>
  <c r="T893" i="10"/>
  <c r="U893" i="10" s="1"/>
  <c r="Z893" i="10"/>
  <c r="AA893" i="10"/>
  <c r="AB893" i="10"/>
  <c r="T894" i="10"/>
  <c r="U894" i="10" s="1"/>
  <c r="X894" i="10"/>
  <c r="Z894" i="10"/>
  <c r="AA894" i="10"/>
  <c r="AB894" i="10"/>
  <c r="X895" i="10"/>
  <c r="T895" i="10"/>
  <c r="U895" i="10" s="1"/>
  <c r="Z895" i="10"/>
  <c r="AA895" i="10"/>
  <c r="AB895" i="10"/>
  <c r="T896" i="10"/>
  <c r="U896" i="10" s="1"/>
  <c r="X896" i="10"/>
  <c r="Z896" i="10"/>
  <c r="AA896" i="10"/>
  <c r="AB896" i="10"/>
  <c r="X897" i="10"/>
  <c r="T897" i="10"/>
  <c r="U897" i="10" s="1"/>
  <c r="Z897" i="10"/>
  <c r="AA897" i="10"/>
  <c r="AB897" i="10"/>
  <c r="T898" i="10"/>
  <c r="U898" i="10" s="1"/>
  <c r="X898" i="10"/>
  <c r="Z898" i="10"/>
  <c r="AA898" i="10"/>
  <c r="AB898" i="10"/>
  <c r="X899" i="10"/>
  <c r="T899" i="10"/>
  <c r="U899" i="10" s="1"/>
  <c r="Z899" i="10"/>
  <c r="AA899" i="10"/>
  <c r="AB899" i="10"/>
  <c r="T900" i="10"/>
  <c r="U900" i="10" s="1"/>
  <c r="X900" i="10"/>
  <c r="Z900" i="10"/>
  <c r="AA900" i="10"/>
  <c r="AB900" i="10"/>
  <c r="X901" i="10"/>
  <c r="T901" i="10"/>
  <c r="U901" i="10" s="1"/>
  <c r="Z901" i="10"/>
  <c r="AA901" i="10"/>
  <c r="AB901" i="10"/>
  <c r="T902" i="10"/>
  <c r="U902" i="10" s="1"/>
  <c r="X902" i="10"/>
  <c r="Z902" i="10"/>
  <c r="AA902" i="10"/>
  <c r="AB902" i="10"/>
  <c r="X903" i="10"/>
  <c r="T903" i="10"/>
  <c r="U903" i="10" s="1"/>
  <c r="Z903" i="10"/>
  <c r="AA903" i="10"/>
  <c r="AB903" i="10"/>
  <c r="T904" i="10"/>
  <c r="U904" i="10" s="1"/>
  <c r="X904" i="10"/>
  <c r="Z904" i="10"/>
  <c r="AA904" i="10"/>
  <c r="AB904" i="10"/>
  <c r="X905" i="10"/>
  <c r="T905" i="10"/>
  <c r="U905" i="10" s="1"/>
  <c r="Z905" i="10"/>
  <c r="AA905" i="10"/>
  <c r="AB905" i="10"/>
  <c r="T906" i="10"/>
  <c r="U906" i="10" s="1"/>
  <c r="X906" i="10"/>
  <c r="Z906" i="10"/>
  <c r="AA906" i="10"/>
  <c r="AB906" i="10"/>
  <c r="X907" i="10"/>
  <c r="T907" i="10"/>
  <c r="U907" i="10" s="1"/>
  <c r="Z907" i="10"/>
  <c r="AA907" i="10"/>
  <c r="AB907" i="10"/>
  <c r="T908" i="10"/>
  <c r="U908" i="10" s="1"/>
  <c r="X908" i="10"/>
  <c r="Z908" i="10"/>
  <c r="AA908" i="10"/>
  <c r="AB908" i="10"/>
  <c r="X909" i="10"/>
  <c r="T909" i="10"/>
  <c r="U909" i="10" s="1"/>
  <c r="Z909" i="10"/>
  <c r="AA909" i="10"/>
  <c r="AB909" i="10"/>
  <c r="T910" i="10"/>
  <c r="U910" i="10" s="1"/>
  <c r="X910" i="10"/>
  <c r="Z910" i="10"/>
  <c r="AA910" i="10"/>
  <c r="AB910" i="10"/>
  <c r="X911" i="10"/>
  <c r="T911" i="10"/>
  <c r="U911" i="10" s="1"/>
  <c r="Z911" i="10"/>
  <c r="AA911" i="10"/>
  <c r="AB911" i="10"/>
  <c r="T912" i="10"/>
  <c r="U912" i="10" s="1"/>
  <c r="X912" i="10"/>
  <c r="Z912" i="10"/>
  <c r="AA912" i="10"/>
  <c r="AB912" i="10"/>
  <c r="X913" i="10"/>
  <c r="T913" i="10"/>
  <c r="U913" i="10" s="1"/>
  <c r="Z913" i="10"/>
  <c r="AA913" i="10"/>
  <c r="AB913" i="10"/>
  <c r="T914" i="10"/>
  <c r="U914" i="10" s="1"/>
  <c r="X914" i="10"/>
  <c r="Z914" i="10"/>
  <c r="AA914" i="10"/>
  <c r="AB914" i="10"/>
  <c r="X915" i="10"/>
  <c r="T915" i="10"/>
  <c r="U915" i="10" s="1"/>
  <c r="Z915" i="10"/>
  <c r="AA915" i="10"/>
  <c r="AB915" i="10"/>
  <c r="T916" i="10"/>
  <c r="U916" i="10" s="1"/>
  <c r="X916" i="10"/>
  <c r="Z916" i="10"/>
  <c r="AA916" i="10"/>
  <c r="AB916" i="10"/>
  <c r="X917" i="10"/>
  <c r="T917" i="10"/>
  <c r="U917" i="10"/>
  <c r="Z917" i="10"/>
  <c r="AA917" i="10"/>
  <c r="AB917" i="10"/>
  <c r="T918" i="10"/>
  <c r="U918" i="10" s="1"/>
  <c r="X918" i="10"/>
  <c r="Z918" i="10"/>
  <c r="AA918" i="10"/>
  <c r="AB918" i="10"/>
  <c r="X919" i="10"/>
  <c r="T919" i="10"/>
  <c r="U919" i="10" s="1"/>
  <c r="Z919" i="10"/>
  <c r="AA919" i="10"/>
  <c r="AB919" i="10"/>
  <c r="T920" i="10"/>
  <c r="U920" i="10" s="1"/>
  <c r="X920" i="10"/>
  <c r="Z920" i="10"/>
  <c r="AA920" i="10"/>
  <c r="AB920" i="10"/>
  <c r="X921" i="10"/>
  <c r="T921" i="10"/>
  <c r="U921" i="10" s="1"/>
  <c r="Z921" i="10"/>
  <c r="AA921" i="10"/>
  <c r="AB921" i="10"/>
  <c r="T922" i="10"/>
  <c r="U922" i="10" s="1"/>
  <c r="X922" i="10"/>
  <c r="Z922" i="10"/>
  <c r="AA922" i="10"/>
  <c r="AB922" i="10"/>
  <c r="X923" i="10"/>
  <c r="T923" i="10"/>
  <c r="U923" i="10" s="1"/>
  <c r="Z923" i="10"/>
  <c r="AA923" i="10"/>
  <c r="AB923" i="10"/>
  <c r="T924" i="10"/>
  <c r="U924" i="10" s="1"/>
  <c r="X924" i="10"/>
  <c r="Z924" i="10"/>
  <c r="AA924" i="10"/>
  <c r="AB924" i="10"/>
  <c r="X925" i="10"/>
  <c r="T925" i="10"/>
  <c r="U925" i="10" s="1"/>
  <c r="Z925" i="10"/>
  <c r="AA925" i="10"/>
  <c r="AB925" i="10"/>
  <c r="T926" i="10"/>
  <c r="U926" i="10" s="1"/>
  <c r="X926" i="10"/>
  <c r="Z926" i="10"/>
  <c r="AA926" i="10"/>
  <c r="AB926" i="10"/>
  <c r="X927" i="10"/>
  <c r="T927" i="10"/>
  <c r="U927" i="10" s="1"/>
  <c r="Z927" i="10"/>
  <c r="AA927" i="10"/>
  <c r="AB927" i="10"/>
  <c r="T928" i="10"/>
  <c r="U928" i="10" s="1"/>
  <c r="X928" i="10"/>
  <c r="Z928" i="10"/>
  <c r="AA928" i="10"/>
  <c r="AB928" i="10"/>
  <c r="X929" i="10"/>
  <c r="T929" i="10"/>
  <c r="U929" i="10" s="1"/>
  <c r="Z929" i="10"/>
  <c r="AA929" i="10"/>
  <c r="AB929" i="10"/>
  <c r="T930" i="10"/>
  <c r="U930" i="10" s="1"/>
  <c r="X930" i="10"/>
  <c r="Z930" i="10"/>
  <c r="AA930" i="10"/>
  <c r="AB930" i="10"/>
  <c r="X931" i="10"/>
  <c r="T931" i="10"/>
  <c r="U931" i="10" s="1"/>
  <c r="Z931" i="10"/>
  <c r="AA931" i="10"/>
  <c r="AB931" i="10"/>
  <c r="T932" i="10"/>
  <c r="U932" i="10" s="1"/>
  <c r="X932" i="10"/>
  <c r="Z932" i="10"/>
  <c r="AA932" i="10"/>
  <c r="AB932" i="10"/>
  <c r="X933" i="10"/>
  <c r="T933" i="10"/>
  <c r="U933" i="10"/>
  <c r="Z933" i="10"/>
  <c r="AA933" i="10"/>
  <c r="AB933" i="10"/>
  <c r="T934" i="10"/>
  <c r="U934" i="10" s="1"/>
  <c r="X934" i="10"/>
  <c r="Z934" i="10"/>
  <c r="AA934" i="10"/>
  <c r="AB934" i="10"/>
  <c r="X935" i="10"/>
  <c r="T935" i="10"/>
  <c r="U935" i="10" s="1"/>
  <c r="Z935" i="10"/>
  <c r="AA935" i="10"/>
  <c r="AB935" i="10"/>
  <c r="T936" i="10"/>
  <c r="U936" i="10" s="1"/>
  <c r="X936" i="10"/>
  <c r="Z936" i="10"/>
  <c r="AA936" i="10"/>
  <c r="AB936" i="10"/>
  <c r="X937" i="10"/>
  <c r="T937" i="10"/>
  <c r="U937" i="10" s="1"/>
  <c r="Z937" i="10"/>
  <c r="AA937" i="10"/>
  <c r="AB937" i="10"/>
  <c r="T938" i="10"/>
  <c r="U938" i="10" s="1"/>
  <c r="X938" i="10"/>
  <c r="Z938" i="10"/>
  <c r="AA938" i="10"/>
  <c r="AB938" i="10"/>
  <c r="X939" i="10"/>
  <c r="T939" i="10"/>
  <c r="U939" i="10" s="1"/>
  <c r="Z939" i="10"/>
  <c r="AA939" i="10"/>
  <c r="AB939" i="10"/>
  <c r="T940" i="10"/>
  <c r="U940" i="10" s="1"/>
  <c r="X940" i="10"/>
  <c r="Z940" i="10"/>
  <c r="AA940" i="10"/>
  <c r="AB940" i="10"/>
  <c r="X941" i="10"/>
  <c r="T941" i="10"/>
  <c r="U941" i="10" s="1"/>
  <c r="Z941" i="10"/>
  <c r="AA941" i="10"/>
  <c r="AB941" i="10"/>
  <c r="T942" i="10"/>
  <c r="U942" i="10" s="1"/>
  <c r="X942" i="10"/>
  <c r="Z942" i="10"/>
  <c r="AA942" i="10"/>
  <c r="AB942" i="10"/>
  <c r="X943" i="10"/>
  <c r="T943" i="10"/>
  <c r="U943" i="10" s="1"/>
  <c r="Z943" i="10"/>
  <c r="AA943" i="10"/>
  <c r="AB943" i="10"/>
  <c r="T944" i="10"/>
  <c r="U944" i="10" s="1"/>
  <c r="X944" i="10"/>
  <c r="Z944" i="10"/>
  <c r="AA944" i="10"/>
  <c r="AB944" i="10"/>
  <c r="X945" i="10"/>
  <c r="T945" i="10"/>
  <c r="U945" i="10" s="1"/>
  <c r="Z945" i="10"/>
  <c r="AA945" i="10"/>
  <c r="AB945" i="10"/>
  <c r="T946" i="10"/>
  <c r="U946" i="10" s="1"/>
  <c r="X946" i="10"/>
  <c r="Z946" i="10"/>
  <c r="AA946" i="10"/>
  <c r="AB946" i="10"/>
  <c r="X947" i="10"/>
  <c r="T947" i="10"/>
  <c r="U947" i="10" s="1"/>
  <c r="Z947" i="10"/>
  <c r="AA947" i="10"/>
  <c r="AB947" i="10"/>
  <c r="T948" i="10"/>
  <c r="U948" i="10" s="1"/>
  <c r="X948" i="10"/>
  <c r="Z948" i="10"/>
  <c r="AA948" i="10"/>
  <c r="AB948" i="10"/>
  <c r="T949" i="10"/>
  <c r="U949" i="10" s="1"/>
  <c r="X949" i="10"/>
  <c r="Z949" i="10"/>
  <c r="AA949" i="10"/>
  <c r="AB949" i="10"/>
  <c r="T950" i="10"/>
  <c r="U950" i="10" s="1"/>
  <c r="X950" i="10"/>
  <c r="Z950" i="10"/>
  <c r="AA950" i="10"/>
  <c r="AB950" i="10"/>
  <c r="X951" i="10"/>
  <c r="T951" i="10"/>
  <c r="U951" i="10"/>
  <c r="Z951" i="10"/>
  <c r="AA951" i="10"/>
  <c r="AB951" i="10"/>
  <c r="X952" i="10"/>
  <c r="T952" i="10"/>
  <c r="U952" i="10" s="1"/>
  <c r="Z952" i="10"/>
  <c r="AA952" i="10"/>
  <c r="AB952" i="10"/>
  <c r="T953" i="10"/>
  <c r="U953" i="10" s="1"/>
  <c r="X953" i="10"/>
  <c r="Z953" i="10"/>
  <c r="AA953" i="10"/>
  <c r="AB953" i="10"/>
  <c r="T954" i="10"/>
  <c r="U954" i="10" s="1"/>
  <c r="X954" i="10"/>
  <c r="Z954" i="10"/>
  <c r="AA954" i="10"/>
  <c r="AB954" i="10"/>
  <c r="T955" i="10"/>
  <c r="U955" i="10" s="1"/>
  <c r="X955" i="10"/>
  <c r="Z955" i="10"/>
  <c r="AA955" i="10"/>
  <c r="AB955" i="10"/>
  <c r="X956" i="10"/>
  <c r="T956" i="10"/>
  <c r="U956" i="10" s="1"/>
  <c r="Z956" i="10"/>
  <c r="AA956" i="10"/>
  <c r="AB956" i="10"/>
  <c r="X957" i="10"/>
  <c r="T957" i="10"/>
  <c r="U957" i="10" s="1"/>
  <c r="Z957" i="10"/>
  <c r="AA957" i="10"/>
  <c r="AB957" i="10"/>
  <c r="T958" i="10"/>
  <c r="U958" i="10" s="1"/>
  <c r="X958" i="10"/>
  <c r="Z958" i="10"/>
  <c r="AA958" i="10"/>
  <c r="AB958" i="10"/>
  <c r="T959" i="10"/>
  <c r="U959" i="10" s="1"/>
  <c r="X959" i="10"/>
  <c r="Z959" i="10"/>
  <c r="AA959" i="10"/>
  <c r="AB959" i="10"/>
  <c r="X960" i="10"/>
  <c r="T960" i="10"/>
  <c r="U960" i="10" s="1"/>
  <c r="Z960" i="10"/>
  <c r="AA960" i="10"/>
  <c r="AB960" i="10"/>
  <c r="X961" i="10"/>
  <c r="T961" i="10"/>
  <c r="U961" i="10" s="1"/>
  <c r="Z961" i="10"/>
  <c r="AA961" i="10"/>
  <c r="AB961" i="10"/>
  <c r="T962" i="10"/>
  <c r="U962" i="10" s="1"/>
  <c r="X962" i="10"/>
  <c r="Z962" i="10"/>
  <c r="AA962" i="10"/>
  <c r="AB962" i="10"/>
  <c r="T963" i="10"/>
  <c r="U963" i="10" s="1"/>
  <c r="X963" i="10"/>
  <c r="Z963" i="10"/>
  <c r="AA963" i="10"/>
  <c r="AB963" i="10"/>
  <c r="X964" i="10"/>
  <c r="T964" i="10"/>
  <c r="U964" i="10" s="1"/>
  <c r="Z964" i="10"/>
  <c r="AA964" i="10"/>
  <c r="AB964" i="10"/>
  <c r="X965" i="10"/>
  <c r="T965" i="10"/>
  <c r="U965" i="10" s="1"/>
  <c r="Z965" i="10"/>
  <c r="AA965" i="10"/>
  <c r="AB965" i="10"/>
  <c r="T966" i="10"/>
  <c r="U966" i="10" s="1"/>
  <c r="X966" i="10"/>
  <c r="Z966" i="10"/>
  <c r="AA966" i="10"/>
  <c r="AB966" i="10"/>
  <c r="T967" i="10"/>
  <c r="U967" i="10"/>
  <c r="X967" i="10"/>
  <c r="Z967" i="10"/>
  <c r="AA967" i="10"/>
  <c r="AB967" i="10"/>
  <c r="X968" i="10"/>
  <c r="T968" i="10"/>
  <c r="U968" i="10" s="1"/>
  <c r="Z968" i="10"/>
  <c r="AA968" i="10"/>
  <c r="AB968" i="10"/>
  <c r="X969" i="10"/>
  <c r="T969" i="10"/>
  <c r="U969" i="10" s="1"/>
  <c r="Z969" i="10"/>
  <c r="AA969" i="10"/>
  <c r="AB969" i="10"/>
  <c r="T970" i="10"/>
  <c r="U970" i="10" s="1"/>
  <c r="X970" i="10"/>
  <c r="Z970" i="10"/>
  <c r="AA970" i="10"/>
  <c r="AB970" i="10"/>
  <c r="T971" i="10"/>
  <c r="U971" i="10" s="1"/>
  <c r="X971" i="10"/>
  <c r="Z971" i="10"/>
  <c r="AA971" i="10"/>
  <c r="AB971" i="10"/>
  <c r="X972" i="10"/>
  <c r="T972" i="10"/>
  <c r="U972" i="10" s="1"/>
  <c r="Z972" i="10"/>
  <c r="AA972" i="10"/>
  <c r="AB972" i="10"/>
  <c r="X973" i="10"/>
  <c r="T973" i="10"/>
  <c r="U973" i="10" s="1"/>
  <c r="Z973" i="10"/>
  <c r="AA973" i="10"/>
  <c r="AB973" i="10"/>
  <c r="T974" i="10"/>
  <c r="U974" i="10" s="1"/>
  <c r="X974" i="10"/>
  <c r="Z974" i="10"/>
  <c r="AA974" i="10"/>
  <c r="AB974" i="10"/>
  <c r="T975" i="10"/>
  <c r="U975" i="10" s="1"/>
  <c r="X975" i="10"/>
  <c r="Z975" i="10"/>
  <c r="AA975" i="10"/>
  <c r="AB975" i="10"/>
  <c r="X976" i="10"/>
  <c r="T976" i="10"/>
  <c r="U976" i="10" s="1"/>
  <c r="Z976" i="10"/>
  <c r="AA976" i="10"/>
  <c r="AB976" i="10"/>
  <c r="X977" i="10"/>
  <c r="T977" i="10"/>
  <c r="U977" i="10" s="1"/>
  <c r="Z977" i="10"/>
  <c r="AA977" i="10"/>
  <c r="AB977" i="10"/>
  <c r="T978" i="10"/>
  <c r="U978" i="10" s="1"/>
  <c r="X978" i="10"/>
  <c r="Z978" i="10"/>
  <c r="AA978" i="10"/>
  <c r="AB978" i="10"/>
  <c r="T979" i="10"/>
  <c r="U979" i="10" s="1"/>
  <c r="X979" i="10"/>
  <c r="Z979" i="10"/>
  <c r="AA979" i="10"/>
  <c r="AB979" i="10"/>
  <c r="X980" i="10"/>
  <c r="T980" i="10"/>
  <c r="U980" i="10" s="1"/>
  <c r="Z980" i="10"/>
  <c r="AA980" i="10"/>
  <c r="AB980" i="10"/>
  <c r="X981" i="10"/>
  <c r="T981" i="10"/>
  <c r="U981" i="10" s="1"/>
  <c r="Z981" i="10"/>
  <c r="AA981" i="10"/>
  <c r="AB981" i="10"/>
  <c r="T982" i="10"/>
  <c r="U982" i="10" s="1"/>
  <c r="X982" i="10"/>
  <c r="Z982" i="10"/>
  <c r="AA982" i="10"/>
  <c r="AB982" i="10"/>
  <c r="T983" i="10"/>
  <c r="U983" i="10" s="1"/>
  <c r="X983" i="10"/>
  <c r="Z983" i="10"/>
  <c r="AA983" i="10"/>
  <c r="AB983" i="10"/>
  <c r="X984" i="10"/>
  <c r="T984" i="10"/>
  <c r="U984" i="10" s="1"/>
  <c r="Z984" i="10"/>
  <c r="AA984" i="10"/>
  <c r="AB984" i="10"/>
  <c r="X985" i="10"/>
  <c r="T985" i="10"/>
  <c r="U985" i="10" s="1"/>
  <c r="Z985" i="10"/>
  <c r="AA985" i="10"/>
  <c r="AB985" i="10"/>
  <c r="T986" i="10"/>
  <c r="U986" i="10" s="1"/>
  <c r="X986" i="10"/>
  <c r="Z986" i="10"/>
  <c r="AA986" i="10"/>
  <c r="AB986" i="10"/>
  <c r="T987" i="10"/>
  <c r="U987" i="10" s="1"/>
  <c r="X987" i="10"/>
  <c r="Z987" i="10"/>
  <c r="AA987" i="10"/>
  <c r="AB987" i="10"/>
  <c r="X988" i="10"/>
  <c r="T988" i="10"/>
  <c r="U988" i="10" s="1"/>
  <c r="Z988" i="10"/>
  <c r="AA988" i="10"/>
  <c r="AB988" i="10"/>
  <c r="X989" i="10"/>
  <c r="T989" i="10"/>
  <c r="U989" i="10" s="1"/>
  <c r="Z989" i="10"/>
  <c r="AA989" i="10"/>
  <c r="AB989" i="10"/>
  <c r="T990" i="10"/>
  <c r="U990" i="10" s="1"/>
  <c r="X990" i="10"/>
  <c r="Z990" i="10"/>
  <c r="AA990" i="10"/>
  <c r="AB990" i="10"/>
  <c r="T991" i="10"/>
  <c r="U991" i="10" s="1"/>
  <c r="X991" i="10"/>
  <c r="Z991" i="10"/>
  <c r="AA991" i="10"/>
  <c r="AB991" i="10"/>
  <c r="X992" i="10"/>
  <c r="T992" i="10"/>
  <c r="U992" i="10" s="1"/>
  <c r="Z992" i="10"/>
  <c r="AA992" i="10"/>
  <c r="AB992" i="10"/>
  <c r="X993" i="10"/>
  <c r="T993" i="10"/>
  <c r="U993" i="10" s="1"/>
  <c r="Z993" i="10"/>
  <c r="AA993" i="10"/>
  <c r="AB993" i="10"/>
  <c r="T994" i="10"/>
  <c r="U994" i="10" s="1"/>
  <c r="X994" i="10"/>
  <c r="Z994" i="10"/>
  <c r="AA994" i="10"/>
  <c r="AB994" i="10"/>
  <c r="T995" i="10"/>
  <c r="U995" i="10" s="1"/>
  <c r="X995" i="10"/>
  <c r="Z995" i="10"/>
  <c r="AA995" i="10"/>
  <c r="AB995" i="10"/>
  <c r="X996" i="10"/>
  <c r="T996" i="10"/>
  <c r="U996" i="10" s="1"/>
  <c r="Z996" i="10"/>
  <c r="AA996" i="10"/>
  <c r="AB996" i="10"/>
  <c r="X997" i="10"/>
  <c r="T997" i="10"/>
  <c r="U997" i="10" s="1"/>
  <c r="Z997" i="10"/>
  <c r="AA997" i="10"/>
  <c r="AB997" i="10"/>
  <c r="T998" i="10"/>
  <c r="U998" i="10" s="1"/>
  <c r="X998" i="10"/>
  <c r="Z998" i="10"/>
  <c r="AA998" i="10"/>
  <c r="AB998" i="10"/>
  <c r="T999" i="10"/>
  <c r="U999" i="10" s="1"/>
  <c r="X999" i="10"/>
  <c r="Z999" i="10"/>
  <c r="AA999" i="10"/>
  <c r="AB999" i="10"/>
  <c r="X1000" i="10"/>
  <c r="T1000" i="10"/>
  <c r="U1000" i="10" s="1"/>
  <c r="Z1000" i="10"/>
  <c r="AA1000" i="10"/>
  <c r="AB1000" i="10"/>
  <c r="X1001" i="10"/>
  <c r="T1001" i="10"/>
  <c r="U1001" i="10" s="1"/>
  <c r="Z1001" i="10"/>
  <c r="AA1001" i="10"/>
  <c r="AB1001" i="10"/>
  <c r="T1002" i="10"/>
  <c r="U1002" i="10" s="1"/>
  <c r="X1002" i="10"/>
  <c r="Z1002" i="10"/>
  <c r="AA1002" i="10"/>
  <c r="AB1002" i="10"/>
  <c r="T1003" i="10"/>
  <c r="U1003" i="10" s="1"/>
  <c r="X1003" i="10"/>
  <c r="Z1003" i="10"/>
  <c r="AA1003" i="10"/>
  <c r="AB1003" i="10"/>
  <c r="X1004" i="10"/>
  <c r="T1004" i="10"/>
  <c r="U1004" i="10" s="1"/>
  <c r="Z1004" i="10"/>
  <c r="AA1004" i="10"/>
  <c r="AB1004" i="10"/>
  <c r="X1005" i="10"/>
  <c r="T1005" i="10"/>
  <c r="U1005" i="10" s="1"/>
  <c r="Z1005" i="10"/>
  <c r="AA1005" i="10"/>
  <c r="AB1005" i="10"/>
  <c r="T1006" i="10"/>
  <c r="U1006" i="10" s="1"/>
  <c r="X1006" i="10"/>
  <c r="Z1006" i="10"/>
  <c r="AA1006" i="10"/>
  <c r="AB1006" i="10"/>
  <c r="T1007" i="10"/>
  <c r="U1007" i="10" s="1"/>
  <c r="X1007" i="10"/>
  <c r="Z1007" i="10"/>
  <c r="AA1007" i="10"/>
  <c r="AB1007" i="10"/>
  <c r="X1008" i="10"/>
  <c r="T1008" i="10"/>
  <c r="U1008" i="10" s="1"/>
  <c r="Z1008" i="10"/>
  <c r="AA1008" i="10"/>
  <c r="AB1008" i="10"/>
  <c r="X1009" i="10"/>
  <c r="T1009" i="10"/>
  <c r="U1009" i="10" s="1"/>
  <c r="Z1009" i="10"/>
  <c r="AA1009" i="10"/>
  <c r="AB1009" i="10"/>
  <c r="T1010" i="10"/>
  <c r="U1010" i="10" s="1"/>
  <c r="X1010" i="10"/>
  <c r="Z1010" i="10"/>
  <c r="AA1010" i="10"/>
  <c r="AB1010" i="10"/>
  <c r="T1011" i="10"/>
  <c r="U1011" i="10" s="1"/>
  <c r="X1011" i="10"/>
  <c r="Z1011" i="10"/>
  <c r="AA1011" i="10"/>
  <c r="AB1011" i="10"/>
  <c r="X1012" i="10"/>
  <c r="T1012" i="10"/>
  <c r="U1012" i="10" s="1"/>
  <c r="Z1012" i="10"/>
  <c r="AA1012" i="10"/>
  <c r="AB1012" i="10"/>
  <c r="X1013" i="10"/>
  <c r="T1013" i="10"/>
  <c r="U1013" i="10" s="1"/>
  <c r="Z1013" i="10"/>
  <c r="AA1013" i="10"/>
  <c r="AB1013" i="10"/>
  <c r="T1014" i="10"/>
  <c r="U1014" i="10" s="1"/>
  <c r="X1014" i="10"/>
  <c r="Z1014" i="10"/>
  <c r="AA1014" i="10"/>
  <c r="AB1014" i="10"/>
  <c r="T1015" i="10"/>
  <c r="U1015" i="10" s="1"/>
  <c r="X1015" i="10"/>
  <c r="Z1015" i="10"/>
  <c r="AA1015" i="10"/>
  <c r="AB1015" i="10"/>
  <c r="X1016" i="10"/>
  <c r="T1016" i="10"/>
  <c r="U1016" i="10" s="1"/>
  <c r="Z1016" i="10"/>
  <c r="AA1016" i="10"/>
  <c r="AB1016" i="10"/>
  <c r="X1017" i="10"/>
  <c r="T1017" i="10"/>
  <c r="U1017" i="10" s="1"/>
  <c r="Z1017" i="10"/>
  <c r="AA1017" i="10"/>
  <c r="AB1017" i="10"/>
  <c r="T1018" i="10"/>
  <c r="U1018" i="10" s="1"/>
  <c r="X1018" i="10"/>
  <c r="Z1018" i="10"/>
  <c r="AA1018" i="10"/>
  <c r="AB1018" i="10"/>
  <c r="T1019" i="10"/>
  <c r="U1019" i="10" s="1"/>
  <c r="X1019" i="10"/>
  <c r="Z1019" i="10"/>
  <c r="AA1019" i="10"/>
  <c r="AB1019" i="10"/>
  <c r="X1020" i="10"/>
  <c r="T1020" i="10"/>
  <c r="U1020" i="10" s="1"/>
  <c r="Z1020" i="10"/>
  <c r="AA1020" i="10"/>
  <c r="AB1020" i="10"/>
  <c r="X1021" i="10"/>
  <c r="T1021" i="10"/>
  <c r="U1021" i="10" s="1"/>
  <c r="Z1021" i="10"/>
  <c r="AA1021" i="10"/>
  <c r="AB1021" i="10"/>
  <c r="T1022" i="10"/>
  <c r="U1022" i="10" s="1"/>
  <c r="X1022" i="10"/>
  <c r="Z1022" i="10"/>
  <c r="AA1022" i="10"/>
  <c r="AB1022" i="10"/>
  <c r="T1023" i="10"/>
  <c r="U1023" i="10" s="1"/>
  <c r="X1023" i="10"/>
  <c r="Z1023" i="10"/>
  <c r="AA1023" i="10"/>
  <c r="AB1023" i="10"/>
  <c r="X1024" i="10"/>
  <c r="T1024" i="10"/>
  <c r="U1024" i="10" s="1"/>
  <c r="Z1024" i="10"/>
  <c r="AA1024" i="10"/>
  <c r="AB1024" i="10"/>
  <c r="X569" i="10"/>
  <c r="T569" i="10"/>
  <c r="U569" i="10" s="1"/>
  <c r="Z569" i="10"/>
  <c r="AA569" i="10"/>
  <c r="AB569" i="10"/>
  <c r="X570" i="10"/>
  <c r="T570" i="10"/>
  <c r="U570" i="10" s="1"/>
  <c r="Z570" i="10"/>
  <c r="AA570" i="10"/>
  <c r="AB570" i="10"/>
  <c r="T571" i="10"/>
  <c r="U571" i="10" s="1"/>
  <c r="X571" i="10"/>
  <c r="Z571" i="10"/>
  <c r="AA571" i="10"/>
  <c r="AB571" i="10"/>
  <c r="X572" i="10"/>
  <c r="T572" i="10"/>
  <c r="U572" i="10" s="1"/>
  <c r="Z572" i="10"/>
  <c r="AA572" i="10"/>
  <c r="AB572" i="10"/>
  <c r="T573" i="10"/>
  <c r="U573" i="10" s="1"/>
  <c r="X573" i="10"/>
  <c r="Z573" i="10"/>
  <c r="AA573" i="10"/>
  <c r="AB573" i="10"/>
  <c r="X574" i="10"/>
  <c r="T574" i="10"/>
  <c r="U574" i="10" s="1"/>
  <c r="Z574" i="10"/>
  <c r="AA574" i="10"/>
  <c r="AB574" i="10"/>
  <c r="T575" i="10"/>
  <c r="U575" i="10" s="1"/>
  <c r="X575" i="10"/>
  <c r="Z575" i="10"/>
  <c r="AA575" i="10"/>
  <c r="AB575" i="10"/>
  <c r="X576" i="10"/>
  <c r="T576" i="10"/>
  <c r="U576" i="10" s="1"/>
  <c r="Z576" i="10"/>
  <c r="AA576" i="10"/>
  <c r="AB576" i="10"/>
  <c r="T577" i="10"/>
  <c r="U577" i="10" s="1"/>
  <c r="X577" i="10"/>
  <c r="Z577" i="10"/>
  <c r="AA577" i="10"/>
  <c r="AB577" i="10"/>
  <c r="X578" i="10"/>
  <c r="T578" i="10"/>
  <c r="U578" i="10" s="1"/>
  <c r="Z578" i="10"/>
  <c r="AA578" i="10"/>
  <c r="AB578" i="10"/>
  <c r="T579" i="10"/>
  <c r="U579" i="10" s="1"/>
  <c r="X579" i="10"/>
  <c r="Z579" i="10"/>
  <c r="AA579" i="10"/>
  <c r="AB579" i="10"/>
  <c r="X580" i="10"/>
  <c r="T580" i="10"/>
  <c r="U580" i="10" s="1"/>
  <c r="Z580" i="10"/>
  <c r="AA580" i="10"/>
  <c r="AB580" i="10"/>
  <c r="T581" i="10"/>
  <c r="U581" i="10" s="1"/>
  <c r="X581" i="10"/>
  <c r="Z581" i="10"/>
  <c r="AA581" i="10"/>
  <c r="AB581" i="10"/>
  <c r="X582" i="10"/>
  <c r="T582" i="10"/>
  <c r="U582" i="10" s="1"/>
  <c r="Z582" i="10"/>
  <c r="AA582" i="10"/>
  <c r="AB582" i="10"/>
  <c r="T583" i="10"/>
  <c r="U583" i="10" s="1"/>
  <c r="X583" i="10"/>
  <c r="Z583" i="10"/>
  <c r="AA583" i="10"/>
  <c r="AB583" i="10"/>
  <c r="X584" i="10"/>
  <c r="T584" i="10"/>
  <c r="U584" i="10" s="1"/>
  <c r="Z584" i="10"/>
  <c r="AA584" i="10"/>
  <c r="AB584" i="10"/>
  <c r="T585" i="10"/>
  <c r="U585" i="10" s="1"/>
  <c r="X585" i="10"/>
  <c r="Z585" i="10"/>
  <c r="AA585" i="10"/>
  <c r="AB585" i="10"/>
  <c r="X586" i="10"/>
  <c r="T586" i="10"/>
  <c r="U586" i="10" s="1"/>
  <c r="Z586" i="10"/>
  <c r="AA586" i="10"/>
  <c r="AB586" i="10"/>
  <c r="T587" i="10"/>
  <c r="U587" i="10" s="1"/>
  <c r="X587" i="10"/>
  <c r="Z587" i="10"/>
  <c r="AA587" i="10"/>
  <c r="AB587" i="10"/>
  <c r="X588" i="10"/>
  <c r="T588" i="10"/>
  <c r="U588" i="10" s="1"/>
  <c r="Z588" i="10"/>
  <c r="AA588" i="10"/>
  <c r="AB588" i="10"/>
  <c r="T589" i="10"/>
  <c r="U589" i="10" s="1"/>
  <c r="X589" i="10"/>
  <c r="Z589" i="10"/>
  <c r="AA589" i="10"/>
  <c r="AB589" i="10"/>
  <c r="X590" i="10"/>
  <c r="T590" i="10"/>
  <c r="U590" i="10" s="1"/>
  <c r="Z590" i="10"/>
  <c r="AA590" i="10"/>
  <c r="AB590" i="10"/>
  <c r="T591" i="10"/>
  <c r="U591" i="10" s="1"/>
  <c r="X591" i="10"/>
  <c r="Z591" i="10"/>
  <c r="AA591" i="10"/>
  <c r="AB591" i="10"/>
  <c r="X592" i="10"/>
  <c r="T592" i="10"/>
  <c r="U592" i="10" s="1"/>
  <c r="Z592" i="10"/>
  <c r="AA592" i="10"/>
  <c r="AB592" i="10"/>
  <c r="T593" i="10"/>
  <c r="U593" i="10" s="1"/>
  <c r="X593" i="10"/>
  <c r="Z593" i="10"/>
  <c r="AA593" i="10"/>
  <c r="AB593" i="10"/>
  <c r="X594" i="10"/>
  <c r="T594" i="10"/>
  <c r="U594" i="10" s="1"/>
  <c r="Z594" i="10"/>
  <c r="AA594" i="10"/>
  <c r="AB594" i="10"/>
  <c r="T595" i="10"/>
  <c r="U595" i="10" s="1"/>
  <c r="X595" i="10"/>
  <c r="Z595" i="10"/>
  <c r="AA595" i="10"/>
  <c r="AB595" i="10"/>
  <c r="X596" i="10"/>
  <c r="T596" i="10"/>
  <c r="U596" i="10" s="1"/>
  <c r="Z596" i="10"/>
  <c r="AA596" i="10"/>
  <c r="AB596" i="10"/>
  <c r="T597" i="10"/>
  <c r="U597" i="10" s="1"/>
  <c r="X597" i="10"/>
  <c r="Z597" i="10"/>
  <c r="AA597" i="10"/>
  <c r="AB597" i="10"/>
  <c r="X598" i="10"/>
  <c r="T598" i="10"/>
  <c r="U598" i="10" s="1"/>
  <c r="Z598" i="10"/>
  <c r="AA598" i="10"/>
  <c r="AB598" i="10"/>
  <c r="T599" i="10"/>
  <c r="U599" i="10" s="1"/>
  <c r="X599" i="10"/>
  <c r="Z599" i="10"/>
  <c r="AA599" i="10"/>
  <c r="AB599" i="10"/>
  <c r="X600" i="10"/>
  <c r="T600" i="10"/>
  <c r="U600" i="10" s="1"/>
  <c r="Z600" i="10"/>
  <c r="AA600" i="10"/>
  <c r="AB600" i="10"/>
  <c r="T601" i="10"/>
  <c r="U601" i="10" s="1"/>
  <c r="X601" i="10"/>
  <c r="Z601" i="10"/>
  <c r="AA601" i="10"/>
  <c r="AB601" i="10"/>
  <c r="X602" i="10"/>
  <c r="T602" i="10"/>
  <c r="U602" i="10" s="1"/>
  <c r="Z602" i="10"/>
  <c r="AA602" i="10"/>
  <c r="AB602" i="10"/>
  <c r="T603" i="10"/>
  <c r="U603" i="10" s="1"/>
  <c r="X603" i="10"/>
  <c r="Z603" i="10"/>
  <c r="AA603" i="10"/>
  <c r="AB603" i="10"/>
  <c r="X604" i="10"/>
  <c r="T604" i="10"/>
  <c r="U604" i="10" s="1"/>
  <c r="Z604" i="10"/>
  <c r="AA604" i="10"/>
  <c r="AB604" i="10"/>
  <c r="T605" i="10"/>
  <c r="U605" i="10" s="1"/>
  <c r="X605" i="10"/>
  <c r="Z605" i="10"/>
  <c r="AA605" i="10"/>
  <c r="AB605" i="10"/>
  <c r="X606" i="10"/>
  <c r="T606" i="10"/>
  <c r="U606" i="10" s="1"/>
  <c r="Z606" i="10"/>
  <c r="AA606" i="10"/>
  <c r="AB606" i="10"/>
  <c r="T607" i="10"/>
  <c r="U607" i="10" s="1"/>
  <c r="X607" i="10"/>
  <c r="Z607" i="10"/>
  <c r="AA607" i="10"/>
  <c r="AB607" i="10"/>
  <c r="X608" i="10"/>
  <c r="T608" i="10"/>
  <c r="U608" i="10" s="1"/>
  <c r="Z608" i="10"/>
  <c r="AA608" i="10"/>
  <c r="AB608" i="10"/>
  <c r="T609" i="10"/>
  <c r="U609" i="10" s="1"/>
  <c r="X609" i="10"/>
  <c r="Z609" i="10"/>
  <c r="AA609" i="10"/>
  <c r="AB609" i="10"/>
  <c r="X610" i="10"/>
  <c r="T610" i="10"/>
  <c r="U610" i="10" s="1"/>
  <c r="Z610" i="10"/>
  <c r="AA610" i="10"/>
  <c r="AB610" i="10"/>
  <c r="T611" i="10"/>
  <c r="U611" i="10" s="1"/>
  <c r="X611" i="10"/>
  <c r="Z611" i="10"/>
  <c r="AA611" i="10"/>
  <c r="AB611" i="10"/>
  <c r="X612" i="10"/>
  <c r="T612" i="10"/>
  <c r="U612" i="10" s="1"/>
  <c r="Z612" i="10"/>
  <c r="AA612" i="10"/>
  <c r="AB612" i="10"/>
  <c r="T613" i="10"/>
  <c r="U613" i="10" s="1"/>
  <c r="X613" i="10"/>
  <c r="Z613" i="10"/>
  <c r="AA613" i="10"/>
  <c r="AB613" i="10"/>
  <c r="X614" i="10"/>
  <c r="T614" i="10"/>
  <c r="U614" i="10" s="1"/>
  <c r="Z614" i="10"/>
  <c r="AA614" i="10"/>
  <c r="AB614" i="10"/>
  <c r="T615" i="10"/>
  <c r="U615" i="10" s="1"/>
  <c r="X615" i="10"/>
  <c r="Z615" i="10"/>
  <c r="AA615" i="10"/>
  <c r="AB615" i="10"/>
  <c r="X616" i="10"/>
  <c r="T616" i="10"/>
  <c r="U616" i="10" s="1"/>
  <c r="Z616" i="10"/>
  <c r="AA616" i="10"/>
  <c r="AB616" i="10"/>
  <c r="T617" i="10"/>
  <c r="U617" i="10" s="1"/>
  <c r="X617" i="10"/>
  <c r="Z617" i="10"/>
  <c r="AA617" i="10"/>
  <c r="AB617" i="10"/>
  <c r="X618" i="10"/>
  <c r="T618" i="10"/>
  <c r="U618" i="10" s="1"/>
  <c r="Z618" i="10"/>
  <c r="AA618" i="10"/>
  <c r="AB618" i="10"/>
  <c r="T619" i="10"/>
  <c r="U619" i="10" s="1"/>
  <c r="X619" i="10"/>
  <c r="Z619" i="10"/>
  <c r="AA619" i="10"/>
  <c r="AB619" i="10"/>
  <c r="X620" i="10"/>
  <c r="T620" i="10"/>
  <c r="U620" i="10" s="1"/>
  <c r="Z620" i="10"/>
  <c r="AA620" i="10"/>
  <c r="AB620" i="10"/>
  <c r="T621" i="10"/>
  <c r="U621" i="10" s="1"/>
  <c r="X621" i="10"/>
  <c r="Z621" i="10"/>
  <c r="AA621" i="10"/>
  <c r="AB621" i="10"/>
  <c r="X622" i="10"/>
  <c r="T622" i="10"/>
  <c r="U622" i="10" s="1"/>
  <c r="Z622" i="10"/>
  <c r="AA622" i="10"/>
  <c r="AB622" i="10"/>
  <c r="T623" i="10"/>
  <c r="U623" i="10" s="1"/>
  <c r="X623" i="10"/>
  <c r="Z623" i="10"/>
  <c r="AA623" i="10"/>
  <c r="AB623" i="10"/>
  <c r="X624" i="10"/>
  <c r="T624" i="10"/>
  <c r="U624" i="10" s="1"/>
  <c r="Z624" i="10"/>
  <c r="AA624" i="10"/>
  <c r="AB624" i="10"/>
  <c r="T625" i="10"/>
  <c r="U625" i="10" s="1"/>
  <c r="X625" i="10"/>
  <c r="Z625" i="10"/>
  <c r="AA625" i="10"/>
  <c r="AB625" i="10"/>
  <c r="X626" i="10"/>
  <c r="T626" i="10"/>
  <c r="U626" i="10" s="1"/>
  <c r="Z626" i="10"/>
  <c r="AA626" i="10"/>
  <c r="AB626" i="10"/>
  <c r="T627" i="10"/>
  <c r="U627" i="10" s="1"/>
  <c r="X627" i="10"/>
  <c r="Z627" i="10"/>
  <c r="AA627" i="10"/>
  <c r="AB627" i="10"/>
  <c r="X628" i="10"/>
  <c r="T628" i="10"/>
  <c r="U628" i="10" s="1"/>
  <c r="Z628" i="10"/>
  <c r="AA628" i="10"/>
  <c r="AB628" i="10"/>
  <c r="T629" i="10"/>
  <c r="U629" i="10" s="1"/>
  <c r="X629" i="10"/>
  <c r="Z629" i="10"/>
  <c r="AA629" i="10"/>
  <c r="AB629" i="10"/>
  <c r="X630" i="10"/>
  <c r="T630" i="10"/>
  <c r="U630" i="10" s="1"/>
  <c r="Z630" i="10"/>
  <c r="AA630" i="10"/>
  <c r="AB630" i="10"/>
  <c r="T631" i="10"/>
  <c r="U631" i="10" s="1"/>
  <c r="X631" i="10"/>
  <c r="Z631" i="10"/>
  <c r="AA631" i="10"/>
  <c r="AB631" i="10"/>
  <c r="X632" i="10"/>
  <c r="T632" i="10"/>
  <c r="U632" i="10" s="1"/>
  <c r="Z632" i="10"/>
  <c r="AA632" i="10"/>
  <c r="AB632" i="10"/>
  <c r="T633" i="10"/>
  <c r="U633" i="10" s="1"/>
  <c r="X633" i="10"/>
  <c r="Z633" i="10"/>
  <c r="AA633" i="10"/>
  <c r="AB633" i="10"/>
  <c r="X634" i="10"/>
  <c r="T634" i="10"/>
  <c r="U634" i="10" s="1"/>
  <c r="Z634" i="10"/>
  <c r="AA634" i="10"/>
  <c r="AB634" i="10"/>
  <c r="T635" i="10"/>
  <c r="U635" i="10" s="1"/>
  <c r="X635" i="10"/>
  <c r="Z635" i="10"/>
  <c r="AA635" i="10"/>
  <c r="AB635" i="10"/>
  <c r="X636" i="10"/>
  <c r="T636" i="10"/>
  <c r="U636" i="10" s="1"/>
  <c r="Z636" i="10"/>
  <c r="AA636" i="10"/>
  <c r="AB636" i="10"/>
  <c r="T637" i="10"/>
  <c r="U637" i="10" s="1"/>
  <c r="X637" i="10"/>
  <c r="Z637" i="10"/>
  <c r="AA637" i="10"/>
  <c r="AB637" i="10"/>
  <c r="X638" i="10"/>
  <c r="T638" i="10"/>
  <c r="U638" i="10" s="1"/>
  <c r="Z638" i="10"/>
  <c r="AA638" i="10"/>
  <c r="AB638" i="10"/>
  <c r="T639" i="10"/>
  <c r="U639" i="10" s="1"/>
  <c r="X639" i="10"/>
  <c r="Z639" i="10"/>
  <c r="AA639" i="10"/>
  <c r="AB639" i="10"/>
  <c r="X640" i="10"/>
  <c r="T640" i="10"/>
  <c r="U640" i="10" s="1"/>
  <c r="Z640" i="10"/>
  <c r="AA640" i="10"/>
  <c r="AB640" i="10"/>
  <c r="T641" i="10"/>
  <c r="U641" i="10" s="1"/>
  <c r="X641" i="10"/>
  <c r="Z641" i="10"/>
  <c r="AA641" i="10"/>
  <c r="AB641" i="10"/>
  <c r="X642" i="10"/>
  <c r="T642" i="10"/>
  <c r="U642" i="10" s="1"/>
  <c r="Z642" i="10"/>
  <c r="AA642" i="10"/>
  <c r="AB642" i="10"/>
  <c r="T643" i="10"/>
  <c r="U643" i="10" s="1"/>
  <c r="X643" i="10"/>
  <c r="Z643" i="10"/>
  <c r="AA643" i="10"/>
  <c r="AB643" i="10"/>
  <c r="X644" i="10"/>
  <c r="T644" i="10"/>
  <c r="U644" i="10" s="1"/>
  <c r="Z644" i="10"/>
  <c r="AA644" i="10"/>
  <c r="AB644" i="10"/>
  <c r="T645" i="10"/>
  <c r="U645" i="10" s="1"/>
  <c r="X645" i="10"/>
  <c r="Z645" i="10"/>
  <c r="AA645" i="10"/>
  <c r="AB645" i="10"/>
  <c r="X646" i="10"/>
  <c r="T646" i="10"/>
  <c r="U646" i="10" s="1"/>
  <c r="Z646" i="10"/>
  <c r="AA646" i="10"/>
  <c r="AB646" i="10"/>
  <c r="T647" i="10"/>
  <c r="U647" i="10" s="1"/>
  <c r="X647" i="10"/>
  <c r="Z647" i="10"/>
  <c r="AA647" i="10"/>
  <c r="AB647" i="10"/>
  <c r="X648" i="10"/>
  <c r="T648" i="10"/>
  <c r="U648" i="10" s="1"/>
  <c r="Z648" i="10"/>
  <c r="AA648" i="10"/>
  <c r="AB648" i="10"/>
  <c r="T649" i="10"/>
  <c r="U649" i="10" s="1"/>
  <c r="X649" i="10"/>
  <c r="Z649" i="10"/>
  <c r="AA649" i="10"/>
  <c r="AB649" i="10"/>
  <c r="X650" i="10"/>
  <c r="T650" i="10"/>
  <c r="U650" i="10" s="1"/>
  <c r="Z650" i="10"/>
  <c r="AA650" i="10"/>
  <c r="AB650" i="10"/>
  <c r="T651" i="10"/>
  <c r="U651" i="10" s="1"/>
  <c r="X651" i="10"/>
  <c r="Z651" i="10"/>
  <c r="AA651" i="10"/>
  <c r="AB651" i="10"/>
  <c r="X652" i="10"/>
  <c r="T652" i="10"/>
  <c r="U652" i="10" s="1"/>
  <c r="Z652" i="10"/>
  <c r="AA652" i="10"/>
  <c r="AB652" i="10"/>
  <c r="T653" i="10"/>
  <c r="U653" i="10" s="1"/>
  <c r="X653" i="10"/>
  <c r="Z653" i="10"/>
  <c r="AA653" i="10"/>
  <c r="AB653" i="10"/>
  <c r="T654" i="10"/>
  <c r="U654" i="10" s="1"/>
  <c r="X654" i="10"/>
  <c r="Z654" i="10"/>
  <c r="AA654" i="10"/>
  <c r="AB654" i="10"/>
  <c r="X655" i="10"/>
  <c r="T655" i="10"/>
  <c r="U655" i="10" s="1"/>
  <c r="Z655" i="10"/>
  <c r="AA655" i="10"/>
  <c r="AB655" i="10"/>
  <c r="T656" i="10"/>
  <c r="U656" i="10" s="1"/>
  <c r="X656" i="10"/>
  <c r="Z656" i="10"/>
  <c r="AA656" i="10"/>
  <c r="AB656" i="10"/>
  <c r="X657" i="10"/>
  <c r="T657" i="10"/>
  <c r="U657" i="10" s="1"/>
  <c r="Z657" i="10"/>
  <c r="AA657" i="10"/>
  <c r="AB657" i="10"/>
  <c r="T658" i="10"/>
  <c r="U658" i="10" s="1"/>
  <c r="X658" i="10"/>
  <c r="Z658" i="10"/>
  <c r="AA658" i="10"/>
  <c r="AB658" i="10"/>
  <c r="X659" i="10"/>
  <c r="T659" i="10"/>
  <c r="U659" i="10" s="1"/>
  <c r="Z659" i="10"/>
  <c r="AA659" i="10"/>
  <c r="AB659" i="10"/>
  <c r="T660" i="10"/>
  <c r="U660" i="10" s="1"/>
  <c r="X660" i="10"/>
  <c r="Z660" i="10"/>
  <c r="AA660" i="10"/>
  <c r="AB660" i="10"/>
  <c r="X661" i="10"/>
  <c r="T661" i="10"/>
  <c r="U661" i="10" s="1"/>
  <c r="Z661" i="10"/>
  <c r="AA661" i="10"/>
  <c r="AB661" i="10"/>
  <c r="T662" i="10"/>
  <c r="U662" i="10" s="1"/>
  <c r="X662" i="10"/>
  <c r="Z662" i="10"/>
  <c r="AA662" i="10"/>
  <c r="AB662" i="10"/>
  <c r="X663" i="10"/>
  <c r="T663" i="10"/>
  <c r="U663" i="10" s="1"/>
  <c r="Z663" i="10"/>
  <c r="AA663" i="10"/>
  <c r="AB663" i="10"/>
  <c r="T664" i="10"/>
  <c r="U664" i="10" s="1"/>
  <c r="X664" i="10"/>
  <c r="Z664" i="10"/>
  <c r="AA664" i="10"/>
  <c r="AB664" i="10"/>
  <c r="X665" i="10"/>
  <c r="T665" i="10"/>
  <c r="U665" i="10"/>
  <c r="Z665" i="10"/>
  <c r="AA665" i="10"/>
  <c r="AB665" i="10"/>
  <c r="T666" i="10"/>
  <c r="U666" i="10" s="1"/>
  <c r="X666" i="10"/>
  <c r="Z666" i="10"/>
  <c r="AA666" i="10"/>
  <c r="AB666" i="10"/>
  <c r="X667" i="10"/>
  <c r="T667" i="10"/>
  <c r="U667" i="10" s="1"/>
  <c r="Z667" i="10"/>
  <c r="AA667" i="10"/>
  <c r="AB667" i="10"/>
  <c r="T668" i="10"/>
  <c r="U668" i="10" s="1"/>
  <c r="X668" i="10"/>
  <c r="Z668" i="10"/>
  <c r="AA668" i="10"/>
  <c r="AB668" i="10"/>
  <c r="X669" i="10"/>
  <c r="T669" i="10"/>
  <c r="U669" i="10" s="1"/>
  <c r="Z669" i="10"/>
  <c r="AA669" i="10"/>
  <c r="AB669" i="10"/>
  <c r="T670" i="10"/>
  <c r="U670" i="10" s="1"/>
  <c r="X670" i="10"/>
  <c r="Z670" i="10"/>
  <c r="AA670" i="10"/>
  <c r="AB670" i="10"/>
  <c r="X671" i="10"/>
  <c r="T671" i="10"/>
  <c r="U671" i="10" s="1"/>
  <c r="Z671" i="10"/>
  <c r="AA671" i="10"/>
  <c r="AB671" i="10"/>
  <c r="T672" i="10"/>
  <c r="U672" i="10" s="1"/>
  <c r="X672" i="10"/>
  <c r="Z672" i="10"/>
  <c r="AA672" i="10"/>
  <c r="AB672" i="10"/>
  <c r="X673" i="10"/>
  <c r="T673" i="10"/>
  <c r="U673" i="10" s="1"/>
  <c r="Z673" i="10"/>
  <c r="AA673" i="10"/>
  <c r="AB673" i="10"/>
  <c r="T674" i="10"/>
  <c r="U674" i="10" s="1"/>
  <c r="X674" i="10"/>
  <c r="Z674" i="10"/>
  <c r="AA674" i="10"/>
  <c r="AB674" i="10"/>
  <c r="X675" i="10"/>
  <c r="T675" i="10"/>
  <c r="U675" i="10" s="1"/>
  <c r="Z675" i="10"/>
  <c r="AA675" i="10"/>
  <c r="AB675" i="10"/>
  <c r="T676" i="10"/>
  <c r="U676" i="10" s="1"/>
  <c r="X676" i="10"/>
  <c r="Z676" i="10"/>
  <c r="AA676" i="10"/>
  <c r="AB676" i="10"/>
  <c r="X677" i="10"/>
  <c r="T677" i="10"/>
  <c r="U677" i="10" s="1"/>
  <c r="Z677" i="10"/>
  <c r="AA677" i="10"/>
  <c r="AB677" i="10"/>
  <c r="T678" i="10"/>
  <c r="U678" i="10" s="1"/>
  <c r="X678" i="10"/>
  <c r="Z678" i="10"/>
  <c r="AA678" i="10"/>
  <c r="AB678" i="10"/>
  <c r="X679" i="10"/>
  <c r="T679" i="10"/>
  <c r="U679" i="10" s="1"/>
  <c r="Z679" i="10"/>
  <c r="AA679" i="10"/>
  <c r="AB679" i="10"/>
  <c r="T680" i="10"/>
  <c r="U680" i="10" s="1"/>
  <c r="X680" i="10"/>
  <c r="Z680" i="10"/>
  <c r="AA680" i="10"/>
  <c r="AB680" i="10"/>
  <c r="X681" i="10"/>
  <c r="T681" i="10"/>
  <c r="U681" i="10"/>
  <c r="Z681" i="10"/>
  <c r="AA681" i="10"/>
  <c r="AB681" i="10"/>
  <c r="T682" i="10"/>
  <c r="U682" i="10" s="1"/>
  <c r="X682" i="10"/>
  <c r="Z682" i="10"/>
  <c r="AA682" i="10"/>
  <c r="AB682" i="10"/>
  <c r="X683" i="10"/>
  <c r="T683" i="10"/>
  <c r="U683" i="10" s="1"/>
  <c r="Z683" i="10"/>
  <c r="AA683" i="10"/>
  <c r="AB683" i="10"/>
  <c r="T684" i="10"/>
  <c r="U684" i="10" s="1"/>
  <c r="X684" i="10"/>
  <c r="Z684" i="10"/>
  <c r="AA684" i="10"/>
  <c r="AB684" i="10"/>
  <c r="X685" i="10"/>
  <c r="T685" i="10"/>
  <c r="U685" i="10" s="1"/>
  <c r="Z685" i="10"/>
  <c r="AA685" i="10"/>
  <c r="AB685" i="10"/>
  <c r="T686" i="10"/>
  <c r="U686" i="10" s="1"/>
  <c r="X686" i="10"/>
  <c r="Z686" i="10"/>
  <c r="AA686" i="10"/>
  <c r="AB686" i="10"/>
  <c r="X687" i="10"/>
  <c r="T687" i="10"/>
  <c r="U687" i="10" s="1"/>
  <c r="Z687" i="10"/>
  <c r="AA687" i="10"/>
  <c r="AB687" i="10"/>
  <c r="T688" i="10"/>
  <c r="U688" i="10" s="1"/>
  <c r="X688" i="10"/>
  <c r="Z688" i="10"/>
  <c r="AA688" i="10"/>
  <c r="AB688" i="10"/>
  <c r="X689" i="10"/>
  <c r="T689" i="10"/>
  <c r="U689" i="10" s="1"/>
  <c r="Z689" i="10"/>
  <c r="AA689" i="10"/>
  <c r="AB689" i="10"/>
  <c r="T690" i="10"/>
  <c r="U690" i="10" s="1"/>
  <c r="X690" i="10"/>
  <c r="Z690" i="10"/>
  <c r="AA690" i="10"/>
  <c r="AB690" i="10"/>
  <c r="X691" i="10"/>
  <c r="T691" i="10"/>
  <c r="U691" i="10" s="1"/>
  <c r="Z691" i="10"/>
  <c r="AA691" i="10"/>
  <c r="AB691" i="10"/>
  <c r="T692" i="10"/>
  <c r="U692" i="10" s="1"/>
  <c r="X692" i="10"/>
  <c r="Z692" i="10"/>
  <c r="AA692" i="10"/>
  <c r="AB692" i="10"/>
  <c r="X693" i="10"/>
  <c r="T693" i="10"/>
  <c r="U693" i="10" s="1"/>
  <c r="Z693" i="10"/>
  <c r="AA693" i="10"/>
  <c r="AB693" i="10"/>
  <c r="T694" i="10"/>
  <c r="U694" i="10" s="1"/>
  <c r="X694" i="10"/>
  <c r="Z694" i="10"/>
  <c r="AA694" i="10"/>
  <c r="AB694" i="10"/>
  <c r="X695" i="10"/>
  <c r="T695" i="10"/>
  <c r="U695" i="10" s="1"/>
  <c r="Z695" i="10"/>
  <c r="AA695" i="10"/>
  <c r="AB695" i="10"/>
  <c r="T696" i="10"/>
  <c r="U696" i="10" s="1"/>
  <c r="X696" i="10"/>
  <c r="Z696" i="10"/>
  <c r="AA696" i="10"/>
  <c r="AB696" i="10"/>
  <c r="X697" i="10"/>
  <c r="T697" i="10"/>
  <c r="U697" i="10"/>
  <c r="Z697" i="10"/>
  <c r="AA697" i="10"/>
  <c r="AB697" i="10"/>
  <c r="T698" i="10"/>
  <c r="U698" i="10" s="1"/>
  <c r="X698" i="10"/>
  <c r="Z698" i="10"/>
  <c r="AA698" i="10"/>
  <c r="AB698" i="10"/>
  <c r="X699" i="10"/>
  <c r="T699" i="10"/>
  <c r="U699" i="10" s="1"/>
  <c r="Z699" i="10"/>
  <c r="AA699" i="10"/>
  <c r="AB699" i="10"/>
  <c r="T700" i="10"/>
  <c r="U700" i="10" s="1"/>
  <c r="X700" i="10"/>
  <c r="Z700" i="10"/>
  <c r="AA700" i="10"/>
  <c r="AB700" i="10"/>
  <c r="X701" i="10"/>
  <c r="T701" i="10"/>
  <c r="U701" i="10" s="1"/>
  <c r="Z701" i="10"/>
  <c r="AA701" i="10"/>
  <c r="AB701" i="10"/>
  <c r="T702" i="10"/>
  <c r="U702" i="10" s="1"/>
  <c r="X702" i="10"/>
  <c r="Z702" i="10"/>
  <c r="AA702" i="10"/>
  <c r="AB702" i="10"/>
  <c r="X703" i="10"/>
  <c r="T703" i="10"/>
  <c r="U703" i="10" s="1"/>
  <c r="Z703" i="10"/>
  <c r="AA703" i="10"/>
  <c r="AB703" i="10"/>
  <c r="T704" i="10"/>
  <c r="U704" i="10" s="1"/>
  <c r="X704" i="10"/>
  <c r="Z704" i="10"/>
  <c r="AA704" i="10"/>
  <c r="AB704" i="10"/>
  <c r="X705" i="10"/>
  <c r="T705" i="10"/>
  <c r="U705" i="10" s="1"/>
  <c r="Z705" i="10"/>
  <c r="AA705" i="10"/>
  <c r="AB705" i="10"/>
  <c r="T706" i="10"/>
  <c r="U706" i="10" s="1"/>
  <c r="X706" i="10"/>
  <c r="Z706" i="10"/>
  <c r="AA706" i="10"/>
  <c r="AB706" i="10"/>
  <c r="X707" i="10"/>
  <c r="T707" i="10"/>
  <c r="U707" i="10" s="1"/>
  <c r="Z707" i="10"/>
  <c r="AA707" i="10"/>
  <c r="AB707" i="10"/>
  <c r="T708" i="10"/>
  <c r="U708" i="10" s="1"/>
  <c r="X708" i="10"/>
  <c r="Z708" i="10"/>
  <c r="AA708" i="10"/>
  <c r="AB708" i="10"/>
  <c r="X709" i="10"/>
  <c r="T709" i="10"/>
  <c r="U709" i="10" s="1"/>
  <c r="Z709" i="10"/>
  <c r="AA709" i="10"/>
  <c r="AB709" i="10"/>
  <c r="T710" i="10"/>
  <c r="U710" i="10" s="1"/>
  <c r="X710" i="10"/>
  <c r="Z710" i="10"/>
  <c r="AA710" i="10"/>
  <c r="AB710" i="10"/>
  <c r="X711" i="10"/>
  <c r="T711" i="10"/>
  <c r="U711" i="10" s="1"/>
  <c r="Z711" i="10"/>
  <c r="AA711" i="10"/>
  <c r="AB711" i="10"/>
  <c r="T712" i="10"/>
  <c r="U712" i="10" s="1"/>
  <c r="X712" i="10"/>
  <c r="Z712" i="10"/>
  <c r="AA712" i="10"/>
  <c r="AB712" i="10"/>
  <c r="X713" i="10"/>
  <c r="T713" i="10"/>
  <c r="U713" i="10"/>
  <c r="Z713" i="10"/>
  <c r="AA713" i="10"/>
  <c r="AB713" i="10"/>
  <c r="T714" i="10"/>
  <c r="U714" i="10" s="1"/>
  <c r="X714" i="10"/>
  <c r="Z714" i="10"/>
  <c r="AA714" i="10"/>
  <c r="AB714" i="10"/>
  <c r="X715" i="10"/>
  <c r="T715" i="10"/>
  <c r="U715" i="10" s="1"/>
  <c r="Z715" i="10"/>
  <c r="AA715" i="10"/>
  <c r="AB715" i="10"/>
  <c r="T716" i="10"/>
  <c r="U716" i="10" s="1"/>
  <c r="X716" i="10"/>
  <c r="Z716" i="10"/>
  <c r="AA716" i="10"/>
  <c r="AB716" i="10"/>
  <c r="X717" i="10"/>
  <c r="T717" i="10"/>
  <c r="U717" i="10" s="1"/>
  <c r="Z717" i="10"/>
  <c r="AA717" i="10"/>
  <c r="AB717" i="10"/>
  <c r="T718" i="10"/>
  <c r="U718" i="10" s="1"/>
  <c r="X718" i="10"/>
  <c r="Z718" i="10"/>
  <c r="AA718" i="10"/>
  <c r="AB718" i="10"/>
  <c r="X719" i="10"/>
  <c r="T719" i="10"/>
  <c r="U719" i="10" s="1"/>
  <c r="Z719" i="10"/>
  <c r="AA719" i="10"/>
  <c r="AB719" i="10"/>
  <c r="T720" i="10"/>
  <c r="U720" i="10" s="1"/>
  <c r="X720" i="10"/>
  <c r="Z720" i="10"/>
  <c r="AA720" i="10"/>
  <c r="AB720" i="10"/>
  <c r="X493" i="10"/>
  <c r="T493" i="10"/>
  <c r="U493" i="10" s="1"/>
  <c r="Z493" i="10"/>
  <c r="AA493" i="10"/>
  <c r="AB493" i="10"/>
  <c r="X494" i="10"/>
  <c r="T494" i="10"/>
  <c r="U494" i="10" s="1"/>
  <c r="Z494" i="10"/>
  <c r="AA494" i="10"/>
  <c r="AB494" i="10"/>
  <c r="T495" i="10"/>
  <c r="U495" i="10" s="1"/>
  <c r="X495" i="10"/>
  <c r="Z495" i="10"/>
  <c r="AA495" i="10"/>
  <c r="AB495" i="10"/>
  <c r="X496" i="10"/>
  <c r="T496" i="10"/>
  <c r="U496" i="10" s="1"/>
  <c r="Z496" i="10"/>
  <c r="AA496" i="10"/>
  <c r="AB496" i="10"/>
  <c r="T497" i="10"/>
  <c r="U497" i="10" s="1"/>
  <c r="X497" i="10"/>
  <c r="Z497" i="10"/>
  <c r="AA497" i="10"/>
  <c r="AB497" i="10"/>
  <c r="X498" i="10"/>
  <c r="T498" i="10"/>
  <c r="U498" i="10" s="1"/>
  <c r="Z498" i="10"/>
  <c r="AA498" i="10"/>
  <c r="AB498" i="10"/>
  <c r="T499" i="10"/>
  <c r="U499" i="10" s="1"/>
  <c r="X499" i="10"/>
  <c r="Z499" i="10"/>
  <c r="AA499" i="10"/>
  <c r="AB499" i="10"/>
  <c r="X500" i="10"/>
  <c r="T500" i="10"/>
  <c r="U500" i="10" s="1"/>
  <c r="Z500" i="10"/>
  <c r="AA500" i="10"/>
  <c r="AB500" i="10"/>
  <c r="T501" i="10"/>
  <c r="U501" i="10" s="1"/>
  <c r="X501" i="10"/>
  <c r="Z501" i="10"/>
  <c r="AA501" i="10"/>
  <c r="AB501" i="10"/>
  <c r="X502" i="10"/>
  <c r="T502" i="10"/>
  <c r="U502" i="10" s="1"/>
  <c r="Z502" i="10"/>
  <c r="AA502" i="10"/>
  <c r="AB502" i="10"/>
  <c r="T503" i="10"/>
  <c r="U503" i="10" s="1"/>
  <c r="X503" i="10"/>
  <c r="Z503" i="10"/>
  <c r="AA503" i="10"/>
  <c r="AB503" i="10"/>
  <c r="X504" i="10"/>
  <c r="T504" i="10"/>
  <c r="U504" i="10" s="1"/>
  <c r="Z504" i="10"/>
  <c r="AA504" i="10"/>
  <c r="AB504" i="10"/>
  <c r="T505" i="10"/>
  <c r="U505" i="10" s="1"/>
  <c r="X505" i="10"/>
  <c r="Z505" i="10"/>
  <c r="AA505" i="10"/>
  <c r="AB505" i="10"/>
  <c r="X506" i="10"/>
  <c r="T506" i="10"/>
  <c r="U506" i="10" s="1"/>
  <c r="Z506" i="10"/>
  <c r="AA506" i="10"/>
  <c r="AB506" i="10"/>
  <c r="T507" i="10"/>
  <c r="U507" i="10" s="1"/>
  <c r="X507" i="10"/>
  <c r="Z507" i="10"/>
  <c r="AA507" i="10"/>
  <c r="AB507" i="10"/>
  <c r="X508" i="10"/>
  <c r="T508" i="10"/>
  <c r="U508" i="10" s="1"/>
  <c r="Z508" i="10"/>
  <c r="AA508" i="10"/>
  <c r="AB508" i="10"/>
  <c r="T509" i="10"/>
  <c r="U509" i="10" s="1"/>
  <c r="X509" i="10"/>
  <c r="Z509" i="10"/>
  <c r="AA509" i="10"/>
  <c r="AB509" i="10"/>
  <c r="X510" i="10"/>
  <c r="T510" i="10"/>
  <c r="U510" i="10" s="1"/>
  <c r="Z510" i="10"/>
  <c r="AA510" i="10"/>
  <c r="AB510" i="10"/>
  <c r="T511" i="10"/>
  <c r="U511" i="10" s="1"/>
  <c r="X511" i="10"/>
  <c r="Z511" i="10"/>
  <c r="AA511" i="10"/>
  <c r="AB511" i="10"/>
  <c r="X512" i="10"/>
  <c r="T512" i="10"/>
  <c r="U512" i="10" s="1"/>
  <c r="Z512" i="10"/>
  <c r="AA512" i="10"/>
  <c r="AB512" i="10"/>
  <c r="T513" i="10"/>
  <c r="U513" i="10" s="1"/>
  <c r="X513" i="10"/>
  <c r="Z513" i="10"/>
  <c r="AA513" i="10"/>
  <c r="AB513" i="10"/>
  <c r="X514" i="10"/>
  <c r="T514" i="10"/>
  <c r="U514" i="10" s="1"/>
  <c r="Z514" i="10"/>
  <c r="AA514" i="10"/>
  <c r="AB514" i="10"/>
  <c r="T515" i="10"/>
  <c r="U515" i="10" s="1"/>
  <c r="X515" i="10"/>
  <c r="Z515" i="10"/>
  <c r="AA515" i="10"/>
  <c r="AB515" i="10"/>
  <c r="X516" i="10"/>
  <c r="T516" i="10"/>
  <c r="U516" i="10" s="1"/>
  <c r="Z516" i="10"/>
  <c r="AA516" i="10"/>
  <c r="AB516" i="10"/>
  <c r="T517" i="10"/>
  <c r="U517" i="10" s="1"/>
  <c r="X517" i="10"/>
  <c r="Z517" i="10"/>
  <c r="AA517" i="10"/>
  <c r="AB517" i="10"/>
  <c r="X518" i="10"/>
  <c r="T518" i="10"/>
  <c r="U518" i="10" s="1"/>
  <c r="Z518" i="10"/>
  <c r="AA518" i="10"/>
  <c r="AB518" i="10"/>
  <c r="T519" i="10"/>
  <c r="U519" i="10" s="1"/>
  <c r="X519" i="10"/>
  <c r="Z519" i="10"/>
  <c r="AA519" i="10"/>
  <c r="AB519" i="10"/>
  <c r="X520" i="10"/>
  <c r="T520" i="10"/>
  <c r="U520" i="10" s="1"/>
  <c r="Z520" i="10"/>
  <c r="AA520" i="10"/>
  <c r="AB520" i="10"/>
  <c r="T521" i="10"/>
  <c r="U521" i="10" s="1"/>
  <c r="X521" i="10"/>
  <c r="Z521" i="10"/>
  <c r="AA521" i="10"/>
  <c r="AB521" i="10"/>
  <c r="X522" i="10"/>
  <c r="T522" i="10"/>
  <c r="U522" i="10" s="1"/>
  <c r="Z522" i="10"/>
  <c r="AA522" i="10"/>
  <c r="AB522" i="10"/>
  <c r="T523" i="10"/>
  <c r="U523" i="10" s="1"/>
  <c r="X523" i="10"/>
  <c r="Z523" i="10"/>
  <c r="AA523" i="10"/>
  <c r="AB523" i="10"/>
  <c r="X524" i="10"/>
  <c r="T524" i="10"/>
  <c r="U524" i="10" s="1"/>
  <c r="Z524" i="10"/>
  <c r="AA524" i="10"/>
  <c r="AB524" i="10"/>
  <c r="T525" i="10"/>
  <c r="U525" i="10" s="1"/>
  <c r="X525" i="10"/>
  <c r="Z525" i="10"/>
  <c r="AA525" i="10"/>
  <c r="AB525" i="10"/>
  <c r="X526" i="10"/>
  <c r="T526" i="10"/>
  <c r="U526" i="10" s="1"/>
  <c r="Z526" i="10"/>
  <c r="AA526" i="10"/>
  <c r="AB526" i="10"/>
  <c r="T527" i="10"/>
  <c r="U527" i="10" s="1"/>
  <c r="X527" i="10"/>
  <c r="Z527" i="10"/>
  <c r="AA527" i="10"/>
  <c r="AB527" i="10"/>
  <c r="X528" i="10"/>
  <c r="T528" i="10"/>
  <c r="U528" i="10" s="1"/>
  <c r="Z528" i="10"/>
  <c r="AA528" i="10"/>
  <c r="AB528" i="10"/>
  <c r="T529" i="10"/>
  <c r="U529" i="10" s="1"/>
  <c r="X529" i="10"/>
  <c r="Z529" i="10"/>
  <c r="AA529" i="10"/>
  <c r="AB529" i="10"/>
  <c r="X530" i="10"/>
  <c r="T530" i="10"/>
  <c r="U530" i="10" s="1"/>
  <c r="Z530" i="10"/>
  <c r="AA530" i="10"/>
  <c r="AB530" i="10"/>
  <c r="T531" i="10"/>
  <c r="U531" i="10" s="1"/>
  <c r="X531" i="10"/>
  <c r="Z531" i="10"/>
  <c r="AA531" i="10"/>
  <c r="AB531" i="10"/>
  <c r="X532" i="10"/>
  <c r="T532" i="10"/>
  <c r="U532" i="10" s="1"/>
  <c r="Z532" i="10"/>
  <c r="AA532" i="10"/>
  <c r="AB532" i="10"/>
  <c r="T533" i="10"/>
  <c r="U533" i="10" s="1"/>
  <c r="X533" i="10"/>
  <c r="Z533" i="10"/>
  <c r="AA533" i="10"/>
  <c r="AB533" i="10"/>
  <c r="X534" i="10"/>
  <c r="T534" i="10"/>
  <c r="U534" i="10" s="1"/>
  <c r="Z534" i="10"/>
  <c r="AA534" i="10"/>
  <c r="AB534" i="10"/>
  <c r="T535" i="10"/>
  <c r="U535" i="10" s="1"/>
  <c r="X535" i="10"/>
  <c r="Z535" i="10"/>
  <c r="AA535" i="10"/>
  <c r="AB535" i="10"/>
  <c r="X536" i="10"/>
  <c r="T536" i="10"/>
  <c r="U536" i="10" s="1"/>
  <c r="Z536" i="10"/>
  <c r="AA536" i="10"/>
  <c r="AB536" i="10"/>
  <c r="T537" i="10"/>
  <c r="U537" i="10" s="1"/>
  <c r="X537" i="10"/>
  <c r="Z537" i="10"/>
  <c r="AA537" i="10"/>
  <c r="AB537" i="10"/>
  <c r="X538" i="10"/>
  <c r="T538" i="10"/>
  <c r="U538" i="10" s="1"/>
  <c r="Z538" i="10"/>
  <c r="AA538" i="10"/>
  <c r="AB538" i="10"/>
  <c r="T539" i="10"/>
  <c r="U539" i="10" s="1"/>
  <c r="X539" i="10"/>
  <c r="Z539" i="10"/>
  <c r="AA539" i="10"/>
  <c r="AB539" i="10"/>
  <c r="X540" i="10"/>
  <c r="T540" i="10"/>
  <c r="U540" i="10" s="1"/>
  <c r="Z540" i="10"/>
  <c r="AA540" i="10"/>
  <c r="AB540" i="10"/>
  <c r="T541" i="10"/>
  <c r="U541" i="10" s="1"/>
  <c r="X541" i="10"/>
  <c r="Z541" i="10"/>
  <c r="AA541" i="10"/>
  <c r="AB541" i="10"/>
  <c r="X542" i="10"/>
  <c r="T542" i="10"/>
  <c r="U542" i="10" s="1"/>
  <c r="Z542" i="10"/>
  <c r="AA542" i="10"/>
  <c r="AB542" i="10"/>
  <c r="T543" i="10"/>
  <c r="U543" i="10" s="1"/>
  <c r="X543" i="10"/>
  <c r="Z543" i="10"/>
  <c r="AA543" i="10"/>
  <c r="AB543" i="10"/>
  <c r="X544" i="10"/>
  <c r="T544" i="10"/>
  <c r="U544" i="10" s="1"/>
  <c r="Z544" i="10"/>
  <c r="AA544" i="10"/>
  <c r="AB544" i="10"/>
  <c r="T545" i="10"/>
  <c r="U545" i="10" s="1"/>
  <c r="X545" i="10"/>
  <c r="Z545" i="10"/>
  <c r="AA545" i="10"/>
  <c r="AB545" i="10"/>
  <c r="X546" i="10"/>
  <c r="T546" i="10"/>
  <c r="U546" i="10" s="1"/>
  <c r="Z546" i="10"/>
  <c r="AA546" i="10"/>
  <c r="AB546" i="10"/>
  <c r="T547" i="10"/>
  <c r="U547" i="10" s="1"/>
  <c r="X547" i="10"/>
  <c r="Z547" i="10"/>
  <c r="AA547" i="10"/>
  <c r="AB547" i="10"/>
  <c r="X548" i="10"/>
  <c r="T548" i="10"/>
  <c r="U548" i="10" s="1"/>
  <c r="Z548" i="10"/>
  <c r="AA548" i="10"/>
  <c r="AB548" i="10"/>
  <c r="T549" i="10"/>
  <c r="U549" i="10" s="1"/>
  <c r="X549" i="10"/>
  <c r="Z549" i="10"/>
  <c r="AA549" i="10"/>
  <c r="AB549" i="10"/>
  <c r="X550" i="10"/>
  <c r="T550" i="10"/>
  <c r="U550" i="10" s="1"/>
  <c r="Z550" i="10"/>
  <c r="AA550" i="10"/>
  <c r="AB550" i="10"/>
  <c r="T551" i="10"/>
  <c r="U551" i="10" s="1"/>
  <c r="X551" i="10"/>
  <c r="Z551" i="10"/>
  <c r="AA551" i="10"/>
  <c r="AB551" i="10"/>
  <c r="X552" i="10"/>
  <c r="T552" i="10"/>
  <c r="U552" i="10" s="1"/>
  <c r="Z552" i="10"/>
  <c r="AA552" i="10"/>
  <c r="AB552" i="10"/>
  <c r="T553" i="10"/>
  <c r="U553" i="10" s="1"/>
  <c r="X553" i="10"/>
  <c r="Z553" i="10"/>
  <c r="AA553" i="10"/>
  <c r="AB553" i="10"/>
  <c r="X554" i="10"/>
  <c r="T554" i="10"/>
  <c r="U554" i="10" s="1"/>
  <c r="Z554" i="10"/>
  <c r="AA554" i="10"/>
  <c r="AB554" i="10"/>
  <c r="T555" i="10"/>
  <c r="U555" i="10" s="1"/>
  <c r="X555" i="10"/>
  <c r="Z555" i="10"/>
  <c r="AA555" i="10"/>
  <c r="AB555" i="10"/>
  <c r="X556" i="10"/>
  <c r="T556" i="10"/>
  <c r="U556" i="10" s="1"/>
  <c r="Z556" i="10"/>
  <c r="AA556" i="10"/>
  <c r="AB556" i="10"/>
  <c r="T557" i="10"/>
  <c r="U557" i="10" s="1"/>
  <c r="X557" i="10"/>
  <c r="Z557" i="10"/>
  <c r="AA557" i="10"/>
  <c r="AB557" i="10"/>
  <c r="X558" i="10"/>
  <c r="T558" i="10"/>
  <c r="U558" i="10" s="1"/>
  <c r="Z558" i="10"/>
  <c r="AA558" i="10"/>
  <c r="AB558" i="10"/>
  <c r="T559" i="10"/>
  <c r="U559" i="10" s="1"/>
  <c r="X559" i="10"/>
  <c r="Z559" i="10"/>
  <c r="AA559" i="10"/>
  <c r="AB559" i="10"/>
  <c r="X560" i="10"/>
  <c r="T560" i="10"/>
  <c r="U560" i="10" s="1"/>
  <c r="Z560" i="10"/>
  <c r="AA560" i="10"/>
  <c r="AB560" i="10"/>
  <c r="T561" i="10"/>
  <c r="U561" i="10" s="1"/>
  <c r="X561" i="10"/>
  <c r="Z561" i="10"/>
  <c r="AA561" i="10"/>
  <c r="AB561" i="10"/>
  <c r="X562" i="10"/>
  <c r="T562" i="10"/>
  <c r="U562" i="10" s="1"/>
  <c r="Z562" i="10"/>
  <c r="AA562" i="10"/>
  <c r="AB562" i="10"/>
  <c r="T563" i="10"/>
  <c r="U563" i="10" s="1"/>
  <c r="X563" i="10"/>
  <c r="Z563" i="10"/>
  <c r="AA563" i="10"/>
  <c r="AB563" i="10"/>
  <c r="X564" i="10"/>
  <c r="T564" i="10"/>
  <c r="U564" i="10" s="1"/>
  <c r="Z564" i="10"/>
  <c r="AA564" i="10"/>
  <c r="AB564" i="10"/>
  <c r="T565" i="10"/>
  <c r="U565" i="10" s="1"/>
  <c r="X565" i="10"/>
  <c r="Z565" i="10"/>
  <c r="AA565" i="10"/>
  <c r="AB565" i="10"/>
  <c r="X566" i="10"/>
  <c r="T566" i="10"/>
  <c r="U566" i="10" s="1"/>
  <c r="Z566" i="10"/>
  <c r="AA566" i="10"/>
  <c r="AB566" i="10"/>
  <c r="T567" i="10"/>
  <c r="U567" i="10" s="1"/>
  <c r="X567" i="10"/>
  <c r="Z567" i="10"/>
  <c r="AA567" i="10"/>
  <c r="AB567" i="10"/>
  <c r="X568" i="10"/>
  <c r="T568" i="10"/>
  <c r="U568" i="10" s="1"/>
  <c r="Z568" i="10"/>
  <c r="AA568" i="10"/>
  <c r="AB568" i="10"/>
  <c r="X455" i="10"/>
  <c r="T455" i="10"/>
  <c r="U455" i="10" s="1"/>
  <c r="Z455" i="10"/>
  <c r="AA455" i="10"/>
  <c r="AB455" i="10"/>
  <c r="X456" i="10"/>
  <c r="T456" i="10"/>
  <c r="U456" i="10" s="1"/>
  <c r="Z456" i="10"/>
  <c r="AA456" i="10"/>
  <c r="AB456" i="10"/>
  <c r="T457" i="10"/>
  <c r="U457" i="10" s="1"/>
  <c r="X457" i="10"/>
  <c r="Z457" i="10"/>
  <c r="AA457" i="10"/>
  <c r="AB457" i="10"/>
  <c r="X458" i="10"/>
  <c r="T458" i="10"/>
  <c r="U458" i="10" s="1"/>
  <c r="Z458" i="10"/>
  <c r="AA458" i="10"/>
  <c r="AB458" i="10"/>
  <c r="T459" i="10"/>
  <c r="U459" i="10" s="1"/>
  <c r="X459" i="10"/>
  <c r="Z459" i="10"/>
  <c r="AA459" i="10"/>
  <c r="AB459" i="10"/>
  <c r="X460" i="10"/>
  <c r="T460" i="10"/>
  <c r="U460" i="10" s="1"/>
  <c r="Z460" i="10"/>
  <c r="AA460" i="10"/>
  <c r="AB460" i="10"/>
  <c r="T461" i="10"/>
  <c r="U461" i="10" s="1"/>
  <c r="X461" i="10"/>
  <c r="Z461" i="10"/>
  <c r="AA461" i="10"/>
  <c r="AB461" i="10"/>
  <c r="X462" i="10"/>
  <c r="T462" i="10"/>
  <c r="U462" i="10" s="1"/>
  <c r="Z462" i="10"/>
  <c r="AA462" i="10"/>
  <c r="AB462" i="10"/>
  <c r="T463" i="10"/>
  <c r="U463" i="10" s="1"/>
  <c r="X463" i="10"/>
  <c r="Z463" i="10"/>
  <c r="AA463" i="10"/>
  <c r="AB463" i="10"/>
  <c r="X464" i="10"/>
  <c r="T464" i="10"/>
  <c r="U464" i="10" s="1"/>
  <c r="Z464" i="10"/>
  <c r="AA464" i="10"/>
  <c r="AB464" i="10"/>
  <c r="T465" i="10"/>
  <c r="U465" i="10" s="1"/>
  <c r="X465" i="10"/>
  <c r="Z465" i="10"/>
  <c r="AA465" i="10"/>
  <c r="AB465" i="10"/>
  <c r="X466" i="10"/>
  <c r="T466" i="10"/>
  <c r="U466" i="10" s="1"/>
  <c r="Z466" i="10"/>
  <c r="AA466" i="10"/>
  <c r="AB466" i="10"/>
  <c r="T467" i="10"/>
  <c r="U467" i="10" s="1"/>
  <c r="X467" i="10"/>
  <c r="Z467" i="10"/>
  <c r="AA467" i="10"/>
  <c r="AB467" i="10"/>
  <c r="X468" i="10"/>
  <c r="T468" i="10"/>
  <c r="U468" i="10" s="1"/>
  <c r="Z468" i="10"/>
  <c r="AA468" i="10"/>
  <c r="AB468" i="10"/>
  <c r="T469" i="10"/>
  <c r="U469" i="10" s="1"/>
  <c r="X469" i="10"/>
  <c r="Z469" i="10"/>
  <c r="AA469" i="10"/>
  <c r="AB469" i="10"/>
  <c r="X470" i="10"/>
  <c r="T470" i="10"/>
  <c r="U470" i="10" s="1"/>
  <c r="Z470" i="10"/>
  <c r="AA470" i="10"/>
  <c r="AB470" i="10"/>
  <c r="T471" i="10"/>
  <c r="U471" i="10" s="1"/>
  <c r="X471" i="10"/>
  <c r="Z471" i="10"/>
  <c r="AA471" i="10"/>
  <c r="AB471" i="10"/>
  <c r="X472" i="10"/>
  <c r="T472" i="10"/>
  <c r="U472" i="10" s="1"/>
  <c r="Z472" i="10"/>
  <c r="AA472" i="10"/>
  <c r="AB472" i="10"/>
  <c r="T473" i="10"/>
  <c r="U473" i="10" s="1"/>
  <c r="X473" i="10"/>
  <c r="Z473" i="10"/>
  <c r="AA473" i="10"/>
  <c r="AB473" i="10"/>
  <c r="X474" i="10"/>
  <c r="T474" i="10"/>
  <c r="U474" i="10" s="1"/>
  <c r="Z474" i="10"/>
  <c r="AA474" i="10"/>
  <c r="AB474" i="10"/>
  <c r="T475" i="10"/>
  <c r="U475" i="10" s="1"/>
  <c r="X475" i="10"/>
  <c r="Z475" i="10"/>
  <c r="AA475" i="10"/>
  <c r="AB475" i="10"/>
  <c r="X476" i="10"/>
  <c r="T476" i="10"/>
  <c r="U476" i="10" s="1"/>
  <c r="Z476" i="10"/>
  <c r="AA476" i="10"/>
  <c r="AB476" i="10"/>
  <c r="T477" i="10"/>
  <c r="U477" i="10" s="1"/>
  <c r="X477" i="10"/>
  <c r="Z477" i="10"/>
  <c r="AA477" i="10"/>
  <c r="AB477" i="10"/>
  <c r="X478" i="10"/>
  <c r="T478" i="10"/>
  <c r="U478" i="10" s="1"/>
  <c r="Z478" i="10"/>
  <c r="AA478" i="10"/>
  <c r="AB478" i="10"/>
  <c r="T479" i="10"/>
  <c r="U479" i="10" s="1"/>
  <c r="X479" i="10"/>
  <c r="Z479" i="10"/>
  <c r="AA479" i="10"/>
  <c r="AB479" i="10"/>
  <c r="X480" i="10"/>
  <c r="T480" i="10"/>
  <c r="U480" i="10" s="1"/>
  <c r="Z480" i="10"/>
  <c r="AA480" i="10"/>
  <c r="AB480" i="10"/>
  <c r="T481" i="10"/>
  <c r="U481" i="10" s="1"/>
  <c r="X481" i="10"/>
  <c r="Z481" i="10"/>
  <c r="AA481" i="10"/>
  <c r="AB481" i="10"/>
  <c r="X482" i="10"/>
  <c r="T482" i="10"/>
  <c r="U482" i="10" s="1"/>
  <c r="Z482" i="10"/>
  <c r="AA482" i="10"/>
  <c r="AB482" i="10"/>
  <c r="T483" i="10"/>
  <c r="U483" i="10" s="1"/>
  <c r="X483" i="10"/>
  <c r="Z483" i="10"/>
  <c r="AA483" i="10"/>
  <c r="AB483" i="10"/>
  <c r="X484" i="10"/>
  <c r="T484" i="10"/>
  <c r="U484" i="10" s="1"/>
  <c r="Z484" i="10"/>
  <c r="AA484" i="10"/>
  <c r="AB484" i="10"/>
  <c r="T485" i="10"/>
  <c r="U485" i="10" s="1"/>
  <c r="X485" i="10"/>
  <c r="Z485" i="10"/>
  <c r="AA485" i="10"/>
  <c r="AB485" i="10"/>
  <c r="X486" i="10"/>
  <c r="T486" i="10"/>
  <c r="U486" i="10" s="1"/>
  <c r="Z486" i="10"/>
  <c r="AA486" i="10"/>
  <c r="AB486" i="10"/>
  <c r="T487" i="10"/>
  <c r="U487" i="10" s="1"/>
  <c r="X487" i="10"/>
  <c r="Z487" i="10"/>
  <c r="AA487" i="10"/>
  <c r="AB487" i="10"/>
  <c r="X488" i="10"/>
  <c r="T488" i="10"/>
  <c r="U488" i="10" s="1"/>
  <c r="Z488" i="10"/>
  <c r="AA488" i="10"/>
  <c r="AB488" i="10"/>
  <c r="T489" i="10"/>
  <c r="U489" i="10" s="1"/>
  <c r="X489" i="10"/>
  <c r="Z489" i="10"/>
  <c r="AA489" i="10"/>
  <c r="AB489" i="10"/>
  <c r="X490" i="10"/>
  <c r="T490" i="10"/>
  <c r="U490" i="10" s="1"/>
  <c r="Z490" i="10"/>
  <c r="AA490" i="10"/>
  <c r="AB490" i="10"/>
  <c r="T491" i="10"/>
  <c r="U491" i="10" s="1"/>
  <c r="X491" i="10"/>
  <c r="Z491" i="10"/>
  <c r="AA491" i="10"/>
  <c r="AB491" i="10"/>
  <c r="X492" i="10"/>
  <c r="T492" i="10"/>
  <c r="U492" i="10"/>
  <c r="Z492" i="10"/>
  <c r="AA492" i="10"/>
  <c r="AB492" i="10"/>
  <c r="X436" i="10"/>
  <c r="T436" i="10"/>
  <c r="U436" i="10" s="1"/>
  <c r="Z436" i="10"/>
  <c r="AA436" i="10"/>
  <c r="AB436" i="10"/>
  <c r="X437" i="10"/>
  <c r="T437" i="10"/>
  <c r="U437" i="10" s="1"/>
  <c r="Z437" i="10"/>
  <c r="AA437" i="10"/>
  <c r="AB437" i="10"/>
  <c r="T438" i="10"/>
  <c r="U438" i="10" s="1"/>
  <c r="X438" i="10"/>
  <c r="Z438" i="10"/>
  <c r="AA438" i="10"/>
  <c r="AB438" i="10"/>
  <c r="X439" i="10"/>
  <c r="T439" i="10"/>
  <c r="U439" i="10" s="1"/>
  <c r="Z439" i="10"/>
  <c r="AA439" i="10"/>
  <c r="AB439" i="10"/>
  <c r="T440" i="10"/>
  <c r="U440" i="10" s="1"/>
  <c r="X440" i="10"/>
  <c r="Z440" i="10"/>
  <c r="AA440" i="10"/>
  <c r="AB440" i="10"/>
  <c r="X441" i="10"/>
  <c r="T441" i="10"/>
  <c r="U441" i="10" s="1"/>
  <c r="Z441" i="10"/>
  <c r="AA441" i="10"/>
  <c r="AB441" i="10"/>
  <c r="T442" i="10"/>
  <c r="U442" i="10" s="1"/>
  <c r="X442" i="10"/>
  <c r="Z442" i="10"/>
  <c r="AA442" i="10"/>
  <c r="AB442" i="10"/>
  <c r="X443" i="10"/>
  <c r="T443" i="10"/>
  <c r="U443" i="10"/>
  <c r="Z443" i="10"/>
  <c r="AA443" i="10"/>
  <c r="AB443" i="10"/>
  <c r="T444" i="10"/>
  <c r="U444" i="10" s="1"/>
  <c r="X444" i="10"/>
  <c r="Z444" i="10"/>
  <c r="AA444" i="10"/>
  <c r="AB444" i="10"/>
  <c r="X445" i="10"/>
  <c r="T445" i="10"/>
  <c r="U445" i="10" s="1"/>
  <c r="Z445" i="10"/>
  <c r="AA445" i="10"/>
  <c r="AB445" i="10"/>
  <c r="T446" i="10"/>
  <c r="U446" i="10" s="1"/>
  <c r="X446" i="10"/>
  <c r="Z446" i="10"/>
  <c r="AA446" i="10"/>
  <c r="AB446" i="10"/>
  <c r="X447" i="10"/>
  <c r="T447" i="10"/>
  <c r="U447" i="10" s="1"/>
  <c r="Z447" i="10"/>
  <c r="AA447" i="10"/>
  <c r="AB447" i="10"/>
  <c r="T448" i="10"/>
  <c r="U448" i="10" s="1"/>
  <c r="X448" i="10"/>
  <c r="Z448" i="10"/>
  <c r="AA448" i="10"/>
  <c r="AB448" i="10"/>
  <c r="X449" i="10"/>
  <c r="T449" i="10"/>
  <c r="U449" i="10" s="1"/>
  <c r="Z449" i="10"/>
  <c r="AA449" i="10"/>
  <c r="AB449" i="10"/>
  <c r="T450" i="10"/>
  <c r="U450" i="10" s="1"/>
  <c r="X450" i="10"/>
  <c r="Z450" i="10"/>
  <c r="AA450" i="10"/>
  <c r="AB450" i="10"/>
  <c r="X451" i="10"/>
  <c r="T451" i="10"/>
  <c r="U451" i="10"/>
  <c r="Z451" i="10"/>
  <c r="AA451" i="10"/>
  <c r="AB451" i="10"/>
  <c r="T452" i="10"/>
  <c r="U452" i="10" s="1"/>
  <c r="X452" i="10"/>
  <c r="Z452" i="10"/>
  <c r="AA452" i="10"/>
  <c r="AB452" i="10"/>
  <c r="X453" i="10"/>
  <c r="T453" i="10"/>
  <c r="U453" i="10" s="1"/>
  <c r="Z453" i="10"/>
  <c r="AA453" i="10"/>
  <c r="AB453" i="10"/>
  <c r="T454" i="10"/>
  <c r="U454" i="10" s="1"/>
  <c r="X454" i="10"/>
  <c r="Z454" i="10"/>
  <c r="AA454" i="10"/>
  <c r="AB454" i="10"/>
  <c r="X418" i="10"/>
  <c r="T418" i="10"/>
  <c r="U418" i="10" s="1"/>
  <c r="Z418" i="10"/>
  <c r="AA418" i="10"/>
  <c r="AB418" i="10"/>
  <c r="T419" i="10"/>
  <c r="U419" i="10" s="1"/>
  <c r="X419" i="10"/>
  <c r="Z419" i="10"/>
  <c r="AA419" i="10"/>
  <c r="AB419" i="10"/>
  <c r="X420" i="10"/>
  <c r="T420" i="10"/>
  <c r="U420" i="10" s="1"/>
  <c r="Z420" i="10"/>
  <c r="AA420" i="10"/>
  <c r="AB420" i="10"/>
  <c r="T421" i="10"/>
  <c r="U421" i="10" s="1"/>
  <c r="X421" i="10"/>
  <c r="Z421" i="10"/>
  <c r="AA421" i="10"/>
  <c r="AB421" i="10"/>
  <c r="X422" i="10"/>
  <c r="T422" i="10"/>
  <c r="U422" i="10" s="1"/>
  <c r="Z422" i="10"/>
  <c r="AA422" i="10"/>
  <c r="AB422" i="10"/>
  <c r="T423" i="10"/>
  <c r="U423" i="10" s="1"/>
  <c r="X423" i="10"/>
  <c r="Z423" i="10"/>
  <c r="AA423" i="10"/>
  <c r="AB423" i="10"/>
  <c r="X424" i="10"/>
  <c r="T424" i="10"/>
  <c r="U424" i="10" s="1"/>
  <c r="Z424" i="10"/>
  <c r="AA424" i="10"/>
  <c r="AB424" i="10"/>
  <c r="T425" i="10"/>
  <c r="U425" i="10" s="1"/>
  <c r="X425" i="10"/>
  <c r="Z425" i="10"/>
  <c r="AA425" i="10"/>
  <c r="AB425" i="10"/>
  <c r="X426" i="10"/>
  <c r="T426" i="10"/>
  <c r="U426" i="10" s="1"/>
  <c r="Z426" i="10"/>
  <c r="AA426" i="10"/>
  <c r="AB426" i="10"/>
  <c r="T427" i="10"/>
  <c r="U427" i="10" s="1"/>
  <c r="X427" i="10"/>
  <c r="Z427" i="10"/>
  <c r="AA427" i="10"/>
  <c r="AB427" i="10"/>
  <c r="X428" i="10"/>
  <c r="T428" i="10"/>
  <c r="U428" i="10" s="1"/>
  <c r="Z428" i="10"/>
  <c r="AA428" i="10"/>
  <c r="AB428" i="10"/>
  <c r="T429" i="10"/>
  <c r="U429" i="10" s="1"/>
  <c r="X429" i="10"/>
  <c r="Z429" i="10"/>
  <c r="AA429" i="10"/>
  <c r="AB429" i="10"/>
  <c r="X430" i="10"/>
  <c r="T430" i="10"/>
  <c r="U430" i="10" s="1"/>
  <c r="Z430" i="10"/>
  <c r="AA430" i="10"/>
  <c r="AB430" i="10"/>
  <c r="T431" i="10"/>
  <c r="U431" i="10" s="1"/>
  <c r="X431" i="10"/>
  <c r="Z431" i="10"/>
  <c r="AA431" i="10"/>
  <c r="AB431" i="10"/>
  <c r="X432" i="10"/>
  <c r="T432" i="10"/>
  <c r="U432" i="10" s="1"/>
  <c r="Z432" i="10"/>
  <c r="AA432" i="10"/>
  <c r="AB432" i="10"/>
  <c r="T433" i="10"/>
  <c r="U433" i="10" s="1"/>
  <c r="X433" i="10"/>
  <c r="Z433" i="10"/>
  <c r="AA433" i="10"/>
  <c r="AB433" i="10"/>
  <c r="X434" i="10"/>
  <c r="T434" i="10"/>
  <c r="U434" i="10" s="1"/>
  <c r="Z434" i="10"/>
  <c r="AA434" i="10"/>
  <c r="AB434" i="10"/>
  <c r="T435" i="10"/>
  <c r="U435" i="10" s="1"/>
  <c r="X435" i="10"/>
  <c r="Z435" i="10"/>
  <c r="AA435" i="10"/>
  <c r="AB435" i="10"/>
  <c r="D2" i="20" l="1"/>
  <c r="D3" i="20"/>
  <c r="C2" i="10" l="1"/>
  <c r="L36" i="1" l="1"/>
  <c r="K2" i="19" l="1"/>
  <c r="E28" i="19" l="1"/>
  <c r="F27" i="19"/>
  <c r="F26" i="19"/>
  <c r="F25" i="19"/>
  <c r="F24" i="19"/>
  <c r="F23" i="19"/>
  <c r="L26" i="19"/>
  <c r="L25" i="19"/>
  <c r="L24" i="19"/>
  <c r="L23" i="19"/>
  <c r="J26" i="19"/>
  <c r="J25" i="19"/>
  <c r="J24" i="19"/>
  <c r="J23" i="19"/>
  <c r="F28" i="19" l="1"/>
  <c r="AE13" i="10"/>
  <c r="AE12" i="10"/>
  <c r="T13" i="10" s="1"/>
  <c r="U14" i="8" l="1"/>
  <c r="U21" i="8"/>
  <c r="U13" i="8"/>
  <c r="U20" i="8"/>
  <c r="U12" i="8"/>
  <c r="U19" i="8"/>
  <c r="U11" i="8"/>
  <c r="U18" i="8"/>
  <c r="J31" i="8" l="1"/>
  <c r="H39" i="8" l="1"/>
  <c r="G47" i="9"/>
  <c r="K47" i="9"/>
  <c r="X18" i="10"/>
  <c r="K21" i="21" l="1"/>
  <c r="J37" i="1"/>
  <c r="Q8" i="8" l="1"/>
  <c r="C47" i="8" l="1"/>
  <c r="K56" i="8"/>
  <c r="K47" i="8"/>
  <c r="C56" i="8"/>
  <c r="C3" i="18" l="1"/>
  <c r="J2" i="18"/>
  <c r="C2" i="18"/>
  <c r="E42" i="1" l="1"/>
  <c r="D7" i="9" l="1"/>
  <c r="S8" i="17" l="1"/>
  <c r="M13" i="17" l="1"/>
  <c r="M12" i="17"/>
  <c r="M11" i="17"/>
  <c r="G25" i="17"/>
  <c r="G24" i="17"/>
  <c r="G21" i="17"/>
  <c r="G20" i="17"/>
  <c r="G19" i="17"/>
  <c r="G18" i="17"/>
  <c r="G17" i="17"/>
  <c r="G16" i="17"/>
  <c r="G14" i="17"/>
  <c r="G13" i="17"/>
  <c r="G12" i="17"/>
  <c r="G10" i="17"/>
  <c r="G9" i="17"/>
  <c r="G7" i="17"/>
  <c r="F23" i="17" l="1"/>
  <c r="F19" i="17"/>
  <c r="F17" i="17"/>
  <c r="F16" i="17"/>
  <c r="F15" i="17"/>
  <c r="F14" i="17"/>
  <c r="F13" i="17"/>
  <c r="F12" i="17"/>
  <c r="F11" i="17"/>
  <c r="F8" i="17"/>
  <c r="F41" i="1" l="1"/>
  <c r="L37" i="1" l="1"/>
  <c r="L38" i="1" l="1"/>
  <c r="D3" i="16" l="1"/>
  <c r="D2" i="16"/>
  <c r="G2" i="16"/>
  <c r="H6" i="9" l="1"/>
  <c r="J40" i="1" l="1"/>
  <c r="P20" i="9"/>
  <c r="P19" i="9"/>
  <c r="P18" i="9"/>
  <c r="O20" i="9"/>
  <c r="O19" i="9"/>
  <c r="O18" i="9"/>
  <c r="M20" i="9"/>
  <c r="M19" i="9"/>
  <c r="M18" i="9"/>
  <c r="L20" i="9"/>
  <c r="L19" i="9"/>
  <c r="L18" i="9"/>
  <c r="L31" i="9"/>
  <c r="L30" i="9"/>
  <c r="L29" i="9"/>
  <c r="L26" i="9"/>
  <c r="M26" i="9" s="1"/>
  <c r="O26" i="9" s="1"/>
  <c r="L25" i="9"/>
  <c r="L24" i="9"/>
  <c r="M4" i="12"/>
  <c r="M6" i="12"/>
  <c r="M5" i="12"/>
  <c r="D23" i="9" l="1"/>
  <c r="C17" i="9" l="1"/>
  <c r="C15" i="9"/>
  <c r="C12" i="9"/>
  <c r="C10" i="9"/>
  <c r="D25" i="9"/>
  <c r="D24" i="9"/>
  <c r="D22" i="9"/>
  <c r="X31" i="10" l="1"/>
  <c r="X30" i="10"/>
  <c r="Y30" i="10" s="1"/>
  <c r="X29" i="10"/>
  <c r="Y29" i="10" s="1"/>
  <c r="X28" i="10"/>
  <c r="X27" i="10"/>
  <c r="X26" i="10"/>
  <c r="Y26" i="10" s="1"/>
  <c r="X25" i="10"/>
  <c r="X24" i="10"/>
  <c r="X23" i="10"/>
  <c r="X22" i="10"/>
  <c r="X21" i="10"/>
  <c r="AB18" i="10"/>
  <c r="Y27" i="10" l="1"/>
  <c r="Y28" i="10"/>
  <c r="Y25" i="10"/>
  <c r="Y23" i="10"/>
  <c r="Y24" i="10"/>
  <c r="Y21" i="10"/>
  <c r="Y22" i="10"/>
  <c r="L21" i="8" l="1"/>
  <c r="L22" i="8" s="1"/>
  <c r="L20" i="8"/>
  <c r="L19" i="8"/>
  <c r="L18" i="8"/>
  <c r="J18" i="8"/>
  <c r="J22" i="8" s="1"/>
  <c r="J21" i="8"/>
  <c r="J20" i="8"/>
  <c r="J19" i="8"/>
  <c r="I42" i="8"/>
  <c r="I41" i="8"/>
  <c r="I39" i="8"/>
  <c r="M39" i="8"/>
  <c r="L40" i="8"/>
  <c r="L39" i="8"/>
  <c r="K42" i="8"/>
  <c r="K41" i="8"/>
  <c r="K39" i="8"/>
  <c r="X20" i="10"/>
  <c r="Y20" i="10" s="1"/>
  <c r="J41" i="8" l="1"/>
  <c r="M42" i="8"/>
  <c r="H40" i="8"/>
  <c r="I40" i="8"/>
  <c r="M40" i="8"/>
  <c r="H41" i="8"/>
  <c r="L42" i="8"/>
  <c r="J42" i="8"/>
  <c r="J40" i="8"/>
  <c r="L41" i="8"/>
  <c r="M41" i="8"/>
  <c r="H42" i="8"/>
  <c r="F38" i="1"/>
  <c r="K36" i="9"/>
  <c r="P36" i="9" s="1"/>
  <c r="X19" i="10"/>
  <c r="F47" i="9"/>
  <c r="J47" i="9"/>
  <c r="J39" i="8"/>
  <c r="H47" i="9"/>
  <c r="K40" i="8"/>
  <c r="N39" i="8"/>
  <c r="P20" i="21" l="1"/>
  <c r="O19" i="21"/>
  <c r="P18" i="21"/>
  <c r="J21" i="21"/>
  <c r="L21" i="21"/>
  <c r="P19" i="21"/>
  <c r="B51" i="9"/>
  <c r="P39" i="8"/>
  <c r="O39" i="8"/>
  <c r="Y19" i="10"/>
  <c r="Y18" i="10"/>
  <c r="X33" i="10"/>
  <c r="X34" i="10"/>
  <c r="X35" i="10"/>
  <c r="X36" i="10"/>
  <c r="X37" i="10"/>
  <c r="X38" i="10"/>
  <c r="X39" i="10"/>
  <c r="X40" i="10"/>
  <c r="X41" i="10"/>
  <c r="X42" i="10"/>
  <c r="X43" i="10"/>
  <c r="X44" i="10"/>
  <c r="X45" i="10"/>
  <c r="X46" i="10"/>
  <c r="X47" i="10"/>
  <c r="X48" i="10"/>
  <c r="X49" i="10"/>
  <c r="X50" i="10"/>
  <c r="X51" i="10"/>
  <c r="X52" i="10"/>
  <c r="X53" i="10"/>
  <c r="X54" i="10"/>
  <c r="X55" i="10"/>
  <c r="X56" i="10"/>
  <c r="X57" i="10"/>
  <c r="X58" i="10"/>
  <c r="X59" i="10"/>
  <c r="X60" i="10"/>
  <c r="X61" i="10"/>
  <c r="X62" i="10"/>
  <c r="X63" i="10"/>
  <c r="X64" i="10"/>
  <c r="X65" i="10"/>
  <c r="X66" i="10"/>
  <c r="X67" i="10"/>
  <c r="X68" i="10"/>
  <c r="X69" i="10"/>
  <c r="X70" i="10"/>
  <c r="X71" i="10"/>
  <c r="X72" i="10"/>
  <c r="X73" i="10"/>
  <c r="X74" i="10"/>
  <c r="X75" i="10"/>
  <c r="X76" i="10"/>
  <c r="X77" i="10"/>
  <c r="X78" i="10"/>
  <c r="X79" i="10"/>
  <c r="X80" i="10"/>
  <c r="X81" i="10"/>
  <c r="X82" i="10"/>
  <c r="X83" i="10"/>
  <c r="X84" i="10"/>
  <c r="X85" i="10"/>
  <c r="X86" i="10"/>
  <c r="X87" i="10"/>
  <c r="X88" i="10"/>
  <c r="X89" i="10"/>
  <c r="X90" i="10"/>
  <c r="X91" i="10"/>
  <c r="X92" i="10"/>
  <c r="X93" i="10"/>
  <c r="X94" i="10"/>
  <c r="X95" i="10"/>
  <c r="X96" i="10"/>
  <c r="X97" i="10"/>
  <c r="X98" i="10"/>
  <c r="X99" i="10"/>
  <c r="X100" i="10"/>
  <c r="X101" i="10"/>
  <c r="X102" i="10"/>
  <c r="X103" i="10"/>
  <c r="X104" i="10"/>
  <c r="X105" i="10"/>
  <c r="X106" i="10"/>
  <c r="X107" i="10"/>
  <c r="X108" i="10"/>
  <c r="X109" i="10"/>
  <c r="X110" i="10"/>
  <c r="X111" i="10"/>
  <c r="X112" i="10"/>
  <c r="X113" i="10"/>
  <c r="X114" i="10"/>
  <c r="X115" i="10"/>
  <c r="X116" i="10"/>
  <c r="X117" i="10"/>
  <c r="X118" i="10"/>
  <c r="X119" i="10"/>
  <c r="X120" i="10"/>
  <c r="X121" i="10"/>
  <c r="X122" i="10"/>
  <c r="X123" i="10"/>
  <c r="X124" i="10"/>
  <c r="X125" i="10"/>
  <c r="X126" i="10"/>
  <c r="X127" i="10"/>
  <c r="X128" i="10"/>
  <c r="X129" i="10"/>
  <c r="X130" i="10"/>
  <c r="X131" i="10"/>
  <c r="X132" i="10"/>
  <c r="X133" i="10"/>
  <c r="X134" i="10"/>
  <c r="X135" i="10"/>
  <c r="X136" i="10"/>
  <c r="X137" i="10"/>
  <c r="X138" i="10"/>
  <c r="X139" i="10"/>
  <c r="X140" i="10"/>
  <c r="X141" i="10"/>
  <c r="X142" i="10"/>
  <c r="X143" i="10"/>
  <c r="X144" i="10"/>
  <c r="X145" i="10"/>
  <c r="X146" i="10"/>
  <c r="X147" i="10"/>
  <c r="X148" i="10"/>
  <c r="X149" i="10"/>
  <c r="X150" i="10"/>
  <c r="X151" i="10"/>
  <c r="X152" i="10"/>
  <c r="X153" i="10"/>
  <c r="X154" i="10"/>
  <c r="X155" i="10"/>
  <c r="X156" i="10"/>
  <c r="X157" i="10"/>
  <c r="X158" i="10"/>
  <c r="X159" i="10"/>
  <c r="X160" i="10"/>
  <c r="X161" i="10"/>
  <c r="X162" i="10"/>
  <c r="X163" i="10"/>
  <c r="X164" i="10"/>
  <c r="X165" i="10"/>
  <c r="X166" i="10"/>
  <c r="X167" i="10"/>
  <c r="X168" i="10"/>
  <c r="X169" i="10"/>
  <c r="X170" i="10"/>
  <c r="X171" i="10"/>
  <c r="X172" i="10"/>
  <c r="X173" i="10"/>
  <c r="X174" i="10"/>
  <c r="X175" i="10"/>
  <c r="X176" i="10"/>
  <c r="X177" i="10"/>
  <c r="X178" i="10"/>
  <c r="X179" i="10"/>
  <c r="X180" i="10"/>
  <c r="X181" i="10"/>
  <c r="X182" i="10"/>
  <c r="X183" i="10"/>
  <c r="X184" i="10"/>
  <c r="X185" i="10"/>
  <c r="X186" i="10"/>
  <c r="X187" i="10"/>
  <c r="X188" i="10"/>
  <c r="X189" i="10"/>
  <c r="X190" i="10"/>
  <c r="X191" i="10"/>
  <c r="X192" i="10"/>
  <c r="X193" i="10"/>
  <c r="X194" i="10"/>
  <c r="X195" i="10"/>
  <c r="X196" i="10"/>
  <c r="X197" i="10"/>
  <c r="X198" i="10"/>
  <c r="X199" i="10"/>
  <c r="X200" i="10"/>
  <c r="X201" i="10"/>
  <c r="X202" i="10"/>
  <c r="X203" i="10"/>
  <c r="X204" i="10"/>
  <c r="X205" i="10"/>
  <c r="X206" i="10"/>
  <c r="X207" i="10"/>
  <c r="X208" i="10"/>
  <c r="X209" i="10"/>
  <c r="X210" i="10"/>
  <c r="X211" i="10"/>
  <c r="X212" i="10"/>
  <c r="X213" i="10"/>
  <c r="X214" i="10"/>
  <c r="X215" i="10"/>
  <c r="X216" i="10"/>
  <c r="X217" i="10"/>
  <c r="X218" i="10"/>
  <c r="X219" i="10"/>
  <c r="X220" i="10"/>
  <c r="X221" i="10"/>
  <c r="X222" i="10"/>
  <c r="X223" i="10"/>
  <c r="X224" i="10"/>
  <c r="X225" i="10"/>
  <c r="X226" i="10"/>
  <c r="X227" i="10"/>
  <c r="X228" i="10"/>
  <c r="X229" i="10"/>
  <c r="X230" i="10"/>
  <c r="X231" i="10"/>
  <c r="X232" i="10"/>
  <c r="X233" i="10"/>
  <c r="X234" i="10"/>
  <c r="X235" i="10"/>
  <c r="X236" i="10"/>
  <c r="X237" i="10"/>
  <c r="X238" i="10"/>
  <c r="X239" i="10"/>
  <c r="X240" i="10"/>
  <c r="X241" i="10"/>
  <c r="X242" i="10"/>
  <c r="X243" i="10"/>
  <c r="X244" i="10"/>
  <c r="X245" i="10"/>
  <c r="X246" i="10"/>
  <c r="X247" i="10"/>
  <c r="X248" i="10"/>
  <c r="X249" i="10"/>
  <c r="X250" i="10"/>
  <c r="X251" i="10"/>
  <c r="X252" i="10"/>
  <c r="X253" i="10"/>
  <c r="X254" i="10"/>
  <c r="X255" i="10"/>
  <c r="X256" i="10"/>
  <c r="X257" i="10"/>
  <c r="X258" i="10"/>
  <c r="X259" i="10"/>
  <c r="X260" i="10"/>
  <c r="X261" i="10"/>
  <c r="X262" i="10"/>
  <c r="X263" i="10"/>
  <c r="X264" i="10"/>
  <c r="X265" i="10"/>
  <c r="X266" i="10"/>
  <c r="X267" i="10"/>
  <c r="X268" i="10"/>
  <c r="X269" i="10"/>
  <c r="X270" i="10"/>
  <c r="X271" i="10"/>
  <c r="X272" i="10"/>
  <c r="X273" i="10"/>
  <c r="X274" i="10"/>
  <c r="X275" i="10"/>
  <c r="X276" i="10"/>
  <c r="X277" i="10"/>
  <c r="X278" i="10"/>
  <c r="X279" i="10"/>
  <c r="X280" i="10"/>
  <c r="X281" i="10"/>
  <c r="X282" i="10"/>
  <c r="X283" i="10"/>
  <c r="X284" i="10"/>
  <c r="X285" i="10"/>
  <c r="X286" i="10"/>
  <c r="X287" i="10"/>
  <c r="X288" i="10"/>
  <c r="X289" i="10"/>
  <c r="X290" i="10"/>
  <c r="X291" i="10"/>
  <c r="X292" i="10"/>
  <c r="X293" i="10"/>
  <c r="X294" i="10"/>
  <c r="X295" i="10"/>
  <c r="X296" i="10"/>
  <c r="X297" i="10"/>
  <c r="X298" i="10"/>
  <c r="X299" i="10"/>
  <c r="X300" i="10"/>
  <c r="X301" i="10"/>
  <c r="X302" i="10"/>
  <c r="X303" i="10"/>
  <c r="X304" i="10"/>
  <c r="Y304" i="10" s="1"/>
  <c r="X305" i="10"/>
  <c r="X306" i="10"/>
  <c r="X307" i="10"/>
  <c r="X308" i="10"/>
  <c r="Y308" i="10" s="1"/>
  <c r="X309" i="10"/>
  <c r="X310" i="10"/>
  <c r="X311" i="10"/>
  <c r="X312" i="10"/>
  <c r="Y312" i="10" s="1"/>
  <c r="X313" i="10"/>
  <c r="X314" i="10"/>
  <c r="X315" i="10"/>
  <c r="X316" i="10"/>
  <c r="Y316" i="10" s="1"/>
  <c r="X317" i="10"/>
  <c r="X318" i="10"/>
  <c r="X319" i="10"/>
  <c r="X320" i="10"/>
  <c r="Y320" i="10" s="1"/>
  <c r="X321" i="10"/>
  <c r="X322" i="10"/>
  <c r="X323" i="10"/>
  <c r="X324" i="10"/>
  <c r="Y324" i="10" s="1"/>
  <c r="X325" i="10"/>
  <c r="X326" i="10"/>
  <c r="X327" i="10"/>
  <c r="X328" i="10"/>
  <c r="Y328" i="10" s="1"/>
  <c r="X329" i="10"/>
  <c r="X330" i="10"/>
  <c r="X331" i="10"/>
  <c r="X332" i="10"/>
  <c r="Y332" i="10" s="1"/>
  <c r="X333" i="10"/>
  <c r="X334" i="10"/>
  <c r="X335" i="10"/>
  <c r="X336" i="10"/>
  <c r="Y336" i="10" s="1"/>
  <c r="X337" i="10"/>
  <c r="X338" i="10"/>
  <c r="X339" i="10"/>
  <c r="X340" i="10"/>
  <c r="Y340" i="10" s="1"/>
  <c r="X341" i="10"/>
  <c r="X342" i="10"/>
  <c r="X343" i="10"/>
  <c r="X344" i="10"/>
  <c r="Y344" i="10" s="1"/>
  <c r="X345" i="10"/>
  <c r="X346" i="10"/>
  <c r="X347" i="10"/>
  <c r="X348" i="10"/>
  <c r="Y348" i="10" s="1"/>
  <c r="X349" i="10"/>
  <c r="X350" i="10"/>
  <c r="X351" i="10"/>
  <c r="X352" i="10"/>
  <c r="Y352" i="10" s="1"/>
  <c r="X353" i="10"/>
  <c r="X354" i="10"/>
  <c r="X355" i="10"/>
  <c r="X356" i="10"/>
  <c r="Y356" i="10" s="1"/>
  <c r="X357" i="10"/>
  <c r="X358" i="10"/>
  <c r="X359" i="10"/>
  <c r="X360" i="10"/>
  <c r="Y360" i="10" s="1"/>
  <c r="X361" i="10"/>
  <c r="X362" i="10"/>
  <c r="X363" i="10"/>
  <c r="X364" i="10"/>
  <c r="Y364" i="10" s="1"/>
  <c r="X365" i="10"/>
  <c r="X366" i="10"/>
  <c r="X367" i="10"/>
  <c r="X368" i="10"/>
  <c r="Y368" i="10" s="1"/>
  <c r="X369" i="10"/>
  <c r="X370" i="10"/>
  <c r="X371" i="10"/>
  <c r="X372" i="10"/>
  <c r="Y372" i="10" s="1"/>
  <c r="X373" i="10"/>
  <c r="X374" i="10"/>
  <c r="X375" i="10"/>
  <c r="X376" i="10"/>
  <c r="Y376" i="10" s="1"/>
  <c r="X377" i="10"/>
  <c r="X378" i="10"/>
  <c r="X379" i="10"/>
  <c r="X380" i="10"/>
  <c r="Y380" i="10" s="1"/>
  <c r="X381" i="10"/>
  <c r="X382" i="10"/>
  <c r="X383" i="10"/>
  <c r="X384" i="10"/>
  <c r="Y384" i="10" s="1"/>
  <c r="X385" i="10"/>
  <c r="X386" i="10"/>
  <c r="X387" i="10"/>
  <c r="X388" i="10"/>
  <c r="Y388" i="10" s="1"/>
  <c r="X389" i="10"/>
  <c r="X390" i="10"/>
  <c r="X391" i="10"/>
  <c r="X392" i="10"/>
  <c r="Y392" i="10" s="1"/>
  <c r="X393" i="10"/>
  <c r="X394" i="10"/>
  <c r="X395" i="10"/>
  <c r="X396" i="10"/>
  <c r="Y396" i="10" s="1"/>
  <c r="X397" i="10"/>
  <c r="X398" i="10"/>
  <c r="X399" i="10"/>
  <c r="X400" i="10"/>
  <c r="Y400" i="10" s="1"/>
  <c r="X401" i="10"/>
  <c r="X402" i="10"/>
  <c r="X403" i="10"/>
  <c r="X404" i="10"/>
  <c r="Y404" i="10" s="1"/>
  <c r="X405" i="10"/>
  <c r="X406" i="10"/>
  <c r="X407" i="10"/>
  <c r="X408" i="10"/>
  <c r="Y408" i="10" s="1"/>
  <c r="X409" i="10"/>
  <c r="X410" i="10"/>
  <c r="X411" i="10"/>
  <c r="X412" i="10"/>
  <c r="Y412" i="10" s="1"/>
  <c r="X413" i="10"/>
  <c r="X414" i="10"/>
  <c r="X415" i="10"/>
  <c r="X416" i="10"/>
  <c r="Y416" i="10" s="1"/>
  <c r="X417" i="10"/>
  <c r="Y296" i="10" l="1"/>
  <c r="Y292" i="10"/>
  <c r="Y288" i="10"/>
  <c r="Y284" i="10"/>
  <c r="Y280" i="10"/>
  <c r="Y276" i="10"/>
  <c r="Y272" i="10"/>
  <c r="Y268" i="10"/>
  <c r="Y264" i="10"/>
  <c r="Y260" i="10"/>
  <c r="Y256" i="10"/>
  <c r="Y252" i="10"/>
  <c r="Y248" i="10"/>
  <c r="Y244" i="10"/>
  <c r="Y240" i="10"/>
  <c r="Y236" i="10"/>
  <c r="Y232" i="10"/>
  <c r="Y228" i="10"/>
  <c r="Y224" i="10"/>
  <c r="Y220" i="10"/>
  <c r="Y216" i="10"/>
  <c r="Y212" i="10"/>
  <c r="Y208" i="10"/>
  <c r="Y204" i="10"/>
  <c r="Y200" i="10"/>
  <c r="Y196" i="10"/>
  <c r="Y192" i="10"/>
  <c r="Y188" i="10"/>
  <c r="Y184" i="10"/>
  <c r="Y180" i="10"/>
  <c r="Y176" i="10"/>
  <c r="Y172" i="10"/>
  <c r="Y168" i="10"/>
  <c r="Y164" i="10"/>
  <c r="Y160" i="10"/>
  <c r="Y156" i="10"/>
  <c r="Y152" i="10"/>
  <c r="Y148" i="10"/>
  <c r="Y144" i="10"/>
  <c r="Y140" i="10"/>
  <c r="Y136" i="10"/>
  <c r="Y132" i="10"/>
  <c r="Y128" i="10"/>
  <c r="Y124" i="10"/>
  <c r="Y120" i="10"/>
  <c r="Y116" i="10"/>
  <c r="Y112" i="10"/>
  <c r="Y108" i="10"/>
  <c r="Y104" i="10"/>
  <c r="Y100" i="10"/>
  <c r="Y96" i="10"/>
  <c r="Y92" i="10"/>
  <c r="Y88" i="10"/>
  <c r="Y84" i="10"/>
  <c r="Y227" i="10"/>
  <c r="G51" i="9"/>
  <c r="C51" i="9"/>
  <c r="F51" i="9"/>
  <c r="D51" i="9"/>
  <c r="AF11" i="8" s="1"/>
  <c r="H51" i="9"/>
  <c r="O21" i="21"/>
  <c r="Y411" i="10"/>
  <c r="Y403" i="10"/>
  <c r="Y399" i="10"/>
  <c r="Y391" i="10"/>
  <c r="Y383" i="10"/>
  <c r="Y375" i="10"/>
  <c r="Y367" i="10"/>
  <c r="Y359" i="10"/>
  <c r="Y355" i="10"/>
  <c r="Y347" i="10"/>
  <c r="Y339" i="10"/>
  <c r="Y335" i="10"/>
  <c r="Y327" i="10"/>
  <c r="Y319" i="10"/>
  <c r="Y311" i="10"/>
  <c r="Y303" i="10"/>
  <c r="Y275" i="10"/>
  <c r="Y267" i="10"/>
  <c r="Y259" i="10"/>
  <c r="Y255" i="10"/>
  <c r="Y247" i="10"/>
  <c r="Y239" i="10"/>
  <c r="Y235" i="10"/>
  <c r="Y223" i="10"/>
  <c r="Y300" i="10"/>
  <c r="Y779" i="10"/>
  <c r="Y795" i="10"/>
  <c r="Y859" i="10"/>
  <c r="Y803" i="10"/>
  <c r="Y855" i="10"/>
  <c r="Y919" i="10"/>
  <c r="Y586" i="10"/>
  <c r="Y863" i="10"/>
  <c r="Y927" i="10"/>
  <c r="Y602" i="10"/>
  <c r="Y679" i="10"/>
  <c r="Y901" i="10"/>
  <c r="Y935" i="10"/>
  <c r="Y618" i="10"/>
  <c r="Y695" i="10"/>
  <c r="Y787" i="10"/>
  <c r="Y911" i="10"/>
  <c r="Y943" i="10"/>
  <c r="Y570" i="10"/>
  <c r="Y454" i="10"/>
  <c r="Y444" i="10"/>
  <c r="Y488" i="10"/>
  <c r="Y478" i="10"/>
  <c r="Y465" i="10"/>
  <c r="Y456" i="10"/>
  <c r="Y557" i="10"/>
  <c r="Y548" i="10"/>
  <c r="Y432" i="10"/>
  <c r="Y445" i="10"/>
  <c r="Y487" i="10"/>
  <c r="Y473" i="10"/>
  <c r="Y459" i="10"/>
  <c r="Y556" i="10"/>
  <c r="Y428" i="10"/>
  <c r="Y447" i="10"/>
  <c r="Y491" i="10"/>
  <c r="Y481" i="10"/>
  <c r="Y469" i="10"/>
  <c r="Y457" i="10"/>
  <c r="Y561" i="10"/>
  <c r="Y550" i="10"/>
  <c r="Y433" i="10"/>
  <c r="Y426" i="10"/>
  <c r="Y711" i="10"/>
  <c r="Y703" i="10"/>
  <c r="Y689" i="10"/>
  <c r="Y685" i="10"/>
  <c r="Y681" i="10"/>
  <c r="Y608" i="10"/>
  <c r="Y604" i="10"/>
  <c r="Y1021" i="10"/>
  <c r="Y1013" i="10"/>
  <c r="Y1005" i="10"/>
  <c r="Y997" i="10"/>
  <c r="Y989" i="10"/>
  <c r="Y981" i="10"/>
  <c r="Y973" i="10"/>
  <c r="Y965" i="10"/>
  <c r="Y957" i="10"/>
  <c r="Y929" i="10"/>
  <c r="Y541" i="10"/>
  <c r="Y537" i="10"/>
  <c r="Y533" i="10"/>
  <c r="Y529" i="10"/>
  <c r="Y525" i="10"/>
  <c r="Y521" i="10"/>
  <c r="Y517" i="10"/>
  <c r="Y513" i="10"/>
  <c r="Y509" i="10"/>
  <c r="Y505" i="10"/>
  <c r="Y501" i="10"/>
  <c r="Y497" i="10"/>
  <c r="Y672" i="10"/>
  <c r="Y668" i="10"/>
  <c r="Y664" i="10"/>
  <c r="Y660" i="10"/>
  <c r="Y656" i="10"/>
  <c r="Y593" i="10"/>
  <c r="Y589" i="10"/>
  <c r="Y950" i="10"/>
  <c r="Y920" i="10"/>
  <c r="Y419" i="10"/>
  <c r="Y720" i="10"/>
  <c r="Y716" i="10"/>
  <c r="Y712" i="10"/>
  <c r="Y575" i="10"/>
  <c r="Y571" i="10"/>
  <c r="Y1019" i="10"/>
  <c r="Y1011" i="10"/>
  <c r="Y1003" i="10"/>
  <c r="Y995" i="10"/>
  <c r="Y987" i="10"/>
  <c r="Y979" i="10"/>
  <c r="Y971" i="10"/>
  <c r="Y963" i="10"/>
  <c r="Y955" i="10"/>
  <c r="Y946" i="10"/>
  <c r="Y914" i="10"/>
  <c r="Y799" i="10"/>
  <c r="Y791" i="10"/>
  <c r="Y702" i="10"/>
  <c r="Y697" i="10"/>
  <c r="Y651" i="10"/>
  <c r="Y647" i="10"/>
  <c r="Y643" i="10"/>
  <c r="Y639" i="10"/>
  <c r="Y448" i="10"/>
  <c r="Y437" i="10"/>
  <c r="Y482" i="10"/>
  <c r="Y472" i="10"/>
  <c r="Y461" i="10"/>
  <c r="Y562" i="10"/>
  <c r="Y552" i="10"/>
  <c r="Y543" i="10"/>
  <c r="Y453" i="10"/>
  <c r="Y438" i="10"/>
  <c r="Y480" i="10"/>
  <c r="Y467" i="10"/>
  <c r="Y564" i="10"/>
  <c r="Y546" i="10"/>
  <c r="Y451" i="10"/>
  <c r="Y441" i="10"/>
  <c r="Y486" i="10"/>
  <c r="Y475" i="10"/>
  <c r="Y464" i="10"/>
  <c r="Y565" i="10"/>
  <c r="Y554" i="10"/>
  <c r="Y544" i="10"/>
  <c r="Y430" i="10"/>
  <c r="Y424" i="10"/>
  <c r="Y706" i="10"/>
  <c r="Y691" i="10"/>
  <c r="Y687" i="10"/>
  <c r="Y683" i="10"/>
  <c r="Y610" i="10"/>
  <c r="Y606" i="10"/>
  <c r="Y569" i="10"/>
  <c r="Y1017" i="10"/>
  <c r="Y1009" i="10"/>
  <c r="Y1001" i="10"/>
  <c r="Y993" i="10"/>
  <c r="Y985" i="10"/>
  <c r="Y977" i="10"/>
  <c r="Y969" i="10"/>
  <c r="Y961" i="10"/>
  <c r="Y931" i="10"/>
  <c r="Y868" i="10"/>
  <c r="Y539" i="10"/>
  <c r="Y535" i="10"/>
  <c r="Y531" i="10"/>
  <c r="Y527" i="10"/>
  <c r="Y523" i="10"/>
  <c r="Y519" i="10"/>
  <c r="Y515" i="10"/>
  <c r="Y511" i="10"/>
  <c r="Y507" i="10"/>
  <c r="Y503" i="10"/>
  <c r="Y499" i="10"/>
  <c r="Y674" i="10"/>
  <c r="Y670" i="10"/>
  <c r="Y666" i="10"/>
  <c r="Y662" i="10"/>
  <c r="Y658" i="10"/>
  <c r="Y654" i="10"/>
  <c r="Y591" i="10"/>
  <c r="Y587" i="10"/>
  <c r="Y922" i="10"/>
  <c r="Y421" i="10"/>
  <c r="Y455" i="10"/>
  <c r="Y718" i="10"/>
  <c r="Y714" i="10"/>
  <c r="Y577" i="10"/>
  <c r="Y573" i="10"/>
  <c r="Y1023" i="10"/>
  <c r="Y1015" i="10"/>
  <c r="Y1007" i="10"/>
  <c r="Y999" i="10"/>
  <c r="Y991" i="10"/>
  <c r="Y983" i="10"/>
  <c r="Y975" i="10"/>
  <c r="Y967" i="10"/>
  <c r="Y959" i="10"/>
  <c r="Y446" i="10"/>
  <c r="Y492" i="10"/>
  <c r="Y479" i="10"/>
  <c r="Y468" i="10"/>
  <c r="Y458" i="10"/>
  <c r="Y559" i="10"/>
  <c r="Y549" i="10"/>
  <c r="Y434" i="10"/>
  <c r="Y450" i="10"/>
  <c r="Y490" i="10"/>
  <c r="Y476" i="10"/>
  <c r="Y462" i="10"/>
  <c r="Y560" i="10"/>
  <c r="Y435" i="10"/>
  <c r="Y449" i="10"/>
  <c r="Y439" i="10"/>
  <c r="Y484" i="10"/>
  <c r="Y471" i="10"/>
  <c r="Y460" i="10"/>
  <c r="Y563" i="10"/>
  <c r="Y551" i="10"/>
  <c r="Y542" i="10"/>
  <c r="Y427" i="10"/>
  <c r="Y423" i="10"/>
  <c r="Y705" i="10"/>
  <c r="Y690" i="10"/>
  <c r="Y686" i="10"/>
  <c r="Y682" i="10"/>
  <c r="Y609" i="10"/>
  <c r="Y605" i="10"/>
  <c r="Y1022" i="10"/>
  <c r="Y1014" i="10"/>
  <c r="Y1006" i="10"/>
  <c r="Y998" i="10"/>
  <c r="Y990" i="10"/>
  <c r="Y982" i="10"/>
  <c r="Y974" i="10"/>
  <c r="Y966" i="10"/>
  <c r="Y958" i="10"/>
  <c r="Y930" i="10"/>
  <c r="Y860" i="10"/>
  <c r="Y538" i="10"/>
  <c r="Y534" i="10"/>
  <c r="Y530" i="10"/>
  <c r="Y526" i="10"/>
  <c r="Y522" i="10"/>
  <c r="Y518" i="10"/>
  <c r="Y514" i="10"/>
  <c r="Y510" i="10"/>
  <c r="Y506" i="10"/>
  <c r="Y502" i="10"/>
  <c r="Y498" i="10"/>
  <c r="Y673" i="10"/>
  <c r="Y669" i="10"/>
  <c r="Y665" i="10"/>
  <c r="Y661" i="10"/>
  <c r="Y657" i="10"/>
  <c r="Y594" i="10"/>
  <c r="Y590" i="10"/>
  <c r="Y951" i="10"/>
  <c r="Y921" i="10"/>
  <c r="Y420" i="10"/>
  <c r="Y493" i="10"/>
  <c r="Y717" i="10"/>
  <c r="Y713" i="10"/>
  <c r="Y576" i="10"/>
  <c r="Y572" i="10"/>
  <c r="Y1020" i="10"/>
  <c r="Y1012" i="10"/>
  <c r="Y1004" i="10"/>
  <c r="Y996" i="10"/>
  <c r="Y988" i="10"/>
  <c r="Y980" i="10"/>
  <c r="Y972" i="10"/>
  <c r="Y964" i="10"/>
  <c r="Y956" i="10"/>
  <c r="Y947" i="10"/>
  <c r="Y915" i="10"/>
  <c r="Y867" i="10"/>
  <c r="Y796" i="10"/>
  <c r="Y704" i="10"/>
  <c r="Y698" i="10"/>
  <c r="Y652" i="10"/>
  <c r="Y648" i="10"/>
  <c r="Y644" i="10"/>
  <c r="Y452" i="10"/>
  <c r="Y463" i="10"/>
  <c r="Y429" i="10"/>
  <c r="Y567" i="10"/>
  <c r="Y489" i="10"/>
  <c r="Y558" i="10"/>
  <c r="Y709" i="10"/>
  <c r="Y680" i="10"/>
  <c r="Y1010" i="10"/>
  <c r="Y978" i="10"/>
  <c r="Y928" i="10"/>
  <c r="Y528" i="10"/>
  <c r="Y512" i="10"/>
  <c r="Y675" i="10"/>
  <c r="Y659" i="10"/>
  <c r="Y923" i="10"/>
  <c r="Y715" i="10"/>
  <c r="Y1016" i="10"/>
  <c r="Y984" i="10"/>
  <c r="Y953" i="10"/>
  <c r="Y913" i="10"/>
  <c r="Y710" i="10"/>
  <c r="Y696" i="10"/>
  <c r="Y646" i="10"/>
  <c r="Y640" i="10"/>
  <c r="Y635" i="10"/>
  <c r="Y631" i="10"/>
  <c r="Y627" i="10"/>
  <c r="Y623" i="10"/>
  <c r="Y619" i="10"/>
  <c r="Y937" i="10"/>
  <c r="Y903" i="10"/>
  <c r="Y871" i="10"/>
  <c r="Y849" i="10"/>
  <c r="Y841" i="10"/>
  <c r="Y833" i="10"/>
  <c r="Y825" i="10"/>
  <c r="Y817" i="10"/>
  <c r="Y809" i="10"/>
  <c r="Y781" i="10"/>
  <c r="Y495" i="10"/>
  <c r="Y692" i="10"/>
  <c r="Y598" i="10"/>
  <c r="Y948" i="10"/>
  <c r="Y918" i="10"/>
  <c r="Y899" i="10"/>
  <c r="Y895" i="10"/>
  <c r="Y891" i="10"/>
  <c r="Y887" i="10"/>
  <c r="Y883" i="10"/>
  <c r="Y857" i="10"/>
  <c r="Y786" i="10"/>
  <c r="Y708" i="10"/>
  <c r="Y617" i="10"/>
  <c r="Y613" i="10"/>
  <c r="Y584" i="10"/>
  <c r="Y580" i="10"/>
  <c r="Y940" i="10"/>
  <c r="Y910" i="10"/>
  <c r="Y906" i="10"/>
  <c r="Y877" i="10"/>
  <c r="Y872" i="10"/>
  <c r="Y865" i="10"/>
  <c r="Y792" i="10"/>
  <c r="Y721" i="10"/>
  <c r="Y851" i="10"/>
  <c r="Y843" i="10"/>
  <c r="Y835" i="10"/>
  <c r="Y827" i="10"/>
  <c r="Y819" i="10"/>
  <c r="Y811" i="10"/>
  <c r="Y804" i="10"/>
  <c r="Y774" i="10"/>
  <c r="Y770" i="10"/>
  <c r="Y766" i="10"/>
  <c r="Y762" i="10"/>
  <c r="Y758" i="10"/>
  <c r="Y754" i="10"/>
  <c r="Y750" i="10"/>
  <c r="Y746" i="10"/>
  <c r="Y742" i="10"/>
  <c r="Y738" i="10"/>
  <c r="Y734" i="10"/>
  <c r="Y730" i="10"/>
  <c r="Y726" i="10"/>
  <c r="Y440" i="10"/>
  <c r="Y553" i="10"/>
  <c r="Y547" i="10"/>
  <c r="Y607" i="10"/>
  <c r="Y970" i="10"/>
  <c r="Y524" i="10"/>
  <c r="Y655" i="10"/>
  <c r="Y578" i="10"/>
  <c r="Y976" i="10"/>
  <c r="Y912" i="10"/>
  <c r="Y707" i="10"/>
  <c r="Y645" i="10"/>
  <c r="Y630" i="10"/>
  <c r="Y949" i="10"/>
  <c r="Y854" i="10"/>
  <c r="Y830" i="10"/>
  <c r="Y806" i="10"/>
  <c r="Y601" i="10"/>
  <c r="Y917" i="10"/>
  <c r="Y890" i="10"/>
  <c r="Y802" i="10"/>
  <c r="Y616" i="10"/>
  <c r="Y579" i="10"/>
  <c r="Y876" i="10"/>
  <c r="Y778" i="10"/>
  <c r="Y840" i="10"/>
  <c r="Y816" i="10"/>
  <c r="Y790" i="10"/>
  <c r="Y761" i="10"/>
  <c r="Y749" i="10"/>
  <c r="Y737" i="10"/>
  <c r="Y725" i="10"/>
  <c r="Y485" i="10"/>
  <c r="Y555" i="10"/>
  <c r="Y483" i="10"/>
  <c r="Y418" i="10"/>
  <c r="Y466" i="10"/>
  <c r="Y431" i="10"/>
  <c r="Y688" i="10"/>
  <c r="Y603" i="10"/>
  <c r="Y994" i="10"/>
  <c r="Y962" i="10"/>
  <c r="Y536" i="10"/>
  <c r="Y520" i="10"/>
  <c r="Y504" i="10"/>
  <c r="Y667" i="10"/>
  <c r="Y592" i="10"/>
  <c r="Y436" i="10"/>
  <c r="Y574" i="10"/>
  <c r="Y1000" i="10"/>
  <c r="Y968" i="10"/>
  <c r="Y945" i="10"/>
  <c r="Y798" i="10"/>
  <c r="Y701" i="10"/>
  <c r="Y650" i="10"/>
  <c r="Y642" i="10"/>
  <c r="Y637" i="10"/>
  <c r="Y633" i="10"/>
  <c r="Y629" i="10"/>
  <c r="Y625" i="10"/>
  <c r="Y621" i="10"/>
  <c r="Y939" i="10"/>
  <c r="Y905" i="10"/>
  <c r="Y879" i="10"/>
  <c r="Y853" i="10"/>
  <c r="Y845" i="10"/>
  <c r="Y837" i="10"/>
  <c r="Y829" i="10"/>
  <c r="Y821" i="10"/>
  <c r="Y813" i="10"/>
  <c r="Y783" i="10"/>
  <c r="Y775" i="10"/>
  <c r="Y694" i="10"/>
  <c r="Y600" i="10"/>
  <c r="Y596" i="10"/>
  <c r="Y933" i="10"/>
  <c r="Y916" i="10"/>
  <c r="Y897" i="10"/>
  <c r="Y893" i="10"/>
  <c r="Y889" i="10"/>
  <c r="Y885" i="10"/>
  <c r="Y864" i="10"/>
  <c r="Y801" i="10"/>
  <c r="Y784" i="10"/>
  <c r="Y677" i="10"/>
  <c r="Y615" i="10"/>
  <c r="Y611" i="10"/>
  <c r="Y582" i="10"/>
  <c r="Y942" i="10"/>
  <c r="Y925" i="10"/>
  <c r="Y908" i="10"/>
  <c r="Y880" i="10"/>
  <c r="Y874" i="10"/>
  <c r="Y869" i="10"/>
  <c r="Y794" i="10"/>
  <c r="Y777" i="10"/>
  <c r="Y861" i="10"/>
  <c r="Y847" i="10"/>
  <c r="Y839" i="10"/>
  <c r="Y831" i="10"/>
  <c r="Y823" i="10"/>
  <c r="Y815" i="10"/>
  <c r="Y807" i="10"/>
  <c r="Y789" i="10"/>
  <c r="Y772" i="10"/>
  <c r="Y768" i="10"/>
  <c r="Y764" i="10"/>
  <c r="Y760" i="10"/>
  <c r="Y756" i="10"/>
  <c r="Y752" i="10"/>
  <c r="Y748" i="10"/>
  <c r="Y744" i="10"/>
  <c r="Y740" i="10"/>
  <c r="Y736" i="10"/>
  <c r="Y732" i="10"/>
  <c r="Y728" i="10"/>
  <c r="Y724" i="10"/>
  <c r="Y508" i="10"/>
  <c r="Y634" i="10"/>
  <c r="Y622" i="10"/>
  <c r="Y902" i="10"/>
  <c r="Y838" i="10"/>
  <c r="Y814" i="10"/>
  <c r="Y494" i="10"/>
  <c r="Y934" i="10"/>
  <c r="Y894" i="10"/>
  <c r="Y882" i="10"/>
  <c r="Y678" i="10"/>
  <c r="Y583" i="10"/>
  <c r="Y909" i="10"/>
  <c r="Y870" i="10"/>
  <c r="Y862" i="10"/>
  <c r="Y832" i="10"/>
  <c r="Y808" i="10"/>
  <c r="Y769" i="10"/>
  <c r="Y757" i="10"/>
  <c r="Y745" i="10"/>
  <c r="Y733" i="10"/>
  <c r="Y474" i="10"/>
  <c r="Y545" i="10"/>
  <c r="Y470" i="10"/>
  <c r="Y443" i="10"/>
  <c r="Y568" i="10"/>
  <c r="Y425" i="10"/>
  <c r="Y684" i="10"/>
  <c r="Y1018" i="10"/>
  <c r="Y986" i="10"/>
  <c r="Y954" i="10"/>
  <c r="Y532" i="10"/>
  <c r="Y516" i="10"/>
  <c r="Y500" i="10"/>
  <c r="Y663" i="10"/>
  <c r="Y588" i="10"/>
  <c r="Y719" i="10"/>
  <c r="Y1024" i="10"/>
  <c r="Y992" i="10"/>
  <c r="Y960" i="10"/>
  <c r="Y944" i="10"/>
  <c r="Y797" i="10"/>
  <c r="Y700" i="10"/>
  <c r="Y649" i="10"/>
  <c r="Y641" i="10"/>
  <c r="Y636" i="10"/>
  <c r="Y632" i="10"/>
  <c r="Y628" i="10"/>
  <c r="Y624" i="10"/>
  <c r="Y620" i="10"/>
  <c r="Y938" i="10"/>
  <c r="Y904" i="10"/>
  <c r="Y875" i="10"/>
  <c r="Y850" i="10"/>
  <c r="Y842" i="10"/>
  <c r="Y834" i="10"/>
  <c r="Y826" i="10"/>
  <c r="Y818" i="10"/>
  <c r="Y810" i="10"/>
  <c r="Y782" i="10"/>
  <c r="Y496" i="10"/>
  <c r="Y693" i="10"/>
  <c r="Y599" i="10"/>
  <c r="Y595" i="10"/>
  <c r="Y932" i="10"/>
  <c r="Y900" i="10"/>
  <c r="Y896" i="10"/>
  <c r="Y892" i="10"/>
  <c r="Y888" i="10"/>
  <c r="Y884" i="10"/>
  <c r="Y858" i="10"/>
  <c r="Y800" i="10"/>
  <c r="Y722" i="10"/>
  <c r="Y676" i="10"/>
  <c r="Y614" i="10"/>
  <c r="Y585" i="10"/>
  <c r="Y581" i="10"/>
  <c r="Y941" i="10"/>
  <c r="Y924" i="10"/>
  <c r="Y907" i="10"/>
  <c r="Y878" i="10"/>
  <c r="Y873" i="10"/>
  <c r="Y866" i="10"/>
  <c r="Y793" i="10"/>
  <c r="Y776" i="10"/>
  <c r="Y852" i="10"/>
  <c r="Y844" i="10"/>
  <c r="Y836" i="10"/>
  <c r="Y828" i="10"/>
  <c r="Y820" i="10"/>
  <c r="Y812" i="10"/>
  <c r="Y805" i="10"/>
  <c r="Y788" i="10"/>
  <c r="Y771" i="10"/>
  <c r="Y767" i="10"/>
  <c r="Y763" i="10"/>
  <c r="Y759" i="10"/>
  <c r="Y755" i="10"/>
  <c r="Y751" i="10"/>
  <c r="Y747" i="10"/>
  <c r="Y743" i="10"/>
  <c r="Y739" i="10"/>
  <c r="Y735" i="10"/>
  <c r="Y731" i="10"/>
  <c r="Y727" i="10"/>
  <c r="Y723" i="10"/>
  <c r="Y566" i="10"/>
  <c r="Y442" i="10"/>
  <c r="Y477" i="10"/>
  <c r="Y699" i="10"/>
  <c r="Y1002" i="10"/>
  <c r="Y540" i="10"/>
  <c r="Y671" i="10"/>
  <c r="Y422" i="10"/>
  <c r="Y1008" i="10"/>
  <c r="Y952" i="10"/>
  <c r="Y653" i="10"/>
  <c r="Y638" i="10"/>
  <c r="Y626" i="10"/>
  <c r="Y936" i="10"/>
  <c r="Y846" i="10"/>
  <c r="Y822" i="10"/>
  <c r="Y780" i="10"/>
  <c r="Y597" i="10"/>
  <c r="Y898" i="10"/>
  <c r="Y886" i="10"/>
  <c r="Y785" i="10"/>
  <c r="Y612" i="10"/>
  <c r="Y926" i="10"/>
  <c r="Y881" i="10"/>
  <c r="Y856" i="10"/>
  <c r="Y848" i="10"/>
  <c r="Y824" i="10"/>
  <c r="Y773" i="10"/>
  <c r="Y765" i="10"/>
  <c r="Y753" i="10"/>
  <c r="Y741" i="10"/>
  <c r="Y729" i="10"/>
  <c r="Y415" i="10"/>
  <c r="Y407" i="10"/>
  <c r="Y395" i="10"/>
  <c r="Y387" i="10"/>
  <c r="Y379" i="10"/>
  <c r="Y371" i="10"/>
  <c r="Y363" i="10"/>
  <c r="Y351" i="10"/>
  <c r="Y343" i="10"/>
  <c r="Y331" i="10"/>
  <c r="Y323" i="10"/>
  <c r="Y315" i="10"/>
  <c r="Y307" i="10"/>
  <c r="Y271" i="10"/>
  <c r="Y263" i="10"/>
  <c r="Y251" i="10"/>
  <c r="Y243" i="10"/>
  <c r="Y231" i="10"/>
  <c r="Y219" i="10"/>
  <c r="Y215" i="10"/>
  <c r="Y203" i="10"/>
  <c r="Y410" i="10"/>
  <c r="Y402" i="10"/>
  <c r="Y394" i="10"/>
  <c r="Y386" i="10"/>
  <c r="Y378" i="10"/>
  <c r="Y370" i="10"/>
  <c r="Y362" i="10"/>
  <c r="Y354" i="10"/>
  <c r="Y346" i="10"/>
  <c r="Y338" i="10"/>
  <c r="Y330" i="10"/>
  <c r="Y322" i="10"/>
  <c r="Y318" i="10"/>
  <c r="Y310" i="10"/>
  <c r="Y306" i="10"/>
  <c r="Y302" i="10"/>
  <c r="Y298" i="10"/>
  <c r="Y294" i="10"/>
  <c r="Y290" i="10"/>
  <c r="Y286" i="10"/>
  <c r="Y282" i="10"/>
  <c r="Y278" i="10"/>
  <c r="Y274" i="10"/>
  <c r="Y270" i="10"/>
  <c r="Y266" i="10"/>
  <c r="Y262" i="10"/>
  <c r="Y258" i="10"/>
  <c r="Y254" i="10"/>
  <c r="Y250" i="10"/>
  <c r="Y246" i="10"/>
  <c r="Y242" i="10"/>
  <c r="Y238" i="10"/>
  <c r="Y234" i="10"/>
  <c r="Y230" i="10"/>
  <c r="Y226" i="10"/>
  <c r="Y222" i="10"/>
  <c r="Y218" i="10"/>
  <c r="Y214" i="10"/>
  <c r="Y210" i="10"/>
  <c r="Y206" i="10"/>
  <c r="Y202" i="10"/>
  <c r="Y198" i="10"/>
  <c r="Y194" i="10"/>
  <c r="Y190" i="10"/>
  <c r="Y186" i="10"/>
  <c r="Y182" i="10"/>
  <c r="Y178" i="10"/>
  <c r="Y174" i="10"/>
  <c r="Y170" i="10"/>
  <c r="Y166" i="10"/>
  <c r="Y162" i="10"/>
  <c r="Y158" i="10"/>
  <c r="Y154" i="10"/>
  <c r="Y150" i="10"/>
  <c r="Y146" i="10"/>
  <c r="Y142" i="10"/>
  <c r="Y138" i="10"/>
  <c r="Y134" i="10"/>
  <c r="Y130" i="10"/>
  <c r="Y126" i="10"/>
  <c r="Y122" i="10"/>
  <c r="Y118" i="10"/>
  <c r="Y114" i="10"/>
  <c r="Y110" i="10"/>
  <c r="Y106" i="10"/>
  <c r="Y102" i="10"/>
  <c r="Y98" i="10"/>
  <c r="Y94" i="10"/>
  <c r="Y90" i="10"/>
  <c r="Y86" i="10"/>
  <c r="Y82" i="10"/>
  <c r="Y78" i="10"/>
  <c r="Y74" i="10"/>
  <c r="Y70" i="10"/>
  <c r="Y66" i="10"/>
  <c r="Y62" i="10"/>
  <c r="Y58" i="10"/>
  <c r="Y54" i="10"/>
  <c r="Y50" i="10"/>
  <c r="Y46" i="10"/>
  <c r="Y42" i="10"/>
  <c r="Y38" i="10"/>
  <c r="Y34" i="10"/>
  <c r="Y211" i="10"/>
  <c r="Y207" i="10"/>
  <c r="Y199" i="10"/>
  <c r="Y195" i="10"/>
  <c r="Y191" i="10"/>
  <c r="Y187" i="10"/>
  <c r="Y183" i="10"/>
  <c r="Y179" i="10"/>
  <c r="Y175" i="10"/>
  <c r="Y171" i="10"/>
  <c r="Y167" i="10"/>
  <c r="Y163" i="10"/>
  <c r="Y159" i="10"/>
  <c r="Y155" i="10"/>
  <c r="Y151" i="10"/>
  <c r="Y147" i="10"/>
  <c r="Y143" i="10"/>
  <c r="Y139" i="10"/>
  <c r="Y135" i="10"/>
  <c r="Y131" i="10"/>
  <c r="Y127" i="10"/>
  <c r="Y123" i="10"/>
  <c r="Y119" i="10"/>
  <c r="Y115" i="10"/>
  <c r="Y111" i="10"/>
  <c r="Y107" i="10"/>
  <c r="Y103" i="10"/>
  <c r="Y99" i="10"/>
  <c r="Y95" i="10"/>
  <c r="Y91" i="10"/>
  <c r="Y87" i="10"/>
  <c r="Y83" i="10"/>
  <c r="Y79" i="10"/>
  <c r="Y75" i="10"/>
  <c r="Y71" i="10"/>
  <c r="Y67" i="10"/>
  <c r="Y63" i="10"/>
  <c r="Y59" i="10"/>
  <c r="Y55" i="10"/>
  <c r="Y51" i="10"/>
  <c r="Y47" i="10"/>
  <c r="Y43" i="10"/>
  <c r="Y39" i="10"/>
  <c r="Y35" i="10"/>
  <c r="Y414" i="10"/>
  <c r="Y406" i="10"/>
  <c r="Y398" i="10"/>
  <c r="Y390" i="10"/>
  <c r="Y382" i="10"/>
  <c r="Y374" i="10"/>
  <c r="Y366" i="10"/>
  <c r="Y358" i="10"/>
  <c r="Y350" i="10"/>
  <c r="Y342" i="10"/>
  <c r="Y334" i="10"/>
  <c r="Y326" i="10"/>
  <c r="Y314" i="10"/>
  <c r="Y417" i="10"/>
  <c r="Y413" i="10"/>
  <c r="Y409" i="10"/>
  <c r="Y405" i="10"/>
  <c r="Y401" i="10"/>
  <c r="Y397" i="10"/>
  <c r="Y393" i="10"/>
  <c r="Y389" i="10"/>
  <c r="Y385" i="10"/>
  <c r="Y381" i="10"/>
  <c r="Y377" i="10"/>
  <c r="Y373" i="10"/>
  <c r="Y369" i="10"/>
  <c r="Y365" i="10"/>
  <c r="Y361" i="10"/>
  <c r="Y357" i="10"/>
  <c r="Y353" i="10"/>
  <c r="Y349" i="10"/>
  <c r="P21" i="21"/>
  <c r="Y345" i="10"/>
  <c r="Y341" i="10"/>
  <c r="Y337" i="10"/>
  <c r="Y333" i="10"/>
  <c r="Y329" i="10"/>
  <c r="Y325" i="10"/>
  <c r="Y321" i="10"/>
  <c r="Y317" i="10"/>
  <c r="Y313" i="10"/>
  <c r="Y309" i="10"/>
  <c r="Y305" i="10"/>
  <c r="Y301" i="10"/>
  <c r="Y297" i="10"/>
  <c r="Y293" i="10"/>
  <c r="Y289" i="10"/>
  <c r="Y285" i="10"/>
  <c r="Y281" i="10"/>
  <c r="Y277" i="10"/>
  <c r="Y273" i="10"/>
  <c r="Y269" i="10"/>
  <c r="Y265" i="10"/>
  <c r="Y261" i="10"/>
  <c r="Y257" i="10"/>
  <c r="Y253" i="10"/>
  <c r="Y249" i="10"/>
  <c r="Y245" i="10"/>
  <c r="Y241" i="10"/>
  <c r="Y237" i="10"/>
  <c r="Y233" i="10"/>
  <c r="Y229" i="10"/>
  <c r="Y225" i="10"/>
  <c r="Y221" i="10"/>
  <c r="Y217" i="10"/>
  <c r="Y213" i="10"/>
  <c r="Y209" i="10"/>
  <c r="Y205" i="10"/>
  <c r="Y201" i="10"/>
  <c r="Y197" i="10"/>
  <c r="Y193" i="10"/>
  <c r="Y189" i="10"/>
  <c r="Y185" i="10"/>
  <c r="Y181" i="10"/>
  <c r="Y177" i="10"/>
  <c r="Y173" i="10"/>
  <c r="Y169" i="10"/>
  <c r="Y165" i="10"/>
  <c r="Y161" i="10"/>
  <c r="Y157" i="10"/>
  <c r="Y153" i="10"/>
  <c r="Y149" i="10"/>
  <c r="Y145" i="10"/>
  <c r="Y141" i="10"/>
  <c r="Y137" i="10"/>
  <c r="Y133" i="10"/>
  <c r="Y129" i="10"/>
  <c r="Y125" i="10"/>
  <c r="Y121" i="10"/>
  <c r="Y117" i="10"/>
  <c r="Y113" i="10"/>
  <c r="Y109" i="10"/>
  <c r="Y105" i="10"/>
  <c r="Y101" i="10"/>
  <c r="Y97" i="10"/>
  <c r="Y93" i="10"/>
  <c r="Y89" i="10"/>
  <c r="Y85" i="10"/>
  <c r="Y81" i="10"/>
  <c r="Y77" i="10"/>
  <c r="Y73" i="10"/>
  <c r="Y69" i="10"/>
  <c r="Y65" i="10"/>
  <c r="Y61" i="10"/>
  <c r="Y57" i="10"/>
  <c r="Y53" i="10"/>
  <c r="Y49" i="10"/>
  <c r="Y45" i="10"/>
  <c r="Y41" i="10"/>
  <c r="Y37" i="10"/>
  <c r="Y33" i="10"/>
  <c r="Y80" i="10"/>
  <c r="Y76" i="10"/>
  <c r="Y72" i="10"/>
  <c r="Y68" i="10"/>
  <c r="Y64" i="10"/>
  <c r="Y60" i="10"/>
  <c r="Y56" i="10"/>
  <c r="Y52" i="10"/>
  <c r="Y48" i="10"/>
  <c r="Y44" i="10"/>
  <c r="Y40" i="10"/>
  <c r="Y36" i="10"/>
  <c r="L13" i="10"/>
  <c r="X32" i="10"/>
  <c r="Y299" i="10"/>
  <c r="Y295" i="10"/>
  <c r="Y291" i="10"/>
  <c r="Y287" i="10"/>
  <c r="Y283" i="10"/>
  <c r="Y279" i="10"/>
  <c r="I51" i="9"/>
  <c r="U13" i="21" s="1"/>
  <c r="L51" i="9"/>
  <c r="O51" i="9"/>
  <c r="K51" i="9"/>
  <c r="Y13" i="21" s="1"/>
  <c r="M51" i="9"/>
  <c r="P51" i="9"/>
  <c r="Z18" i="10"/>
  <c r="AA18" i="10" s="1"/>
  <c r="N41" i="8"/>
  <c r="N42" i="8"/>
  <c r="AE13" i="21" l="1"/>
  <c r="AC11" i="8"/>
  <c r="AB13" i="21"/>
  <c r="W11" i="8"/>
  <c r="V13" i="21"/>
  <c r="X11" i="8"/>
  <c r="W13" i="21"/>
  <c r="Y11" i="8"/>
  <c r="X13" i="21"/>
  <c r="E53" i="8"/>
  <c r="D51" i="8"/>
  <c r="H53" i="8"/>
  <c r="F52" i="8"/>
  <c r="AH11" i="8"/>
  <c r="AG13" i="21"/>
  <c r="AD11" i="8"/>
  <c r="AC13" i="21"/>
  <c r="D49" i="8"/>
  <c r="E51" i="8"/>
  <c r="D50" i="8"/>
  <c r="H50" i="8"/>
  <c r="F53" i="8"/>
  <c r="E49" i="8"/>
  <c r="H51" i="8"/>
  <c r="H49" i="8"/>
  <c r="E52" i="8"/>
  <c r="F51" i="8"/>
  <c r="E50" i="8"/>
  <c r="AG11" i="8"/>
  <c r="AF13" i="21"/>
  <c r="D53" i="8"/>
  <c r="H52" i="8"/>
  <c r="D52" i="8"/>
  <c r="F49" i="8"/>
  <c r="F50" i="8"/>
  <c r="Y32" i="10"/>
  <c r="Y31" i="10"/>
  <c r="P9" i="10"/>
  <c r="O41" i="8"/>
  <c r="P41" i="8"/>
  <c r="O42" i="8"/>
  <c r="P42" i="8"/>
  <c r="N40" i="8"/>
  <c r="AL13" i="21" l="1"/>
  <c r="AM13" i="21" s="1"/>
  <c r="AE20" i="21" s="1"/>
  <c r="I53" i="8"/>
  <c r="D54" i="8"/>
  <c r="I51" i="8"/>
  <c r="F54" i="8"/>
  <c r="E54" i="8"/>
  <c r="I52" i="8"/>
  <c r="AH13" i="21"/>
  <c r="I49" i="8"/>
  <c r="P6" i="10"/>
  <c r="T6" i="10" s="1"/>
  <c r="P8" i="10"/>
  <c r="P7" i="10"/>
  <c r="T7" i="10" s="1"/>
  <c r="H54" i="8"/>
  <c r="I50" i="8"/>
  <c r="P12" i="10"/>
  <c r="O40" i="8"/>
  <c r="P40" i="8"/>
  <c r="P43" i="8" s="1"/>
  <c r="N43" i="8"/>
  <c r="AB20" i="21" l="1"/>
  <c r="AK13" i="21"/>
  <c r="AA20" i="21" s="1"/>
  <c r="AJ13" i="21"/>
  <c r="Y20" i="21" s="1"/>
  <c r="I54" i="8"/>
  <c r="I32" i="21"/>
  <c r="U25" i="9"/>
  <c r="D30" i="8" s="1"/>
  <c r="M21" i="17" s="1"/>
  <c r="L7" i="2" l="1"/>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B103" i="10"/>
  <c r="AB104" i="10"/>
  <c r="AB105" i="10"/>
  <c r="AB106" i="10"/>
  <c r="AB107" i="10"/>
  <c r="AB108" i="10"/>
  <c r="AB109" i="10"/>
  <c r="AB110" i="10"/>
  <c r="AB111" i="10"/>
  <c r="AB112" i="10"/>
  <c r="AB113" i="10"/>
  <c r="AB114" i="10"/>
  <c r="AB115" i="10"/>
  <c r="AB116" i="10"/>
  <c r="AB117" i="10"/>
  <c r="AB118" i="10"/>
  <c r="AB119" i="10"/>
  <c r="AB120" i="10"/>
  <c r="AB121" i="10"/>
  <c r="AB122" i="10"/>
  <c r="AB123" i="10"/>
  <c r="AB124" i="10"/>
  <c r="AB125" i="10"/>
  <c r="AB126" i="10"/>
  <c r="AB127" i="10"/>
  <c r="AB128" i="10"/>
  <c r="AB129" i="10"/>
  <c r="AB130" i="10"/>
  <c r="AB131" i="10"/>
  <c r="AB132" i="10"/>
  <c r="AB133" i="10"/>
  <c r="AB134" i="10"/>
  <c r="AB135" i="10"/>
  <c r="AB136" i="10"/>
  <c r="AB137" i="10"/>
  <c r="AB138" i="10"/>
  <c r="AB139" i="10"/>
  <c r="AB140" i="10"/>
  <c r="AB141" i="10"/>
  <c r="AB142" i="10"/>
  <c r="AB143" i="10"/>
  <c r="AB144" i="10"/>
  <c r="AB145" i="10"/>
  <c r="AB146" i="10"/>
  <c r="AB147" i="10"/>
  <c r="AB148" i="10"/>
  <c r="AB149" i="10"/>
  <c r="AB150" i="10"/>
  <c r="AB151" i="10"/>
  <c r="AB152" i="10"/>
  <c r="AB153" i="10"/>
  <c r="AB154" i="10"/>
  <c r="AB155" i="10"/>
  <c r="AB156" i="10"/>
  <c r="AB157" i="10"/>
  <c r="AB158" i="10"/>
  <c r="AB159" i="10"/>
  <c r="AB160" i="10"/>
  <c r="AB161" i="10"/>
  <c r="AB162" i="10"/>
  <c r="AB163" i="10"/>
  <c r="AB164" i="10"/>
  <c r="AB165" i="10"/>
  <c r="AB166" i="10"/>
  <c r="AB167" i="10"/>
  <c r="AB168" i="10"/>
  <c r="AB169" i="10"/>
  <c r="AB170" i="10"/>
  <c r="AB171" i="10"/>
  <c r="AB172" i="10"/>
  <c r="AB173" i="10"/>
  <c r="AB174" i="10"/>
  <c r="AB175" i="10"/>
  <c r="AB176" i="10"/>
  <c r="AB177" i="10"/>
  <c r="AB178" i="10"/>
  <c r="AB179" i="10"/>
  <c r="AB180" i="10"/>
  <c r="AB181" i="10"/>
  <c r="AB182" i="10"/>
  <c r="AB183" i="10"/>
  <c r="AB184" i="10"/>
  <c r="AB185" i="10"/>
  <c r="AB186" i="10"/>
  <c r="AB187" i="10"/>
  <c r="AB188" i="10"/>
  <c r="AB189" i="10"/>
  <c r="AB190" i="10"/>
  <c r="AB191" i="10"/>
  <c r="AB192" i="10"/>
  <c r="AB193" i="10"/>
  <c r="AB194" i="10"/>
  <c r="AB195" i="10"/>
  <c r="AB196" i="10"/>
  <c r="AB197" i="10"/>
  <c r="AB198" i="10"/>
  <c r="AB199" i="10"/>
  <c r="AB200" i="10"/>
  <c r="AB201" i="10"/>
  <c r="AB202" i="10"/>
  <c r="AB203" i="10"/>
  <c r="AB204" i="10"/>
  <c r="AB205" i="10"/>
  <c r="AB206" i="10"/>
  <c r="AB207" i="10"/>
  <c r="AB208" i="10"/>
  <c r="AB209" i="10"/>
  <c r="AB210" i="10"/>
  <c r="AB211" i="10"/>
  <c r="AB212" i="10"/>
  <c r="AB213" i="10"/>
  <c r="AB214" i="10"/>
  <c r="AB215" i="10"/>
  <c r="AB216" i="10"/>
  <c r="AB217" i="10"/>
  <c r="AB218" i="10"/>
  <c r="AB219" i="10"/>
  <c r="AB220" i="10"/>
  <c r="AB221" i="10"/>
  <c r="AB222" i="10"/>
  <c r="AB223" i="10"/>
  <c r="AB224" i="10"/>
  <c r="AB225" i="10"/>
  <c r="AB226" i="10"/>
  <c r="AB227" i="10"/>
  <c r="AB228" i="10"/>
  <c r="AB229" i="10"/>
  <c r="AB230" i="10"/>
  <c r="AB231" i="10"/>
  <c r="AB232" i="10"/>
  <c r="AB233" i="10"/>
  <c r="AB234" i="10"/>
  <c r="AB235" i="10"/>
  <c r="AB236" i="10"/>
  <c r="AB237" i="10"/>
  <c r="AB238" i="10"/>
  <c r="AB239" i="10"/>
  <c r="AB240" i="10"/>
  <c r="AB241" i="10"/>
  <c r="AB242" i="10"/>
  <c r="AB243" i="10"/>
  <c r="AB244" i="10"/>
  <c r="AB245" i="10"/>
  <c r="AB246" i="10"/>
  <c r="AB247" i="10"/>
  <c r="AB248" i="10"/>
  <c r="AB249" i="10"/>
  <c r="AB250" i="10"/>
  <c r="AB251" i="10"/>
  <c r="AB252" i="10"/>
  <c r="AB253" i="10"/>
  <c r="AB254" i="10"/>
  <c r="AB255" i="10"/>
  <c r="AB256" i="10"/>
  <c r="AB257" i="10"/>
  <c r="AB258" i="10"/>
  <c r="AB259" i="10"/>
  <c r="AB260" i="10"/>
  <c r="AB261" i="10"/>
  <c r="AB262" i="10"/>
  <c r="AB263" i="10"/>
  <c r="AB264" i="10"/>
  <c r="AB265" i="10"/>
  <c r="AB266" i="10"/>
  <c r="AB267" i="10"/>
  <c r="AB268" i="10"/>
  <c r="AB269" i="10"/>
  <c r="AB270" i="10"/>
  <c r="AB271" i="10"/>
  <c r="AB272" i="10"/>
  <c r="AB273" i="10"/>
  <c r="AB274" i="10"/>
  <c r="AB275" i="10"/>
  <c r="AB276" i="10"/>
  <c r="AB277" i="10"/>
  <c r="AB278" i="10"/>
  <c r="AB279" i="10"/>
  <c r="AB280" i="10"/>
  <c r="AB281" i="10"/>
  <c r="AB282" i="10"/>
  <c r="AB283" i="10"/>
  <c r="AB284" i="10"/>
  <c r="AB285" i="10"/>
  <c r="AB286" i="10"/>
  <c r="AB287" i="10"/>
  <c r="AB288" i="10"/>
  <c r="AB289" i="10"/>
  <c r="AB290" i="10"/>
  <c r="AB291" i="10"/>
  <c r="AB292" i="10"/>
  <c r="AB293" i="10"/>
  <c r="AB294" i="10"/>
  <c r="AB295" i="10"/>
  <c r="AB296" i="10"/>
  <c r="AB297" i="10"/>
  <c r="AB298" i="10"/>
  <c r="AB299" i="10"/>
  <c r="AB300" i="10"/>
  <c r="AB301" i="10"/>
  <c r="AB302" i="10"/>
  <c r="AB303" i="10"/>
  <c r="AB304" i="10"/>
  <c r="AC304" i="10" s="1"/>
  <c r="AB305" i="10"/>
  <c r="AB306" i="10"/>
  <c r="AB307" i="10"/>
  <c r="AB308" i="10"/>
  <c r="AC308" i="10" s="1"/>
  <c r="AB309" i="10"/>
  <c r="AB310" i="10"/>
  <c r="AB311" i="10"/>
  <c r="AB312" i="10"/>
  <c r="AC312" i="10" s="1"/>
  <c r="AB313" i="10"/>
  <c r="AB314" i="10"/>
  <c r="AB315" i="10"/>
  <c r="AB316" i="10"/>
  <c r="AC316" i="10" s="1"/>
  <c r="AB317" i="10"/>
  <c r="AB318" i="10"/>
  <c r="AB319" i="10"/>
  <c r="AB320" i="10"/>
  <c r="AC320" i="10" s="1"/>
  <c r="AB321" i="10"/>
  <c r="AB322" i="10"/>
  <c r="AB323" i="10"/>
  <c r="AB324" i="10"/>
  <c r="AC324" i="10" s="1"/>
  <c r="AB325" i="10"/>
  <c r="AB326" i="10"/>
  <c r="AB327" i="10"/>
  <c r="AB328" i="10"/>
  <c r="AC328" i="10" s="1"/>
  <c r="AB329" i="10"/>
  <c r="AB330" i="10"/>
  <c r="AB331" i="10"/>
  <c r="AB332" i="10"/>
  <c r="AC332" i="10" s="1"/>
  <c r="AB333" i="10"/>
  <c r="AB334" i="10"/>
  <c r="AB335" i="10"/>
  <c r="AB336" i="10"/>
  <c r="AC336" i="10" s="1"/>
  <c r="AB337" i="10"/>
  <c r="AB338" i="10"/>
  <c r="AB339" i="10"/>
  <c r="AB340" i="10"/>
  <c r="AC340" i="10" s="1"/>
  <c r="AB341" i="10"/>
  <c r="AB342" i="10"/>
  <c r="AB343" i="10"/>
  <c r="AB344" i="10"/>
  <c r="AC344" i="10" s="1"/>
  <c r="AB345" i="10"/>
  <c r="AB346" i="10"/>
  <c r="AB347" i="10"/>
  <c r="AB348" i="10"/>
  <c r="AC348" i="10" s="1"/>
  <c r="AB349" i="10"/>
  <c r="AB350" i="10"/>
  <c r="AB351" i="10"/>
  <c r="AB352" i="10"/>
  <c r="AC352" i="10" s="1"/>
  <c r="AB353" i="10"/>
  <c r="AB354" i="10"/>
  <c r="AB355" i="10"/>
  <c r="AB356" i="10"/>
  <c r="AC356" i="10" s="1"/>
  <c r="AB357" i="10"/>
  <c r="AB358" i="10"/>
  <c r="AB359" i="10"/>
  <c r="AB360" i="10"/>
  <c r="AC360" i="10" s="1"/>
  <c r="AB361" i="10"/>
  <c r="AB362" i="10"/>
  <c r="AB363" i="10"/>
  <c r="AB364" i="10"/>
  <c r="AC364" i="10" s="1"/>
  <c r="AB365" i="10"/>
  <c r="AB366" i="10"/>
  <c r="AB367" i="10"/>
  <c r="AB368" i="10"/>
  <c r="AC368" i="10" s="1"/>
  <c r="AB369" i="10"/>
  <c r="AB370" i="10"/>
  <c r="AB371" i="10"/>
  <c r="AB372" i="10"/>
  <c r="AC372" i="10" s="1"/>
  <c r="AB373" i="10"/>
  <c r="AB374" i="10"/>
  <c r="AB375" i="10"/>
  <c r="AB376" i="10"/>
  <c r="AC376" i="10" s="1"/>
  <c r="AB377" i="10"/>
  <c r="AB378" i="10"/>
  <c r="AB379" i="10"/>
  <c r="AB380" i="10"/>
  <c r="AC380" i="10" s="1"/>
  <c r="AB381" i="10"/>
  <c r="AB382" i="10"/>
  <c r="AB383" i="10"/>
  <c r="AB384" i="10"/>
  <c r="AC384" i="10" s="1"/>
  <c r="AB385" i="10"/>
  <c r="AB386" i="10"/>
  <c r="AB387" i="10"/>
  <c r="AB388" i="10"/>
  <c r="AC388" i="10" s="1"/>
  <c r="AB389" i="10"/>
  <c r="AB390" i="10"/>
  <c r="AB391" i="10"/>
  <c r="AB392" i="10"/>
  <c r="AC392" i="10" s="1"/>
  <c r="AB393" i="10"/>
  <c r="AB394" i="10"/>
  <c r="AB395" i="10"/>
  <c r="AB396" i="10"/>
  <c r="AC396" i="10" s="1"/>
  <c r="AB397" i="10"/>
  <c r="AB398" i="10"/>
  <c r="AB399" i="10"/>
  <c r="AB400" i="10"/>
  <c r="AC400" i="10" s="1"/>
  <c r="AB401" i="10"/>
  <c r="AB402" i="10"/>
  <c r="AB403" i="10"/>
  <c r="AB404" i="10"/>
  <c r="AC404" i="10" s="1"/>
  <c r="AB405" i="10"/>
  <c r="AB406" i="10"/>
  <c r="AB407" i="10"/>
  <c r="AB408" i="10"/>
  <c r="AC408" i="10" s="1"/>
  <c r="AB409" i="10"/>
  <c r="AB410" i="10"/>
  <c r="AB411" i="10"/>
  <c r="AB412" i="10"/>
  <c r="AC412" i="10" s="1"/>
  <c r="AB413" i="10"/>
  <c r="AB414" i="10"/>
  <c r="AB415" i="10"/>
  <c r="AB416" i="10"/>
  <c r="AC416" i="10" s="1"/>
  <c r="AB417" i="10"/>
  <c r="AA21" i="10"/>
  <c r="AA25" i="10"/>
  <c r="AA26" i="10"/>
  <c r="AA27" i="10"/>
  <c r="AA28" i="10"/>
  <c r="AA29" i="10"/>
  <c r="AA30" i="10"/>
  <c r="AA31" i="10"/>
  <c r="AA32" i="10"/>
  <c r="AA33" i="10"/>
  <c r="AA34" i="10"/>
  <c r="AA35" i="10"/>
  <c r="AA36" i="10"/>
  <c r="AA37" i="10"/>
  <c r="AA38" i="10"/>
  <c r="AA39" i="10"/>
  <c r="AA40" i="10"/>
  <c r="AA41" i="10"/>
  <c r="AA42" i="10"/>
  <c r="AA43" i="10"/>
  <c r="AA44" i="10"/>
  <c r="AA45" i="10"/>
  <c r="AA46" i="10"/>
  <c r="AA47" i="10"/>
  <c r="AA48" i="10"/>
  <c r="AA49" i="10"/>
  <c r="AA50" i="10"/>
  <c r="AA51" i="10"/>
  <c r="AA52" i="10"/>
  <c r="AA53" i="10"/>
  <c r="AA54" i="10"/>
  <c r="AA55" i="10"/>
  <c r="AA56" i="10"/>
  <c r="AA57" i="10"/>
  <c r="AA58" i="10"/>
  <c r="AA59" i="10"/>
  <c r="AA60" i="10"/>
  <c r="AA61" i="10"/>
  <c r="AA62" i="10"/>
  <c r="AA63" i="10"/>
  <c r="AA64" i="10"/>
  <c r="AA65" i="10"/>
  <c r="AA66" i="10"/>
  <c r="AA67" i="10"/>
  <c r="AA68" i="10"/>
  <c r="AA69" i="10"/>
  <c r="AA70" i="10"/>
  <c r="AA71" i="10"/>
  <c r="AA72" i="10"/>
  <c r="AA73" i="10"/>
  <c r="AA74" i="10"/>
  <c r="AA75" i="10"/>
  <c r="AA76" i="10"/>
  <c r="AA77" i="10"/>
  <c r="AA78" i="10"/>
  <c r="AA79" i="10"/>
  <c r="AA80" i="10"/>
  <c r="AA81" i="10"/>
  <c r="AA82" i="10"/>
  <c r="AA83" i="10"/>
  <c r="AA84" i="10"/>
  <c r="AA85" i="10"/>
  <c r="AA86" i="10"/>
  <c r="AA87" i="10"/>
  <c r="AA88" i="10"/>
  <c r="AA89" i="10"/>
  <c r="AA90" i="10"/>
  <c r="AA91" i="10"/>
  <c r="AA92" i="10"/>
  <c r="AA93" i="10"/>
  <c r="AA94" i="10"/>
  <c r="AA95" i="10"/>
  <c r="AA96" i="10"/>
  <c r="AA97" i="10"/>
  <c r="AA98" i="10"/>
  <c r="AA99" i="10"/>
  <c r="AA100" i="10"/>
  <c r="AA101" i="10"/>
  <c r="AA102" i="10"/>
  <c r="AA103" i="10"/>
  <c r="AA104" i="10"/>
  <c r="AA105" i="10"/>
  <c r="AA106" i="10"/>
  <c r="AA107" i="10"/>
  <c r="AA108" i="10"/>
  <c r="AA109" i="10"/>
  <c r="AA110" i="10"/>
  <c r="AA111" i="10"/>
  <c r="AA112" i="10"/>
  <c r="AA113" i="10"/>
  <c r="AA114" i="10"/>
  <c r="AA115" i="10"/>
  <c r="AA116" i="10"/>
  <c r="AA117" i="10"/>
  <c r="AA118" i="10"/>
  <c r="AA119" i="10"/>
  <c r="AA120" i="10"/>
  <c r="AA121" i="10"/>
  <c r="AA122" i="10"/>
  <c r="AA123" i="10"/>
  <c r="AA124" i="10"/>
  <c r="AA125" i="10"/>
  <c r="AA126" i="10"/>
  <c r="AA127" i="10"/>
  <c r="AA128" i="10"/>
  <c r="AA129" i="10"/>
  <c r="AA130" i="10"/>
  <c r="AA131" i="10"/>
  <c r="AA132" i="10"/>
  <c r="AA133" i="10"/>
  <c r="AA134" i="10"/>
  <c r="AA135" i="10"/>
  <c r="AA136" i="10"/>
  <c r="AA137" i="10"/>
  <c r="AA138" i="10"/>
  <c r="AA139" i="10"/>
  <c r="AA140" i="10"/>
  <c r="AA141" i="10"/>
  <c r="AA142" i="10"/>
  <c r="AA143" i="10"/>
  <c r="AA144" i="10"/>
  <c r="AA145" i="10"/>
  <c r="AA146" i="10"/>
  <c r="AA147" i="10"/>
  <c r="AA148" i="10"/>
  <c r="AA149" i="10"/>
  <c r="AA150" i="10"/>
  <c r="AA151" i="10"/>
  <c r="AA152" i="10"/>
  <c r="AA153" i="10"/>
  <c r="AA154" i="10"/>
  <c r="AA155" i="10"/>
  <c r="AA156" i="10"/>
  <c r="AA157" i="10"/>
  <c r="AA158" i="10"/>
  <c r="AA159" i="10"/>
  <c r="AA160" i="10"/>
  <c r="AA161" i="10"/>
  <c r="AA162" i="10"/>
  <c r="AA163" i="10"/>
  <c r="AA164" i="10"/>
  <c r="AA165" i="10"/>
  <c r="AA166" i="10"/>
  <c r="AA167" i="10"/>
  <c r="AA168" i="10"/>
  <c r="AA169" i="10"/>
  <c r="AA170" i="10"/>
  <c r="AA171" i="10"/>
  <c r="AA172" i="10"/>
  <c r="AA173" i="10"/>
  <c r="AA174" i="10"/>
  <c r="AA175" i="10"/>
  <c r="AA176" i="10"/>
  <c r="AA177" i="10"/>
  <c r="AA178" i="10"/>
  <c r="AA179" i="10"/>
  <c r="AA180" i="10"/>
  <c r="AA181" i="10"/>
  <c r="AA182" i="10"/>
  <c r="AA183" i="10"/>
  <c r="AA184" i="10"/>
  <c r="AA185" i="10"/>
  <c r="AA186" i="10"/>
  <c r="AA187" i="10"/>
  <c r="AA188" i="10"/>
  <c r="AA189" i="10"/>
  <c r="AA190" i="10"/>
  <c r="AA191" i="10"/>
  <c r="AA192" i="10"/>
  <c r="AA193" i="10"/>
  <c r="AA194" i="10"/>
  <c r="AA195" i="10"/>
  <c r="AA196" i="10"/>
  <c r="AA197" i="10"/>
  <c r="AA198" i="10"/>
  <c r="AA199" i="10"/>
  <c r="AA200" i="10"/>
  <c r="AA201" i="10"/>
  <c r="AA202" i="10"/>
  <c r="AA203" i="10"/>
  <c r="AA204" i="10"/>
  <c r="AA205" i="10"/>
  <c r="AA206" i="10"/>
  <c r="AA207" i="10"/>
  <c r="AA208" i="10"/>
  <c r="AA209" i="10"/>
  <c r="AA210" i="10"/>
  <c r="AA211" i="10"/>
  <c r="AA212" i="10"/>
  <c r="AA213" i="10"/>
  <c r="AA214" i="10"/>
  <c r="AA215" i="10"/>
  <c r="AA216" i="10"/>
  <c r="AA217" i="10"/>
  <c r="AA218" i="10"/>
  <c r="AA219" i="10"/>
  <c r="AA220" i="10"/>
  <c r="AA221" i="10"/>
  <c r="AA222" i="10"/>
  <c r="AA223" i="10"/>
  <c r="AA224" i="10"/>
  <c r="AA225" i="10"/>
  <c r="AA226" i="10"/>
  <c r="AA227" i="10"/>
  <c r="AA228" i="10"/>
  <c r="AA229" i="10"/>
  <c r="AA230" i="10"/>
  <c r="AA231" i="10"/>
  <c r="AA232" i="10"/>
  <c r="AA233" i="10"/>
  <c r="AA234" i="10"/>
  <c r="AA235" i="10"/>
  <c r="AA236" i="10"/>
  <c r="AA237" i="10"/>
  <c r="AA238" i="10"/>
  <c r="AA239" i="10"/>
  <c r="AA240" i="10"/>
  <c r="AA241" i="10"/>
  <c r="AA242" i="10"/>
  <c r="AA243" i="10"/>
  <c r="AA244" i="10"/>
  <c r="AA245" i="10"/>
  <c r="AA246" i="10"/>
  <c r="AA247" i="10"/>
  <c r="AA248" i="10"/>
  <c r="AA249" i="10"/>
  <c r="AA250" i="10"/>
  <c r="AA251" i="10"/>
  <c r="AA252" i="10"/>
  <c r="AA253" i="10"/>
  <c r="AA254" i="10"/>
  <c r="AA255" i="10"/>
  <c r="AA256" i="10"/>
  <c r="AA257" i="10"/>
  <c r="AA258" i="10"/>
  <c r="AA259" i="10"/>
  <c r="AA260" i="10"/>
  <c r="AA261" i="10"/>
  <c r="AA262" i="10"/>
  <c r="AA263" i="10"/>
  <c r="AA264" i="10"/>
  <c r="AA265" i="10"/>
  <c r="AA266" i="10"/>
  <c r="AA267" i="10"/>
  <c r="AA268" i="10"/>
  <c r="AA269" i="10"/>
  <c r="AA270" i="10"/>
  <c r="AA271" i="10"/>
  <c r="AA272" i="10"/>
  <c r="AA273" i="10"/>
  <c r="AA274" i="10"/>
  <c r="AA275" i="10"/>
  <c r="AA276" i="10"/>
  <c r="AA277" i="10"/>
  <c r="AA278" i="10"/>
  <c r="AA279" i="10"/>
  <c r="AA280" i="10"/>
  <c r="AA281" i="10"/>
  <c r="AA282" i="10"/>
  <c r="AA283" i="10"/>
  <c r="AA284" i="10"/>
  <c r="AA285" i="10"/>
  <c r="AA286" i="10"/>
  <c r="AA287" i="10"/>
  <c r="AA288" i="10"/>
  <c r="AA289" i="10"/>
  <c r="AA290" i="10"/>
  <c r="AA291" i="10"/>
  <c r="AA292" i="10"/>
  <c r="AA293" i="10"/>
  <c r="AA294" i="10"/>
  <c r="AA295" i="10"/>
  <c r="AA296" i="10"/>
  <c r="AA297" i="10"/>
  <c r="AA298" i="10"/>
  <c r="AA299" i="10"/>
  <c r="AA300" i="10"/>
  <c r="AA301" i="10"/>
  <c r="AA302" i="10"/>
  <c r="AA303" i="10"/>
  <c r="AA304" i="10"/>
  <c r="AA305" i="10"/>
  <c r="AA306" i="10"/>
  <c r="AA307" i="10"/>
  <c r="AA308" i="10"/>
  <c r="AA309" i="10"/>
  <c r="AA310" i="10"/>
  <c r="AA311" i="10"/>
  <c r="AA312" i="10"/>
  <c r="AA313" i="10"/>
  <c r="AA314" i="10"/>
  <c r="AA315" i="10"/>
  <c r="AA316" i="10"/>
  <c r="AA317" i="10"/>
  <c r="AA318" i="10"/>
  <c r="AA319" i="10"/>
  <c r="AA320" i="10"/>
  <c r="AA321" i="10"/>
  <c r="AA322" i="10"/>
  <c r="AA323" i="10"/>
  <c r="AA324" i="10"/>
  <c r="AA325" i="10"/>
  <c r="AA326" i="10"/>
  <c r="AA327" i="10"/>
  <c r="AA328" i="10"/>
  <c r="AA329" i="10"/>
  <c r="AA330" i="10"/>
  <c r="AA331" i="10"/>
  <c r="AA332" i="10"/>
  <c r="AA333" i="10"/>
  <c r="AA334" i="10"/>
  <c r="AA335" i="10"/>
  <c r="AA336" i="10"/>
  <c r="AA337" i="10"/>
  <c r="AA338" i="10"/>
  <c r="AA339" i="10"/>
  <c r="AA340" i="10"/>
  <c r="AA341" i="10"/>
  <c r="AA342" i="10"/>
  <c r="AA343" i="10"/>
  <c r="AA344" i="10"/>
  <c r="AA345" i="10"/>
  <c r="AA346" i="10"/>
  <c r="AA347" i="10"/>
  <c r="AA348" i="10"/>
  <c r="AA349" i="10"/>
  <c r="AA350" i="10"/>
  <c r="AA351" i="10"/>
  <c r="AA352" i="10"/>
  <c r="AA353" i="10"/>
  <c r="AA354" i="10"/>
  <c r="AA355" i="10"/>
  <c r="AA356" i="10"/>
  <c r="AA357" i="10"/>
  <c r="AA358" i="10"/>
  <c r="AA359" i="10"/>
  <c r="AA360" i="10"/>
  <c r="AA361" i="10"/>
  <c r="AA362" i="10"/>
  <c r="AA363" i="10"/>
  <c r="AA364" i="10"/>
  <c r="AA365" i="10"/>
  <c r="AA366" i="10"/>
  <c r="AA367" i="10"/>
  <c r="AA368" i="10"/>
  <c r="AA369" i="10"/>
  <c r="AA370" i="10"/>
  <c r="AA371" i="10"/>
  <c r="AA372" i="10"/>
  <c r="AA373" i="10"/>
  <c r="AA374" i="10"/>
  <c r="AA375" i="10"/>
  <c r="AA376" i="10"/>
  <c r="AA377" i="10"/>
  <c r="AA378" i="10"/>
  <c r="AA379" i="10"/>
  <c r="AA380" i="10"/>
  <c r="AA381" i="10"/>
  <c r="AA382" i="10"/>
  <c r="AA383" i="10"/>
  <c r="AA384" i="10"/>
  <c r="AA385" i="10"/>
  <c r="AA386" i="10"/>
  <c r="AA387" i="10"/>
  <c r="AA388" i="10"/>
  <c r="AA389" i="10"/>
  <c r="AA390" i="10"/>
  <c r="AA391" i="10"/>
  <c r="AA392" i="10"/>
  <c r="AA393" i="10"/>
  <c r="AA394" i="10"/>
  <c r="AA395" i="10"/>
  <c r="AA396" i="10"/>
  <c r="AA397" i="10"/>
  <c r="AA398" i="10"/>
  <c r="AA399" i="10"/>
  <c r="AA400" i="10"/>
  <c r="AA401" i="10"/>
  <c r="AA402" i="10"/>
  <c r="AA403" i="10"/>
  <c r="AA404" i="10"/>
  <c r="AA405" i="10"/>
  <c r="AA406" i="10"/>
  <c r="AA407" i="10"/>
  <c r="AA408" i="10"/>
  <c r="AA409" i="10"/>
  <c r="AA410" i="10"/>
  <c r="AA411" i="10"/>
  <c r="AA412" i="10"/>
  <c r="AA413" i="10"/>
  <c r="AA414" i="10"/>
  <c r="AA415" i="10"/>
  <c r="AA416" i="10"/>
  <c r="AA417" i="10"/>
  <c r="Z20" i="10"/>
  <c r="AA20" i="10" s="1"/>
  <c r="P11" i="10" s="1"/>
  <c r="Z21" i="10"/>
  <c r="Z22" i="10"/>
  <c r="AA22" i="10" s="1"/>
  <c r="Z23" i="10"/>
  <c r="AA23" i="10" s="1"/>
  <c r="Z24" i="10"/>
  <c r="AA24" i="10" s="1"/>
  <c r="Z25" i="10"/>
  <c r="Z26" i="10"/>
  <c r="Z27" i="10"/>
  <c r="Z28" i="10"/>
  <c r="Z29" i="10"/>
  <c r="Z30" i="10"/>
  <c r="Z31" i="10"/>
  <c r="Z32" i="10"/>
  <c r="Z33" i="10"/>
  <c r="Z34" i="10"/>
  <c r="Z35" i="10"/>
  <c r="Z36" i="10"/>
  <c r="Z37" i="10"/>
  <c r="Z38" i="10"/>
  <c r="Z39" i="10"/>
  <c r="Z40" i="10"/>
  <c r="Z41" i="10"/>
  <c r="Z42" i="10"/>
  <c r="Z43" i="10"/>
  <c r="Z44" i="10"/>
  <c r="Z45" i="10"/>
  <c r="Z46" i="10"/>
  <c r="Z47" i="10"/>
  <c r="Z48" i="10"/>
  <c r="Z49" i="10"/>
  <c r="Z50" i="10"/>
  <c r="Z51" i="10"/>
  <c r="Z52" i="10"/>
  <c r="Z53" i="10"/>
  <c r="Z54" i="10"/>
  <c r="Z55" i="10"/>
  <c r="Z56" i="10"/>
  <c r="Z57" i="10"/>
  <c r="Z58" i="10"/>
  <c r="Z59" i="10"/>
  <c r="Z60" i="10"/>
  <c r="Z61" i="10"/>
  <c r="Z62" i="10"/>
  <c r="Z63" i="10"/>
  <c r="Z64" i="10"/>
  <c r="Z65" i="10"/>
  <c r="Z66" i="10"/>
  <c r="Z67" i="10"/>
  <c r="Z68" i="10"/>
  <c r="Z69" i="10"/>
  <c r="Z70" i="10"/>
  <c r="Z71" i="10"/>
  <c r="Z72" i="10"/>
  <c r="Z73" i="10"/>
  <c r="Z74" i="10"/>
  <c r="Z75" i="10"/>
  <c r="Z76" i="10"/>
  <c r="Z77" i="10"/>
  <c r="Z78" i="10"/>
  <c r="Z79" i="10"/>
  <c r="Z80" i="10"/>
  <c r="Z81" i="10"/>
  <c r="Z82" i="10"/>
  <c r="Z83" i="10"/>
  <c r="Z84" i="10"/>
  <c r="Z85" i="10"/>
  <c r="Z86" i="10"/>
  <c r="Z87" i="10"/>
  <c r="Z88" i="10"/>
  <c r="Z89" i="10"/>
  <c r="Z90" i="10"/>
  <c r="Z91" i="10"/>
  <c r="Z92" i="10"/>
  <c r="Z93" i="10"/>
  <c r="Z94" i="10"/>
  <c r="Z95" i="10"/>
  <c r="Z96" i="10"/>
  <c r="Z97" i="10"/>
  <c r="Z98" i="10"/>
  <c r="Z99" i="10"/>
  <c r="Z100" i="10"/>
  <c r="Z101" i="10"/>
  <c r="Z102" i="10"/>
  <c r="Z103" i="10"/>
  <c r="Z104" i="10"/>
  <c r="Z105" i="10"/>
  <c r="Z106" i="10"/>
  <c r="Z107" i="10"/>
  <c r="Z108" i="10"/>
  <c r="Z109" i="10"/>
  <c r="Z110" i="10"/>
  <c r="Z111" i="10"/>
  <c r="Z112" i="10"/>
  <c r="Z113" i="10"/>
  <c r="Z114" i="10"/>
  <c r="Z115" i="10"/>
  <c r="Z116" i="10"/>
  <c r="Z117" i="10"/>
  <c r="Z118" i="10"/>
  <c r="Z119" i="10"/>
  <c r="Z120" i="10"/>
  <c r="Z121" i="10"/>
  <c r="Z122" i="10"/>
  <c r="Z123" i="10"/>
  <c r="Z124" i="10"/>
  <c r="Z125" i="10"/>
  <c r="Z126" i="10"/>
  <c r="Z127" i="10"/>
  <c r="Z128" i="10"/>
  <c r="Z129" i="10"/>
  <c r="Z130" i="10"/>
  <c r="Z131" i="10"/>
  <c r="Z132" i="10"/>
  <c r="Z133" i="10"/>
  <c r="Z134" i="10"/>
  <c r="Z135" i="10"/>
  <c r="Z136" i="10"/>
  <c r="Z137" i="10"/>
  <c r="Z138" i="10"/>
  <c r="Z139" i="10"/>
  <c r="Z140" i="10"/>
  <c r="Z141" i="10"/>
  <c r="Z142" i="10"/>
  <c r="Z143" i="10"/>
  <c r="Z144" i="10"/>
  <c r="Z145" i="10"/>
  <c r="Z146" i="10"/>
  <c r="Z147" i="10"/>
  <c r="Z148" i="10"/>
  <c r="Z149" i="10"/>
  <c r="Z150" i="10"/>
  <c r="Z151" i="10"/>
  <c r="Z152" i="10"/>
  <c r="Z153" i="10"/>
  <c r="Z154" i="10"/>
  <c r="Z155" i="10"/>
  <c r="Z156" i="10"/>
  <c r="Z157" i="10"/>
  <c r="Z158" i="10"/>
  <c r="Z159" i="10"/>
  <c r="Z160" i="10"/>
  <c r="Z161" i="10"/>
  <c r="Z162" i="10"/>
  <c r="Z163" i="10"/>
  <c r="Z164" i="10"/>
  <c r="Z165" i="10"/>
  <c r="Z166" i="10"/>
  <c r="Z167" i="10"/>
  <c r="Z168" i="10"/>
  <c r="Z169" i="10"/>
  <c r="Z170" i="10"/>
  <c r="Z171" i="10"/>
  <c r="Z172" i="10"/>
  <c r="Z173" i="10"/>
  <c r="Z174" i="10"/>
  <c r="Z175" i="10"/>
  <c r="Z176" i="10"/>
  <c r="Z177" i="10"/>
  <c r="Z178" i="10"/>
  <c r="Z179" i="10"/>
  <c r="Z180" i="10"/>
  <c r="Z181" i="10"/>
  <c r="Z182" i="10"/>
  <c r="Z183" i="10"/>
  <c r="Z184" i="10"/>
  <c r="Z185" i="10"/>
  <c r="Z186" i="10"/>
  <c r="Z187" i="10"/>
  <c r="Z188" i="10"/>
  <c r="Z189" i="10"/>
  <c r="Z190" i="10"/>
  <c r="Z191" i="10"/>
  <c r="Z192" i="10"/>
  <c r="Z193" i="10"/>
  <c r="Z194" i="10"/>
  <c r="Z195" i="10"/>
  <c r="Z196" i="10"/>
  <c r="Z197" i="10"/>
  <c r="Z198" i="10"/>
  <c r="Z199" i="10"/>
  <c r="Z200" i="10"/>
  <c r="Z201" i="10"/>
  <c r="Z202" i="10"/>
  <c r="Z203" i="10"/>
  <c r="Z204" i="10"/>
  <c r="Z205" i="10"/>
  <c r="Z206" i="10"/>
  <c r="Z207" i="10"/>
  <c r="Z208" i="10"/>
  <c r="Z209" i="10"/>
  <c r="Z210" i="10"/>
  <c r="Z211" i="10"/>
  <c r="Z212" i="10"/>
  <c r="Z213" i="10"/>
  <c r="Z214" i="10"/>
  <c r="Z215" i="10"/>
  <c r="Z216" i="10"/>
  <c r="Z217" i="10"/>
  <c r="Z218" i="10"/>
  <c r="Z219" i="10"/>
  <c r="Z220" i="10"/>
  <c r="Z221" i="10"/>
  <c r="Z222" i="10"/>
  <c r="Z223" i="10"/>
  <c r="Z224" i="10"/>
  <c r="Z225" i="10"/>
  <c r="Z226" i="10"/>
  <c r="Z227" i="10"/>
  <c r="Z228" i="10"/>
  <c r="Z229" i="10"/>
  <c r="Z230" i="10"/>
  <c r="Z231" i="10"/>
  <c r="Z232" i="10"/>
  <c r="Z233" i="10"/>
  <c r="Z234" i="10"/>
  <c r="Z235" i="10"/>
  <c r="Z236" i="10"/>
  <c r="Z237" i="10"/>
  <c r="Z238" i="10"/>
  <c r="Z239" i="10"/>
  <c r="Z240" i="10"/>
  <c r="Z241" i="10"/>
  <c r="Z242" i="10"/>
  <c r="Z243" i="10"/>
  <c r="Z244" i="10"/>
  <c r="Z245" i="10"/>
  <c r="Z246" i="10"/>
  <c r="Z247" i="10"/>
  <c r="Z248" i="10"/>
  <c r="Z249" i="10"/>
  <c r="Z250" i="10"/>
  <c r="Z251" i="10"/>
  <c r="Z252" i="10"/>
  <c r="Z253" i="10"/>
  <c r="Z254" i="10"/>
  <c r="Z255" i="10"/>
  <c r="Z256" i="10"/>
  <c r="Z257" i="10"/>
  <c r="Z258" i="10"/>
  <c r="Z259" i="10"/>
  <c r="Z260" i="10"/>
  <c r="Z261" i="10"/>
  <c r="Z262" i="10"/>
  <c r="Z263" i="10"/>
  <c r="Z264" i="10"/>
  <c r="Z265" i="10"/>
  <c r="Z266" i="10"/>
  <c r="Z267" i="10"/>
  <c r="Z268" i="10"/>
  <c r="Z269" i="10"/>
  <c r="Z270" i="10"/>
  <c r="Z271" i="10"/>
  <c r="Z272" i="10"/>
  <c r="Z273" i="10"/>
  <c r="Z274" i="10"/>
  <c r="Z275" i="10"/>
  <c r="Z276" i="10"/>
  <c r="Z277" i="10"/>
  <c r="Z278" i="10"/>
  <c r="Z279" i="10"/>
  <c r="Z280" i="10"/>
  <c r="Z281" i="10"/>
  <c r="Z282" i="10"/>
  <c r="Z283" i="10"/>
  <c r="Z284" i="10"/>
  <c r="Z285" i="10"/>
  <c r="Z286" i="10"/>
  <c r="Z287" i="10"/>
  <c r="Z288" i="10"/>
  <c r="Z289" i="10"/>
  <c r="Z290" i="10"/>
  <c r="Z291" i="10"/>
  <c r="Z292" i="10"/>
  <c r="Z293" i="10"/>
  <c r="Z294" i="10"/>
  <c r="Z295" i="10"/>
  <c r="Z296" i="10"/>
  <c r="Z297" i="10"/>
  <c r="Z298" i="10"/>
  <c r="Z299" i="10"/>
  <c r="Z300" i="10"/>
  <c r="Z301" i="10"/>
  <c r="Z302" i="10"/>
  <c r="Z303" i="10"/>
  <c r="Z304" i="10"/>
  <c r="Z305" i="10"/>
  <c r="Z306" i="10"/>
  <c r="Z307" i="10"/>
  <c r="Z308" i="10"/>
  <c r="Z309" i="10"/>
  <c r="Z310" i="10"/>
  <c r="Z311" i="10"/>
  <c r="Z312" i="10"/>
  <c r="Z313" i="10"/>
  <c r="Z314" i="10"/>
  <c r="Z315" i="10"/>
  <c r="Z316" i="10"/>
  <c r="Z317" i="10"/>
  <c r="Z318" i="10"/>
  <c r="Z319" i="10"/>
  <c r="Z320" i="10"/>
  <c r="Z321" i="10"/>
  <c r="Z322" i="10"/>
  <c r="Z323" i="10"/>
  <c r="Z324" i="10"/>
  <c r="Z325" i="10"/>
  <c r="Z326" i="10"/>
  <c r="Z327" i="10"/>
  <c r="Z328" i="10"/>
  <c r="Z329" i="10"/>
  <c r="Z330" i="10"/>
  <c r="Z331" i="10"/>
  <c r="Z332" i="10"/>
  <c r="Z333" i="10"/>
  <c r="Z334" i="10"/>
  <c r="Z335" i="10"/>
  <c r="Z336" i="10"/>
  <c r="Z337" i="10"/>
  <c r="Z338" i="10"/>
  <c r="Z339" i="10"/>
  <c r="Z340" i="10"/>
  <c r="Z341" i="10"/>
  <c r="Z342" i="10"/>
  <c r="Z343" i="10"/>
  <c r="Z344" i="10"/>
  <c r="Z345" i="10"/>
  <c r="Z346" i="10"/>
  <c r="Z347" i="10"/>
  <c r="Z348" i="10"/>
  <c r="Z349" i="10"/>
  <c r="Z350" i="10"/>
  <c r="Z351" i="10"/>
  <c r="Z352" i="10"/>
  <c r="Z353" i="10"/>
  <c r="Z354" i="10"/>
  <c r="Z355" i="10"/>
  <c r="Z356" i="10"/>
  <c r="Z357" i="10"/>
  <c r="Z358" i="10"/>
  <c r="Z359" i="10"/>
  <c r="Z360" i="10"/>
  <c r="Z361" i="10"/>
  <c r="Z362" i="10"/>
  <c r="Z363" i="10"/>
  <c r="Z364" i="10"/>
  <c r="Z365" i="10"/>
  <c r="Z366" i="10"/>
  <c r="Z367" i="10"/>
  <c r="Z368" i="10"/>
  <c r="Z369" i="10"/>
  <c r="Z370" i="10"/>
  <c r="Z371" i="10"/>
  <c r="Z372" i="10"/>
  <c r="Z373" i="10"/>
  <c r="Z374" i="10"/>
  <c r="Z375" i="10"/>
  <c r="Z376" i="10"/>
  <c r="Z377" i="10"/>
  <c r="Z378" i="10"/>
  <c r="Z379" i="10"/>
  <c r="Z380" i="10"/>
  <c r="Z381" i="10"/>
  <c r="Z382" i="10"/>
  <c r="Z383" i="10"/>
  <c r="Z384" i="10"/>
  <c r="Z385" i="10"/>
  <c r="Z386" i="10"/>
  <c r="Z387" i="10"/>
  <c r="Z388" i="10"/>
  <c r="Z389" i="10"/>
  <c r="Z390" i="10"/>
  <c r="Z391" i="10"/>
  <c r="Z392" i="10"/>
  <c r="Z393" i="10"/>
  <c r="Z394" i="10"/>
  <c r="Z395" i="10"/>
  <c r="Z396" i="10"/>
  <c r="Z397" i="10"/>
  <c r="Z398" i="10"/>
  <c r="Z399" i="10"/>
  <c r="Z400" i="10"/>
  <c r="Z401" i="10"/>
  <c r="Z402" i="10"/>
  <c r="Z403" i="10"/>
  <c r="Z404" i="10"/>
  <c r="Z405" i="10"/>
  <c r="Z406" i="10"/>
  <c r="Z407" i="10"/>
  <c r="Z408" i="10"/>
  <c r="Z409" i="10"/>
  <c r="Z410" i="10"/>
  <c r="Z411" i="10"/>
  <c r="Z412" i="10"/>
  <c r="Z413" i="10"/>
  <c r="Z414" i="10"/>
  <c r="Z415" i="10"/>
  <c r="Z416" i="10"/>
  <c r="Z417" i="10"/>
  <c r="T27" i="10"/>
  <c r="U27" i="10" s="1"/>
  <c r="T28" i="10"/>
  <c r="U28" i="10" s="1"/>
  <c r="T29" i="10"/>
  <c r="U29" i="10" s="1"/>
  <c r="T30" i="10"/>
  <c r="U30" i="10" s="1"/>
  <c r="T31" i="10"/>
  <c r="U31" i="10" s="1"/>
  <c r="T32" i="10"/>
  <c r="U32" i="10" s="1"/>
  <c r="T33" i="10"/>
  <c r="U33" i="10" s="1"/>
  <c r="T34" i="10"/>
  <c r="U34" i="10" s="1"/>
  <c r="T35" i="10"/>
  <c r="U35" i="10" s="1"/>
  <c r="T36" i="10"/>
  <c r="U36" i="10" s="1"/>
  <c r="T37" i="10"/>
  <c r="U37" i="10" s="1"/>
  <c r="T38" i="10"/>
  <c r="U38" i="10" s="1"/>
  <c r="T39" i="10"/>
  <c r="U39" i="10" s="1"/>
  <c r="T40" i="10"/>
  <c r="U40" i="10" s="1"/>
  <c r="T41" i="10"/>
  <c r="U41" i="10" s="1"/>
  <c r="T42" i="10"/>
  <c r="T43" i="10"/>
  <c r="U43" i="10" s="1"/>
  <c r="T44" i="10"/>
  <c r="U44" i="10" s="1"/>
  <c r="T45" i="10"/>
  <c r="U45" i="10" s="1"/>
  <c r="T46" i="10"/>
  <c r="U46" i="10" s="1"/>
  <c r="T47" i="10"/>
  <c r="U47" i="10" s="1"/>
  <c r="T48" i="10"/>
  <c r="U48" i="10" s="1"/>
  <c r="T49" i="10"/>
  <c r="U49" i="10" s="1"/>
  <c r="T50" i="10"/>
  <c r="U50" i="10" s="1"/>
  <c r="T51" i="10"/>
  <c r="U51" i="10" s="1"/>
  <c r="T52" i="10"/>
  <c r="U52" i="10" s="1"/>
  <c r="T53" i="10"/>
  <c r="U53" i="10" s="1"/>
  <c r="T54" i="10"/>
  <c r="U54" i="10" s="1"/>
  <c r="T55" i="10"/>
  <c r="U55" i="10" s="1"/>
  <c r="T56" i="10"/>
  <c r="U56" i="10" s="1"/>
  <c r="T57" i="10"/>
  <c r="U57" i="10" s="1"/>
  <c r="T58" i="10"/>
  <c r="U58" i="10" s="1"/>
  <c r="T59" i="10"/>
  <c r="U59" i="10" s="1"/>
  <c r="T60" i="10"/>
  <c r="U60" i="10" s="1"/>
  <c r="T61" i="10"/>
  <c r="U61" i="10" s="1"/>
  <c r="T62" i="10"/>
  <c r="U62" i="10" s="1"/>
  <c r="T63" i="10"/>
  <c r="U63" i="10" s="1"/>
  <c r="T64" i="10"/>
  <c r="U64" i="10" s="1"/>
  <c r="T65" i="10"/>
  <c r="U65" i="10" s="1"/>
  <c r="T66" i="10"/>
  <c r="U66" i="10" s="1"/>
  <c r="T67" i="10"/>
  <c r="T68" i="10"/>
  <c r="U68" i="10" s="1"/>
  <c r="T69" i="10"/>
  <c r="U69" i="10" s="1"/>
  <c r="T70" i="10"/>
  <c r="U70" i="10" s="1"/>
  <c r="T71" i="10"/>
  <c r="U71" i="10" s="1"/>
  <c r="T72" i="10"/>
  <c r="U72" i="10" s="1"/>
  <c r="T73" i="10"/>
  <c r="U73" i="10" s="1"/>
  <c r="T74" i="10"/>
  <c r="U74" i="10" s="1"/>
  <c r="T75" i="10"/>
  <c r="U75" i="10" s="1"/>
  <c r="T76" i="10"/>
  <c r="U76" i="10" s="1"/>
  <c r="T77" i="10"/>
  <c r="U77" i="10" s="1"/>
  <c r="T78" i="10"/>
  <c r="U78" i="10" s="1"/>
  <c r="T79" i="10"/>
  <c r="U79" i="10" s="1"/>
  <c r="T80" i="10"/>
  <c r="U80" i="10" s="1"/>
  <c r="T81" i="10"/>
  <c r="U81" i="10" s="1"/>
  <c r="T82" i="10"/>
  <c r="U82" i="10" s="1"/>
  <c r="T83" i="10"/>
  <c r="U83" i="10" s="1"/>
  <c r="T84" i="10"/>
  <c r="U84" i="10" s="1"/>
  <c r="T85" i="10"/>
  <c r="U85" i="10" s="1"/>
  <c r="T86" i="10"/>
  <c r="U86" i="10" s="1"/>
  <c r="T87" i="10"/>
  <c r="T88" i="10"/>
  <c r="U88" i="10" s="1"/>
  <c r="T89" i="10"/>
  <c r="T90" i="10"/>
  <c r="U90" i="10" s="1"/>
  <c r="T91" i="10"/>
  <c r="U91" i="10" s="1"/>
  <c r="T92" i="10"/>
  <c r="U92" i="10" s="1"/>
  <c r="T93" i="10"/>
  <c r="U93" i="10" s="1"/>
  <c r="T94" i="10"/>
  <c r="U94" i="10" s="1"/>
  <c r="T95" i="10"/>
  <c r="T96" i="10"/>
  <c r="U96" i="10" s="1"/>
  <c r="T97" i="10"/>
  <c r="U97" i="10" s="1"/>
  <c r="T98" i="10"/>
  <c r="U98" i="10" s="1"/>
  <c r="T99" i="10"/>
  <c r="U99" i="10" s="1"/>
  <c r="T100" i="10"/>
  <c r="U100" i="10" s="1"/>
  <c r="T101" i="10"/>
  <c r="U101" i="10" s="1"/>
  <c r="T102" i="10"/>
  <c r="U102" i="10" s="1"/>
  <c r="T103" i="10"/>
  <c r="U103" i="10" s="1"/>
  <c r="T104" i="10"/>
  <c r="U104" i="10" s="1"/>
  <c r="T105" i="10"/>
  <c r="U105" i="10" s="1"/>
  <c r="T106" i="10"/>
  <c r="U106" i="10" s="1"/>
  <c r="T107" i="10"/>
  <c r="T108" i="10"/>
  <c r="U108" i="10" s="1"/>
  <c r="T109" i="10"/>
  <c r="U109" i="10" s="1"/>
  <c r="T110" i="10"/>
  <c r="U110" i="10" s="1"/>
  <c r="T111" i="10"/>
  <c r="U111" i="10" s="1"/>
  <c r="T112" i="10"/>
  <c r="U112" i="10" s="1"/>
  <c r="T113" i="10"/>
  <c r="U113" i="10" s="1"/>
  <c r="T114" i="10"/>
  <c r="U114" i="10" s="1"/>
  <c r="T115" i="10"/>
  <c r="U115" i="10" s="1"/>
  <c r="T116" i="10"/>
  <c r="U116" i="10" s="1"/>
  <c r="T117" i="10"/>
  <c r="T118" i="10"/>
  <c r="U118" i="10" s="1"/>
  <c r="T119" i="10"/>
  <c r="U119" i="10" s="1"/>
  <c r="T120" i="10"/>
  <c r="U120" i="10" s="1"/>
  <c r="T121" i="10"/>
  <c r="U121" i="10" s="1"/>
  <c r="T122" i="10"/>
  <c r="U122" i="10" s="1"/>
  <c r="T123" i="10"/>
  <c r="U123" i="10" s="1"/>
  <c r="T124" i="10"/>
  <c r="U124" i="10" s="1"/>
  <c r="T125" i="10"/>
  <c r="U125" i="10" s="1"/>
  <c r="T126" i="10"/>
  <c r="U126" i="10" s="1"/>
  <c r="T127" i="10"/>
  <c r="U127" i="10" s="1"/>
  <c r="T128" i="10"/>
  <c r="U128" i="10" s="1"/>
  <c r="T129" i="10"/>
  <c r="U129" i="10" s="1"/>
  <c r="T130" i="10"/>
  <c r="U130" i="10" s="1"/>
  <c r="T131" i="10"/>
  <c r="T132" i="10"/>
  <c r="U132" i="10" s="1"/>
  <c r="T133" i="10"/>
  <c r="U133" i="10" s="1"/>
  <c r="T134" i="10"/>
  <c r="U134" i="10" s="1"/>
  <c r="T135" i="10"/>
  <c r="U135" i="10" s="1"/>
  <c r="T136" i="10"/>
  <c r="U136" i="10" s="1"/>
  <c r="T137" i="10"/>
  <c r="U137" i="10" s="1"/>
  <c r="T138" i="10"/>
  <c r="U138" i="10" s="1"/>
  <c r="T139" i="10"/>
  <c r="U139" i="10" s="1"/>
  <c r="T140" i="10"/>
  <c r="U140" i="10" s="1"/>
  <c r="T141" i="10"/>
  <c r="U141" i="10" s="1"/>
  <c r="T142" i="10"/>
  <c r="U142" i="10" s="1"/>
  <c r="T143" i="10"/>
  <c r="U143" i="10" s="1"/>
  <c r="T144" i="10"/>
  <c r="U144" i="10" s="1"/>
  <c r="T145" i="10"/>
  <c r="U145" i="10" s="1"/>
  <c r="T146" i="10"/>
  <c r="U146" i="10" s="1"/>
  <c r="T147" i="10"/>
  <c r="U147" i="10" s="1"/>
  <c r="T148" i="10"/>
  <c r="U148" i="10" s="1"/>
  <c r="T149" i="10"/>
  <c r="U149" i="10" s="1"/>
  <c r="T150" i="10"/>
  <c r="U150" i="10" s="1"/>
  <c r="T151" i="10"/>
  <c r="U151" i="10" s="1"/>
  <c r="T152" i="10"/>
  <c r="U152" i="10" s="1"/>
  <c r="T153" i="10"/>
  <c r="U153" i="10" s="1"/>
  <c r="T154" i="10"/>
  <c r="U154" i="10" s="1"/>
  <c r="T155" i="10"/>
  <c r="U155" i="10" s="1"/>
  <c r="T156" i="10"/>
  <c r="U156" i="10" s="1"/>
  <c r="T157" i="10"/>
  <c r="U157" i="10" s="1"/>
  <c r="T158" i="10"/>
  <c r="U158" i="10" s="1"/>
  <c r="T159" i="10"/>
  <c r="U159" i="10" s="1"/>
  <c r="T160" i="10"/>
  <c r="U160" i="10" s="1"/>
  <c r="T161" i="10"/>
  <c r="U161" i="10" s="1"/>
  <c r="T162" i="10"/>
  <c r="U162" i="10" s="1"/>
  <c r="T163" i="10"/>
  <c r="U163" i="10" s="1"/>
  <c r="T164" i="10"/>
  <c r="U164" i="10" s="1"/>
  <c r="T165" i="10"/>
  <c r="U165" i="10" s="1"/>
  <c r="T166" i="10"/>
  <c r="U166" i="10" s="1"/>
  <c r="T167" i="10"/>
  <c r="U167" i="10" s="1"/>
  <c r="T168" i="10"/>
  <c r="U168" i="10" s="1"/>
  <c r="T169" i="10"/>
  <c r="U169" i="10" s="1"/>
  <c r="T170" i="10"/>
  <c r="U170" i="10" s="1"/>
  <c r="T171" i="10"/>
  <c r="U171" i="10" s="1"/>
  <c r="T172" i="10"/>
  <c r="U172" i="10" s="1"/>
  <c r="T173" i="10"/>
  <c r="U173" i="10" s="1"/>
  <c r="T174" i="10"/>
  <c r="U174" i="10" s="1"/>
  <c r="T175" i="10"/>
  <c r="T176" i="10"/>
  <c r="U176" i="10" s="1"/>
  <c r="T177" i="10"/>
  <c r="U177" i="10" s="1"/>
  <c r="T178" i="10"/>
  <c r="U178" i="10" s="1"/>
  <c r="T179" i="10"/>
  <c r="U179" i="10" s="1"/>
  <c r="T180" i="10"/>
  <c r="U180" i="10" s="1"/>
  <c r="T181" i="10"/>
  <c r="U181" i="10" s="1"/>
  <c r="T182" i="10"/>
  <c r="U182" i="10" s="1"/>
  <c r="T183" i="10"/>
  <c r="U183" i="10" s="1"/>
  <c r="T184" i="10"/>
  <c r="U184" i="10" s="1"/>
  <c r="T185" i="10"/>
  <c r="U185" i="10" s="1"/>
  <c r="T186" i="10"/>
  <c r="U186" i="10" s="1"/>
  <c r="T187" i="10"/>
  <c r="U187" i="10" s="1"/>
  <c r="T188" i="10"/>
  <c r="U188" i="10" s="1"/>
  <c r="T189" i="10"/>
  <c r="U189" i="10" s="1"/>
  <c r="T190" i="10"/>
  <c r="U190" i="10" s="1"/>
  <c r="T191" i="10"/>
  <c r="U191" i="10" s="1"/>
  <c r="T192" i="10"/>
  <c r="U192" i="10" s="1"/>
  <c r="T193" i="10"/>
  <c r="U193" i="10" s="1"/>
  <c r="T194" i="10"/>
  <c r="U194" i="10" s="1"/>
  <c r="T195" i="10"/>
  <c r="U195" i="10" s="1"/>
  <c r="T196" i="10"/>
  <c r="U196" i="10" s="1"/>
  <c r="T197" i="10"/>
  <c r="U197" i="10" s="1"/>
  <c r="T198" i="10"/>
  <c r="U198" i="10" s="1"/>
  <c r="T199" i="10"/>
  <c r="U199" i="10" s="1"/>
  <c r="T200" i="10"/>
  <c r="U200" i="10" s="1"/>
  <c r="T201" i="10"/>
  <c r="U201" i="10" s="1"/>
  <c r="T202" i="10"/>
  <c r="U202" i="10" s="1"/>
  <c r="T203" i="10"/>
  <c r="T204" i="10"/>
  <c r="U204" i="10" s="1"/>
  <c r="T205" i="10"/>
  <c r="U205" i="10" s="1"/>
  <c r="T206" i="10"/>
  <c r="U206" i="10" s="1"/>
  <c r="T207" i="10"/>
  <c r="U207" i="10" s="1"/>
  <c r="T208" i="10"/>
  <c r="U208" i="10" s="1"/>
  <c r="T209" i="10"/>
  <c r="U209" i="10" s="1"/>
  <c r="T210" i="10"/>
  <c r="U210" i="10" s="1"/>
  <c r="T211" i="10"/>
  <c r="U211" i="10" s="1"/>
  <c r="T212" i="10"/>
  <c r="U212" i="10" s="1"/>
  <c r="T213" i="10"/>
  <c r="U213" i="10" s="1"/>
  <c r="T214" i="10"/>
  <c r="U214" i="10" s="1"/>
  <c r="T215" i="10"/>
  <c r="U215" i="10" s="1"/>
  <c r="T216" i="10"/>
  <c r="U216" i="10" s="1"/>
  <c r="T217" i="10"/>
  <c r="U217" i="10" s="1"/>
  <c r="T218" i="10"/>
  <c r="U218" i="10" s="1"/>
  <c r="T219" i="10"/>
  <c r="U219" i="10" s="1"/>
  <c r="T220" i="10"/>
  <c r="U220" i="10" s="1"/>
  <c r="T221" i="10"/>
  <c r="U221" i="10" s="1"/>
  <c r="T222" i="10"/>
  <c r="U222" i="10" s="1"/>
  <c r="T223" i="10"/>
  <c r="U223" i="10" s="1"/>
  <c r="T224" i="10"/>
  <c r="U224" i="10" s="1"/>
  <c r="T225" i="10"/>
  <c r="U225" i="10" s="1"/>
  <c r="T226" i="10"/>
  <c r="U226" i="10" s="1"/>
  <c r="T227" i="10"/>
  <c r="T228" i="10"/>
  <c r="U228" i="10" s="1"/>
  <c r="T229" i="10"/>
  <c r="U229" i="10" s="1"/>
  <c r="T230" i="10"/>
  <c r="U230" i="10" s="1"/>
  <c r="T231" i="10"/>
  <c r="U231" i="10" s="1"/>
  <c r="T232" i="10"/>
  <c r="U232" i="10" s="1"/>
  <c r="T233" i="10"/>
  <c r="U233" i="10" s="1"/>
  <c r="T234" i="10"/>
  <c r="U234" i="10" s="1"/>
  <c r="T235" i="10"/>
  <c r="U235" i="10" s="1"/>
  <c r="T236" i="10"/>
  <c r="U236" i="10" s="1"/>
  <c r="T237" i="10"/>
  <c r="U237" i="10" s="1"/>
  <c r="T238" i="10"/>
  <c r="U238" i="10" s="1"/>
  <c r="T239" i="10"/>
  <c r="U239" i="10" s="1"/>
  <c r="T240" i="10"/>
  <c r="U240" i="10" s="1"/>
  <c r="T241" i="10"/>
  <c r="U241" i="10" s="1"/>
  <c r="T242" i="10"/>
  <c r="U242" i="10" s="1"/>
  <c r="T243" i="10"/>
  <c r="T244" i="10"/>
  <c r="U244" i="10" s="1"/>
  <c r="T245" i="10"/>
  <c r="U245" i="10" s="1"/>
  <c r="T246" i="10"/>
  <c r="U246" i="10" s="1"/>
  <c r="T247" i="10"/>
  <c r="U247" i="10" s="1"/>
  <c r="T248" i="10"/>
  <c r="U248" i="10" s="1"/>
  <c r="T249" i="10"/>
  <c r="U249" i="10" s="1"/>
  <c r="T250" i="10"/>
  <c r="U250" i="10" s="1"/>
  <c r="T251" i="10"/>
  <c r="U251" i="10" s="1"/>
  <c r="T252" i="10"/>
  <c r="U252" i="10" s="1"/>
  <c r="T253" i="10"/>
  <c r="T254" i="10"/>
  <c r="U254" i="10" s="1"/>
  <c r="T255" i="10"/>
  <c r="U255" i="10" s="1"/>
  <c r="T256" i="10"/>
  <c r="U256" i="10" s="1"/>
  <c r="T257" i="10"/>
  <c r="U257" i="10" s="1"/>
  <c r="T258" i="10"/>
  <c r="U258" i="10" s="1"/>
  <c r="T259" i="10"/>
  <c r="U259" i="10" s="1"/>
  <c r="T260" i="10"/>
  <c r="U260" i="10" s="1"/>
  <c r="T261" i="10"/>
  <c r="U261" i="10" s="1"/>
  <c r="T262" i="10"/>
  <c r="U262" i="10" s="1"/>
  <c r="T263" i="10"/>
  <c r="U263" i="10" s="1"/>
  <c r="T264" i="10"/>
  <c r="U264" i="10" s="1"/>
  <c r="T265" i="10"/>
  <c r="U265" i="10" s="1"/>
  <c r="T266" i="10"/>
  <c r="U266" i="10" s="1"/>
  <c r="T267" i="10"/>
  <c r="U267" i="10" s="1"/>
  <c r="T268" i="10"/>
  <c r="U268" i="10" s="1"/>
  <c r="T269" i="10"/>
  <c r="U269" i="10" s="1"/>
  <c r="T270" i="10"/>
  <c r="U270" i="10" s="1"/>
  <c r="T271" i="10"/>
  <c r="U271" i="10" s="1"/>
  <c r="T272" i="10"/>
  <c r="U272" i="10" s="1"/>
  <c r="T273" i="10"/>
  <c r="U273" i="10" s="1"/>
  <c r="T274" i="10"/>
  <c r="U274" i="10" s="1"/>
  <c r="T275" i="10"/>
  <c r="U275" i="10" s="1"/>
  <c r="T276" i="10"/>
  <c r="U276" i="10" s="1"/>
  <c r="T277" i="10"/>
  <c r="U277" i="10" s="1"/>
  <c r="T278" i="10"/>
  <c r="U278" i="10" s="1"/>
  <c r="T279" i="10"/>
  <c r="U279" i="10" s="1"/>
  <c r="T280" i="10"/>
  <c r="U280" i="10" s="1"/>
  <c r="T281" i="10"/>
  <c r="U281" i="10" s="1"/>
  <c r="T282" i="10"/>
  <c r="U282" i="10" s="1"/>
  <c r="T283" i="10"/>
  <c r="U283" i="10" s="1"/>
  <c r="T284" i="10"/>
  <c r="U284" i="10" s="1"/>
  <c r="T285" i="10"/>
  <c r="U285" i="10" s="1"/>
  <c r="T286" i="10"/>
  <c r="U286" i="10" s="1"/>
  <c r="T287" i="10"/>
  <c r="U287" i="10" s="1"/>
  <c r="T288" i="10"/>
  <c r="U288" i="10" s="1"/>
  <c r="T289" i="10"/>
  <c r="U289" i="10" s="1"/>
  <c r="T290" i="10"/>
  <c r="U290" i="10" s="1"/>
  <c r="T291" i="10"/>
  <c r="U291" i="10" s="1"/>
  <c r="T292" i="10"/>
  <c r="U292" i="10" s="1"/>
  <c r="T293" i="10"/>
  <c r="U293" i="10" s="1"/>
  <c r="T294" i="10"/>
  <c r="U294" i="10" s="1"/>
  <c r="T295" i="10"/>
  <c r="U295" i="10" s="1"/>
  <c r="T296" i="10"/>
  <c r="U296" i="10" s="1"/>
  <c r="T297" i="10"/>
  <c r="U297" i="10" s="1"/>
  <c r="T298" i="10"/>
  <c r="U298" i="10" s="1"/>
  <c r="T299" i="10"/>
  <c r="U299" i="10" s="1"/>
  <c r="T300" i="10"/>
  <c r="U300" i="10" s="1"/>
  <c r="T301" i="10"/>
  <c r="U301" i="10" s="1"/>
  <c r="T302" i="10"/>
  <c r="U302" i="10" s="1"/>
  <c r="T303" i="10"/>
  <c r="U303" i="10" s="1"/>
  <c r="T304" i="10"/>
  <c r="U304" i="10" s="1"/>
  <c r="T305" i="10"/>
  <c r="U305" i="10" s="1"/>
  <c r="T306" i="10"/>
  <c r="U306" i="10" s="1"/>
  <c r="T307" i="10"/>
  <c r="U307" i="10" s="1"/>
  <c r="T308" i="10"/>
  <c r="U308" i="10" s="1"/>
  <c r="T309" i="10"/>
  <c r="U309" i="10" s="1"/>
  <c r="T310" i="10"/>
  <c r="U310" i="10" s="1"/>
  <c r="T311" i="10"/>
  <c r="U311" i="10" s="1"/>
  <c r="T312" i="10"/>
  <c r="U312" i="10" s="1"/>
  <c r="T313" i="10"/>
  <c r="U313" i="10" s="1"/>
  <c r="T314" i="10"/>
  <c r="U314" i="10" s="1"/>
  <c r="T315" i="10"/>
  <c r="T316" i="10"/>
  <c r="U316" i="10" s="1"/>
  <c r="T317" i="10"/>
  <c r="U317" i="10" s="1"/>
  <c r="T318" i="10"/>
  <c r="U318" i="10" s="1"/>
  <c r="T319" i="10"/>
  <c r="U319" i="10" s="1"/>
  <c r="T320" i="10"/>
  <c r="U320" i="10" s="1"/>
  <c r="T321" i="10"/>
  <c r="U321" i="10" s="1"/>
  <c r="T322" i="10"/>
  <c r="U322" i="10" s="1"/>
  <c r="T323" i="10"/>
  <c r="T324" i="10"/>
  <c r="U324" i="10" s="1"/>
  <c r="T325" i="10"/>
  <c r="U325" i="10" s="1"/>
  <c r="T326" i="10"/>
  <c r="U326" i="10" s="1"/>
  <c r="T327" i="10"/>
  <c r="U327" i="10" s="1"/>
  <c r="T328" i="10"/>
  <c r="U328" i="10" s="1"/>
  <c r="T329" i="10"/>
  <c r="U329" i="10" s="1"/>
  <c r="T330" i="10"/>
  <c r="U330" i="10" s="1"/>
  <c r="T331" i="10"/>
  <c r="U331" i="10" s="1"/>
  <c r="T332" i="10"/>
  <c r="U332" i="10" s="1"/>
  <c r="T333" i="10"/>
  <c r="U333" i="10" s="1"/>
  <c r="T334" i="10"/>
  <c r="U334" i="10" s="1"/>
  <c r="T335" i="10"/>
  <c r="U335" i="10" s="1"/>
  <c r="T336" i="10"/>
  <c r="U336" i="10" s="1"/>
  <c r="T337" i="10"/>
  <c r="U337" i="10" s="1"/>
  <c r="T338" i="10"/>
  <c r="U338" i="10" s="1"/>
  <c r="T339" i="10"/>
  <c r="U339" i="10" s="1"/>
  <c r="T340" i="10"/>
  <c r="U340" i="10" s="1"/>
  <c r="T341" i="10"/>
  <c r="U341" i="10" s="1"/>
  <c r="T342" i="10"/>
  <c r="U342" i="10" s="1"/>
  <c r="T343" i="10"/>
  <c r="U343" i="10" s="1"/>
  <c r="T344" i="10"/>
  <c r="U344" i="10" s="1"/>
  <c r="T345" i="10"/>
  <c r="U345" i="10" s="1"/>
  <c r="T346" i="10"/>
  <c r="U346" i="10" s="1"/>
  <c r="T347" i="10"/>
  <c r="U347" i="10" s="1"/>
  <c r="T348" i="10"/>
  <c r="U348" i="10" s="1"/>
  <c r="T349" i="10"/>
  <c r="U349" i="10" s="1"/>
  <c r="T350" i="10"/>
  <c r="U350" i="10" s="1"/>
  <c r="T351" i="10"/>
  <c r="U351" i="10" s="1"/>
  <c r="T352" i="10"/>
  <c r="U352" i="10" s="1"/>
  <c r="T353" i="10"/>
  <c r="U353" i="10" s="1"/>
  <c r="T354" i="10"/>
  <c r="U354" i="10" s="1"/>
  <c r="T355" i="10"/>
  <c r="U355" i="10" s="1"/>
  <c r="T356" i="10"/>
  <c r="U356" i="10" s="1"/>
  <c r="T357" i="10"/>
  <c r="U357" i="10" s="1"/>
  <c r="T358" i="10"/>
  <c r="U358" i="10" s="1"/>
  <c r="T359" i="10"/>
  <c r="U359" i="10" s="1"/>
  <c r="T360" i="10"/>
  <c r="U360" i="10" s="1"/>
  <c r="T361" i="10"/>
  <c r="U361" i="10" s="1"/>
  <c r="T362" i="10"/>
  <c r="U362" i="10" s="1"/>
  <c r="T363" i="10"/>
  <c r="U363" i="10" s="1"/>
  <c r="T364" i="10"/>
  <c r="U364" i="10" s="1"/>
  <c r="T365" i="10"/>
  <c r="T366" i="10"/>
  <c r="U366" i="10" s="1"/>
  <c r="T367" i="10"/>
  <c r="U367" i="10" s="1"/>
  <c r="T368" i="10"/>
  <c r="U368" i="10" s="1"/>
  <c r="T369" i="10"/>
  <c r="U369" i="10" s="1"/>
  <c r="T370" i="10"/>
  <c r="U370" i="10" s="1"/>
  <c r="T371" i="10"/>
  <c r="U371" i="10" s="1"/>
  <c r="T372" i="10"/>
  <c r="U372" i="10" s="1"/>
  <c r="T373" i="10"/>
  <c r="U373" i="10" s="1"/>
  <c r="T374" i="10"/>
  <c r="U374" i="10" s="1"/>
  <c r="T375" i="10"/>
  <c r="U375" i="10" s="1"/>
  <c r="T376" i="10"/>
  <c r="U376" i="10" s="1"/>
  <c r="T377" i="10"/>
  <c r="U377" i="10" s="1"/>
  <c r="T378" i="10"/>
  <c r="U378" i="10" s="1"/>
  <c r="T379" i="10"/>
  <c r="U379" i="10" s="1"/>
  <c r="T380" i="10"/>
  <c r="U380" i="10" s="1"/>
  <c r="T381" i="10"/>
  <c r="U381" i="10" s="1"/>
  <c r="T382" i="10"/>
  <c r="U382" i="10" s="1"/>
  <c r="T383" i="10"/>
  <c r="U383" i="10" s="1"/>
  <c r="T384" i="10"/>
  <c r="U384" i="10" s="1"/>
  <c r="T385" i="10"/>
  <c r="U385" i="10" s="1"/>
  <c r="T386" i="10"/>
  <c r="U386" i="10" s="1"/>
  <c r="T387" i="10"/>
  <c r="U387" i="10" s="1"/>
  <c r="T388" i="10"/>
  <c r="U388" i="10" s="1"/>
  <c r="T389" i="10"/>
  <c r="U389" i="10" s="1"/>
  <c r="T390" i="10"/>
  <c r="U390" i="10" s="1"/>
  <c r="T391" i="10"/>
  <c r="U391" i="10" s="1"/>
  <c r="T392" i="10"/>
  <c r="U392" i="10" s="1"/>
  <c r="T393" i="10"/>
  <c r="U393" i="10" s="1"/>
  <c r="T394" i="10"/>
  <c r="U394" i="10" s="1"/>
  <c r="T395" i="10"/>
  <c r="U395" i="10" s="1"/>
  <c r="T396" i="10"/>
  <c r="U396" i="10" s="1"/>
  <c r="T397" i="10"/>
  <c r="U397" i="10" s="1"/>
  <c r="T398" i="10"/>
  <c r="U398" i="10" s="1"/>
  <c r="T399" i="10"/>
  <c r="U399" i="10" s="1"/>
  <c r="T400" i="10"/>
  <c r="U400" i="10" s="1"/>
  <c r="T401" i="10"/>
  <c r="U401" i="10" s="1"/>
  <c r="T402" i="10"/>
  <c r="U402" i="10" s="1"/>
  <c r="T403" i="10"/>
  <c r="U403" i="10" s="1"/>
  <c r="T404" i="10"/>
  <c r="U404" i="10" s="1"/>
  <c r="T405" i="10"/>
  <c r="U405" i="10" s="1"/>
  <c r="T406" i="10"/>
  <c r="U406" i="10" s="1"/>
  <c r="T407" i="10"/>
  <c r="U407" i="10" s="1"/>
  <c r="T408" i="10"/>
  <c r="U408" i="10" s="1"/>
  <c r="T409" i="10"/>
  <c r="U409" i="10" s="1"/>
  <c r="T410" i="10"/>
  <c r="U410" i="10" s="1"/>
  <c r="T411" i="10"/>
  <c r="U411" i="10" s="1"/>
  <c r="T412" i="10"/>
  <c r="U412" i="10" s="1"/>
  <c r="T413" i="10"/>
  <c r="U413" i="10" s="1"/>
  <c r="T414" i="10"/>
  <c r="U414" i="10" s="1"/>
  <c r="T415" i="10"/>
  <c r="U415" i="10" s="1"/>
  <c r="T416" i="10"/>
  <c r="U416" i="10" s="1"/>
  <c r="T417" i="10"/>
  <c r="U417" i="10" s="1"/>
  <c r="U42" i="10"/>
  <c r="U67" i="10"/>
  <c r="U89" i="10"/>
  <c r="U95" i="10"/>
  <c r="U107" i="10"/>
  <c r="U117" i="10"/>
  <c r="U131" i="10"/>
  <c r="U175" i="10"/>
  <c r="U203" i="10"/>
  <c r="U227" i="10"/>
  <c r="U243" i="10"/>
  <c r="U253" i="10"/>
  <c r="U315" i="10"/>
  <c r="U365" i="10"/>
  <c r="U87" i="10"/>
  <c r="U323" i="10"/>
  <c r="AC415" i="10" l="1"/>
  <c r="AC407" i="10"/>
  <c r="AC399" i="10"/>
  <c r="AC387" i="10"/>
  <c r="AC379" i="10"/>
  <c r="AC371" i="10"/>
  <c r="AC363" i="10"/>
  <c r="AC355" i="10"/>
  <c r="AC347" i="10"/>
  <c r="AC339" i="10"/>
  <c r="AC331" i="10"/>
  <c r="AC327" i="10"/>
  <c r="AC319" i="10"/>
  <c r="AC311" i="10"/>
  <c r="AC303" i="10"/>
  <c r="AC295" i="10"/>
  <c r="AC283" i="10"/>
  <c r="AC275" i="10"/>
  <c r="AC267" i="10"/>
  <c r="AC259" i="10"/>
  <c r="AC251" i="10"/>
  <c r="AC243" i="10"/>
  <c r="AC239" i="10"/>
  <c r="AC231" i="10"/>
  <c r="AC223" i="10"/>
  <c r="AC215" i="10"/>
  <c r="AC207" i="10"/>
  <c r="AC199" i="10"/>
  <c r="AC191" i="10"/>
  <c r="AC183" i="10"/>
  <c r="AC175" i="10"/>
  <c r="AC167" i="10"/>
  <c r="AC159" i="10"/>
  <c r="AC143" i="10"/>
  <c r="AC103" i="10"/>
  <c r="AC95" i="10"/>
  <c r="AC91" i="10"/>
  <c r="AC83" i="10"/>
  <c r="AC79" i="10"/>
  <c r="AC75" i="10"/>
  <c r="AC67" i="10"/>
  <c r="AC63" i="10"/>
  <c r="AC59" i="10"/>
  <c r="AC55" i="10"/>
  <c r="AC51" i="10"/>
  <c r="AC47" i="10"/>
  <c r="AC43" i="10"/>
  <c r="AC39" i="10"/>
  <c r="AC35" i="10"/>
  <c r="AC31" i="10"/>
  <c r="AC27" i="10"/>
  <c r="AC414" i="10"/>
  <c r="AC410" i="10"/>
  <c r="AC406" i="10"/>
  <c r="AC402" i="10"/>
  <c r="AC398" i="10"/>
  <c r="AC394" i="10"/>
  <c r="AC390" i="10"/>
  <c r="AC386" i="10"/>
  <c r="AC382" i="10"/>
  <c r="AC378" i="10"/>
  <c r="AC374" i="10"/>
  <c r="AC370" i="10"/>
  <c r="AC366" i="10"/>
  <c r="AC362" i="10"/>
  <c r="AC358" i="10"/>
  <c r="AC354" i="10"/>
  <c r="AC350" i="10"/>
  <c r="AC26" i="10"/>
  <c r="AC411" i="10"/>
  <c r="AC403" i="10"/>
  <c r="AC395" i="10"/>
  <c r="AC391" i="10"/>
  <c r="AC383" i="10"/>
  <c r="AC375" i="10"/>
  <c r="AC367" i="10"/>
  <c r="AC359" i="10"/>
  <c r="AC351" i="10"/>
  <c r="AC343" i="10"/>
  <c r="AC335" i="10"/>
  <c r="AC323" i="10"/>
  <c r="AC315" i="10"/>
  <c r="AC307" i="10"/>
  <c r="AC299" i="10"/>
  <c r="AC291" i="10"/>
  <c r="AC287" i="10"/>
  <c r="AC279" i="10"/>
  <c r="AC271" i="10"/>
  <c r="AC263" i="10"/>
  <c r="AC255" i="10"/>
  <c r="AC247" i="10"/>
  <c r="AC235" i="10"/>
  <c r="AC227" i="10"/>
  <c r="AC219" i="10"/>
  <c r="AC211" i="10"/>
  <c r="AC203" i="10"/>
  <c r="AC195" i="10"/>
  <c r="AC187" i="10"/>
  <c r="AC179" i="10"/>
  <c r="AC171" i="10"/>
  <c r="AC163" i="10"/>
  <c r="AC155" i="10"/>
  <c r="AC151" i="10"/>
  <c r="AC147" i="10"/>
  <c r="AC139" i="10"/>
  <c r="AC135" i="10"/>
  <c r="AC131" i="10"/>
  <c r="AC127" i="10"/>
  <c r="AC123" i="10"/>
  <c r="AC119" i="10"/>
  <c r="AC115" i="10"/>
  <c r="AC111" i="10"/>
  <c r="AC107" i="10"/>
  <c r="AC99" i="10"/>
  <c r="AC87" i="10"/>
  <c r="AC71" i="10"/>
  <c r="AC417" i="10"/>
  <c r="AC413" i="10"/>
  <c r="AC409" i="10"/>
  <c r="AC405" i="10"/>
  <c r="AC401" i="10"/>
  <c r="AC397" i="10"/>
  <c r="AC393" i="10"/>
  <c r="AC389" i="10"/>
  <c r="AC385" i="10"/>
  <c r="AC381" i="10"/>
  <c r="AC377" i="10"/>
  <c r="AC373" i="10"/>
  <c r="AC369" i="10"/>
  <c r="AC365" i="10"/>
  <c r="AC361" i="10"/>
  <c r="AC357" i="10"/>
  <c r="AC353" i="10"/>
  <c r="AC349" i="10"/>
  <c r="AC345" i="10"/>
  <c r="AC341" i="10"/>
  <c r="AC337" i="10"/>
  <c r="AC333" i="10"/>
  <c r="AC329" i="10"/>
  <c r="AC325" i="10"/>
  <c r="AC321" i="10"/>
  <c r="AC317" i="10"/>
  <c r="AC313" i="10"/>
  <c r="AC309" i="10"/>
  <c r="AC305" i="10"/>
  <c r="AC301" i="10"/>
  <c r="AC297" i="10"/>
  <c r="AC293" i="10"/>
  <c r="AC289" i="10"/>
  <c r="AC285" i="10"/>
  <c r="AC281" i="10"/>
  <c r="AC277" i="10"/>
  <c r="AC273" i="10"/>
  <c r="AC269" i="10"/>
  <c r="AC265" i="10"/>
  <c r="AC261" i="10"/>
  <c r="AC257" i="10"/>
  <c r="AC253" i="10"/>
  <c r="AC249" i="10"/>
  <c r="AC245" i="10"/>
  <c r="AC241" i="10"/>
  <c r="AC237" i="10"/>
  <c r="AC233" i="10"/>
  <c r="AC229" i="10"/>
  <c r="AC225" i="10"/>
  <c r="AC221" i="10"/>
  <c r="AC217" i="10"/>
  <c r="AC213" i="10"/>
  <c r="AC209" i="10"/>
  <c r="AC205" i="10"/>
  <c r="AC201" i="10"/>
  <c r="AC197" i="10"/>
  <c r="AC193" i="10"/>
  <c r="AC189" i="10"/>
  <c r="AC185" i="10"/>
  <c r="AC181" i="10"/>
  <c r="AC177" i="10"/>
  <c r="AC173" i="10"/>
  <c r="AC169" i="10"/>
  <c r="AC165" i="10"/>
  <c r="AC161" i="10"/>
  <c r="AC157" i="10"/>
  <c r="AC153" i="10"/>
  <c r="AC149" i="10"/>
  <c r="AC145" i="10"/>
  <c r="AC141" i="10"/>
  <c r="AC137" i="10"/>
  <c r="AC133" i="10"/>
  <c r="AC129" i="10"/>
  <c r="AC125" i="10"/>
  <c r="AC121" i="10"/>
  <c r="AC117" i="10"/>
  <c r="AC113" i="10"/>
  <c r="AC109" i="10"/>
  <c r="AC105" i="10"/>
  <c r="AC101" i="10"/>
  <c r="AC97" i="10"/>
  <c r="AC93" i="10"/>
  <c r="AC89" i="10"/>
  <c r="AC85" i="10"/>
  <c r="AC81" i="10"/>
  <c r="AC77" i="10"/>
  <c r="AC73" i="10"/>
  <c r="AC69" i="10"/>
  <c r="AC65" i="10"/>
  <c r="AC61" i="10"/>
  <c r="AC57" i="10"/>
  <c r="AC53" i="10"/>
  <c r="AC49" i="10"/>
  <c r="AC45" i="10"/>
  <c r="AC41" i="10"/>
  <c r="AC37" i="10"/>
  <c r="AC33" i="10"/>
  <c r="AC29" i="10"/>
  <c r="AC25" i="10"/>
  <c r="AC300" i="10"/>
  <c r="AC909" i="10"/>
  <c r="AC911" i="10"/>
  <c r="AC913" i="10"/>
  <c r="AC915" i="10"/>
  <c r="AC917" i="10"/>
  <c r="AC919" i="10"/>
  <c r="AC921" i="10"/>
  <c r="AC923" i="10"/>
  <c r="AC925" i="10"/>
  <c r="AC927" i="10"/>
  <c r="AC929" i="10"/>
  <c r="AC931" i="10"/>
  <c r="AC933" i="10"/>
  <c r="AC935" i="10"/>
  <c r="AC937" i="10"/>
  <c r="AC939" i="10"/>
  <c r="AC941" i="10"/>
  <c r="AC943" i="10"/>
  <c r="AC945" i="10"/>
  <c r="AC947" i="10"/>
  <c r="AC951" i="10"/>
  <c r="AC957" i="10"/>
  <c r="AC961" i="10"/>
  <c r="AC965" i="10"/>
  <c r="AC969" i="10"/>
  <c r="AC973" i="10"/>
  <c r="AC977" i="10"/>
  <c r="AC981" i="10"/>
  <c r="AC985" i="10"/>
  <c r="AC989" i="10"/>
  <c r="AC993" i="10"/>
  <c r="AC948" i="10"/>
  <c r="AC997" i="10"/>
  <c r="AC1001" i="10"/>
  <c r="AC492" i="10"/>
  <c r="AC439" i="10"/>
  <c r="AC443" i="10"/>
  <c r="AC445" i="10"/>
  <c r="AC449" i="10"/>
  <c r="AC723" i="10"/>
  <c r="AC727" i="10"/>
  <c r="AC729" i="10"/>
  <c r="AC733" i="10"/>
  <c r="AC735" i="10"/>
  <c r="AC743" i="10"/>
  <c r="AC749" i="10"/>
  <c r="AC753" i="10"/>
  <c r="AC759" i="10"/>
  <c r="AC763" i="10"/>
  <c r="AC771" i="10"/>
  <c r="AC775" i="10"/>
  <c r="AC783" i="10"/>
  <c r="AC787" i="10"/>
  <c r="AC793" i="10"/>
  <c r="AC797" i="10"/>
  <c r="AC801" i="10"/>
  <c r="AC657" i="10"/>
  <c r="AC663" i="10"/>
  <c r="AC667" i="10"/>
  <c r="AC673" i="10"/>
  <c r="AC681" i="10"/>
  <c r="AC685" i="10"/>
  <c r="AC691" i="10"/>
  <c r="AC693" i="10"/>
  <c r="AC701" i="10"/>
  <c r="AC705" i="10"/>
  <c r="AC713" i="10"/>
  <c r="AC1009" i="10"/>
  <c r="AC490" i="10"/>
  <c r="AC437" i="10"/>
  <c r="AC441" i="10"/>
  <c r="AC447" i="10"/>
  <c r="AC451" i="10"/>
  <c r="AC453" i="10"/>
  <c r="AC725" i="10"/>
  <c r="AC737" i="10"/>
  <c r="AC741" i="10"/>
  <c r="AC747" i="10"/>
  <c r="AC757" i="10"/>
  <c r="AC761" i="10"/>
  <c r="AC767" i="10"/>
  <c r="AC773" i="10"/>
  <c r="AC777" i="10"/>
  <c r="AC785" i="10"/>
  <c r="AC789" i="10"/>
  <c r="AC795" i="10"/>
  <c r="AC799" i="10"/>
  <c r="AC661" i="10"/>
  <c r="AC669" i="10"/>
  <c r="AC671" i="10"/>
  <c r="AC679" i="10"/>
  <c r="AC683" i="10"/>
  <c r="AC689" i="10"/>
  <c r="AC695" i="10"/>
  <c r="AC697" i="10"/>
  <c r="AC703" i="10"/>
  <c r="AC707" i="10"/>
  <c r="AC715" i="10"/>
  <c r="AC719" i="10"/>
  <c r="AC1017" i="10"/>
  <c r="AC731" i="10"/>
  <c r="AC739" i="10"/>
  <c r="AC745" i="10"/>
  <c r="AC751" i="10"/>
  <c r="AC755" i="10"/>
  <c r="AC765" i="10"/>
  <c r="AC769" i="10"/>
  <c r="AC779" i="10"/>
  <c r="AC781" i="10"/>
  <c r="AC791" i="10"/>
  <c r="AC803" i="10"/>
  <c r="AC653" i="10"/>
  <c r="AC655" i="10"/>
  <c r="AC659" i="10"/>
  <c r="AC665" i="10"/>
  <c r="AC675" i="10"/>
  <c r="AC677" i="10"/>
  <c r="AC687" i="10"/>
  <c r="AC699" i="10"/>
  <c r="AC709" i="10"/>
  <c r="AC711" i="10"/>
  <c r="AC717" i="10"/>
  <c r="AC426" i="10"/>
  <c r="AC424" i="10"/>
  <c r="AC489" i="10"/>
  <c r="AC630" i="10"/>
  <c r="AC582" i="10"/>
  <c r="AC842" i="10"/>
  <c r="AC822" i="10"/>
  <c r="AC450" i="10"/>
  <c r="AC442" i="10"/>
  <c r="AC491" i="10"/>
  <c r="AC476" i="10"/>
  <c r="AC460" i="10"/>
  <c r="AC558" i="10"/>
  <c r="AC542" i="10"/>
  <c r="AC526" i="10"/>
  <c r="AC510" i="10"/>
  <c r="AC494" i="10"/>
  <c r="AC964" i="10"/>
  <c r="AC465" i="10"/>
  <c r="AC602" i="10"/>
  <c r="AC872" i="10"/>
  <c r="AC425" i="10"/>
  <c r="AC479" i="10"/>
  <c r="AC463" i="10"/>
  <c r="AC640" i="10"/>
  <c r="AC624" i="10"/>
  <c r="AC608" i="10"/>
  <c r="AC592" i="10"/>
  <c r="AC1020" i="10"/>
  <c r="AC642" i="10"/>
  <c r="AC598" i="10"/>
  <c r="AC570" i="10"/>
  <c r="AC838" i="10"/>
  <c r="AC435" i="10"/>
  <c r="AC419" i="10"/>
  <c r="AC478" i="10"/>
  <c r="AC462" i="10"/>
  <c r="AC560" i="10"/>
  <c r="AC544" i="10"/>
  <c r="AC528" i="10"/>
  <c r="AC512" i="10"/>
  <c r="AC496" i="10"/>
  <c r="AC649" i="10"/>
  <c r="AC641" i="10"/>
  <c r="AC633" i="10"/>
  <c r="AC625" i="10"/>
  <c r="AC617" i="10"/>
  <c r="AC609" i="10"/>
  <c r="AC601" i="10"/>
  <c r="AC593" i="10"/>
  <c r="AC585" i="10"/>
  <c r="AC577" i="10"/>
  <c r="AC1011" i="10"/>
  <c r="AC960" i="10"/>
  <c r="AC864" i="10"/>
  <c r="AC455" i="10"/>
  <c r="AC561" i="10"/>
  <c r="AC553" i="10"/>
  <c r="AC545" i="10"/>
  <c r="AC537" i="10"/>
  <c r="AC529" i="10"/>
  <c r="AC521" i="10"/>
  <c r="AC513" i="10"/>
  <c r="AC505" i="10"/>
  <c r="AC497" i="10"/>
  <c r="AC572" i="10"/>
  <c r="AC1000" i="10"/>
  <c r="AC878" i="10"/>
  <c r="AC720" i="10"/>
  <c r="AC712" i="10"/>
  <c r="AC704" i="10"/>
  <c r="AC696" i="10"/>
  <c r="AC688" i="10"/>
  <c r="AC680" i="10"/>
  <c r="AC672" i="10"/>
  <c r="AC664" i="10"/>
  <c r="AC656" i="10"/>
  <c r="AC1023" i="10"/>
  <c r="AC984" i="10"/>
  <c r="AC901" i="10"/>
  <c r="AC885" i="10"/>
  <c r="AC869" i="10"/>
  <c r="AC987" i="10"/>
  <c r="AC971" i="10"/>
  <c r="AC955" i="10"/>
  <c r="AC942" i="10"/>
  <c r="AC934" i="10"/>
  <c r="AC926" i="10"/>
  <c r="AC918" i="10"/>
  <c r="AC910" i="10"/>
  <c r="AC896" i="10"/>
  <c r="AC949" i="10"/>
  <c r="AC895" i="10"/>
  <c r="AC863" i="10"/>
  <c r="AC1010" i="10"/>
  <c r="AC994" i="10"/>
  <c r="AC978" i="10"/>
  <c r="AC962" i="10"/>
  <c r="AC902" i="10"/>
  <c r="AC886" i="10"/>
  <c r="AC851" i="10"/>
  <c r="AC835" i="10"/>
  <c r="AC819" i="10"/>
  <c r="AC865" i="10"/>
  <c r="AC849" i="10"/>
  <c r="AC833" i="10"/>
  <c r="AC817" i="10"/>
  <c r="AC860" i="10"/>
  <c r="AC844" i="10"/>
  <c r="AC828" i="10"/>
  <c r="AC812" i="10"/>
  <c r="AC800" i="10"/>
  <c r="AC792" i="10"/>
  <c r="AC784" i="10"/>
  <c r="AC776" i="10"/>
  <c r="AC768" i="10"/>
  <c r="AC760" i="10"/>
  <c r="AC752" i="10"/>
  <c r="AC744" i="10"/>
  <c r="AC736" i="10"/>
  <c r="AC728" i="10"/>
  <c r="AC721" i="10"/>
  <c r="AC638" i="10"/>
  <c r="AC498" i="10"/>
  <c r="AC622" i="10"/>
  <c r="AC483" i="10"/>
  <c r="AC612" i="10"/>
  <c r="AC469" i="10"/>
  <c r="AC854" i="10"/>
  <c r="AC482" i="10"/>
  <c r="AC548" i="10"/>
  <c r="AC500" i="10"/>
  <c r="AC635" i="10"/>
  <c r="AC611" i="10"/>
  <c r="AC595" i="10"/>
  <c r="AC1019" i="10"/>
  <c r="AC457" i="10"/>
  <c r="AC547" i="10"/>
  <c r="AC523" i="10"/>
  <c r="AC499" i="10"/>
  <c r="AC867" i="10"/>
  <c r="AC698" i="10"/>
  <c r="AC674" i="10"/>
  <c r="AC571" i="10"/>
  <c r="AC889" i="10"/>
  <c r="AC975" i="10"/>
  <c r="AC936" i="10"/>
  <c r="AC912" i="10"/>
  <c r="AC899" i="10"/>
  <c r="AC998" i="10"/>
  <c r="AC906" i="10"/>
  <c r="AC839" i="10"/>
  <c r="AC853" i="10"/>
  <c r="AC805" i="10"/>
  <c r="AC816" i="10"/>
  <c r="AC770" i="10"/>
  <c r="AC746" i="10"/>
  <c r="AC722" i="10"/>
  <c r="AC430" i="10"/>
  <c r="AC420" i="10"/>
  <c r="AC477" i="10"/>
  <c r="AC614" i="10"/>
  <c r="AC862" i="10"/>
  <c r="AC834" i="10"/>
  <c r="AC818" i="10"/>
  <c r="AC448" i="10"/>
  <c r="AC440" i="10"/>
  <c r="AC488" i="10"/>
  <c r="AC472" i="10"/>
  <c r="AC456" i="10"/>
  <c r="AC554" i="10"/>
  <c r="AC538" i="10"/>
  <c r="AC522" i="10"/>
  <c r="AC506" i="10"/>
  <c r="AC1021" i="10"/>
  <c r="AC952" i="10"/>
  <c r="AC646" i="10"/>
  <c r="AC594" i="10"/>
  <c r="AC858" i="10"/>
  <c r="AC421" i="10"/>
  <c r="AC475" i="10"/>
  <c r="AC652" i="10"/>
  <c r="AC636" i="10"/>
  <c r="AC620" i="10"/>
  <c r="AC604" i="10"/>
  <c r="AC588" i="10"/>
  <c r="AC1013" i="10"/>
  <c r="AC626" i="10"/>
  <c r="AC590" i="10"/>
  <c r="AC876" i="10"/>
  <c r="AC814" i="10"/>
  <c r="AC431" i="10"/>
  <c r="AC418" i="10"/>
  <c r="AC474" i="10"/>
  <c r="AC458" i="10"/>
  <c r="AC556" i="10"/>
  <c r="AC540" i="10"/>
  <c r="AC524" i="10"/>
  <c r="AC508" i="10"/>
  <c r="AC1012" i="10"/>
  <c r="AC647" i="10"/>
  <c r="AC639" i="10"/>
  <c r="AC631" i="10"/>
  <c r="AC623" i="10"/>
  <c r="AC615" i="10"/>
  <c r="AC607" i="10"/>
  <c r="AC599" i="10"/>
  <c r="AC591" i="10"/>
  <c r="AC583" i="10"/>
  <c r="AC573" i="10"/>
  <c r="AC1003" i="10"/>
  <c r="AC879" i="10"/>
  <c r="AC461" i="10"/>
  <c r="AC567" i="10"/>
  <c r="AC559" i="10"/>
  <c r="AC551" i="10"/>
  <c r="AC543" i="10"/>
  <c r="AC535" i="10"/>
  <c r="AC527" i="10"/>
  <c r="AC519" i="10"/>
  <c r="AC511" i="10"/>
  <c r="AC503" i="10"/>
  <c r="AC495" i="10"/>
  <c r="AC1024" i="10"/>
  <c r="AC988" i="10"/>
  <c r="AC874" i="10"/>
  <c r="AC718" i="10"/>
  <c r="AC710" i="10"/>
  <c r="AC702" i="10"/>
  <c r="AC694" i="10"/>
  <c r="AC686" i="10"/>
  <c r="AC678" i="10"/>
  <c r="AC670" i="10"/>
  <c r="AC662" i="10"/>
  <c r="AC654" i="10"/>
  <c r="AC1015" i="10"/>
  <c r="AC968" i="10"/>
  <c r="AC897" i="10"/>
  <c r="AC881" i="10"/>
  <c r="AC866" i="10"/>
  <c r="AC983" i="10"/>
  <c r="AC967" i="10"/>
  <c r="AC953" i="10"/>
  <c r="AC940" i="10"/>
  <c r="AC932" i="10"/>
  <c r="AC924" i="10"/>
  <c r="AC916" i="10"/>
  <c r="AC908" i="10"/>
  <c r="AC892" i="10"/>
  <c r="AC907" i="10"/>
  <c r="AC891" i="10"/>
  <c r="AC1022" i="10"/>
  <c r="AC1006" i="10"/>
  <c r="AC990" i="10"/>
  <c r="AC974" i="10"/>
  <c r="AC958" i="10"/>
  <c r="AC898" i="10"/>
  <c r="AC882" i="10"/>
  <c r="AC847" i="10"/>
  <c r="AC831" i="10"/>
  <c r="AC815" i="10"/>
  <c r="AC861" i="10"/>
  <c r="AC845" i="10"/>
  <c r="AC829" i="10"/>
  <c r="AC813" i="10"/>
  <c r="AC856" i="10"/>
  <c r="AC840" i="10"/>
  <c r="AC824" i="10"/>
  <c r="AC808" i="10"/>
  <c r="AC798" i="10"/>
  <c r="AC790" i="10"/>
  <c r="AC782" i="10"/>
  <c r="AC774" i="10"/>
  <c r="AC766" i="10"/>
  <c r="AC758" i="10"/>
  <c r="AC750" i="10"/>
  <c r="AC742" i="10"/>
  <c r="AC734" i="10"/>
  <c r="AC726" i="10"/>
  <c r="AC432" i="10"/>
  <c r="AC514" i="10"/>
  <c r="AC473" i="10"/>
  <c r="AC429" i="10"/>
  <c r="AC644" i="10"/>
  <c r="AC596" i="10"/>
  <c r="AC606" i="10"/>
  <c r="AC806" i="10"/>
  <c r="AC466" i="10"/>
  <c r="AC516" i="10"/>
  <c r="AC643" i="10"/>
  <c r="AC619" i="10"/>
  <c r="AC587" i="10"/>
  <c r="AC976" i="10"/>
  <c r="AC563" i="10"/>
  <c r="AC539" i="10"/>
  <c r="AC515" i="10"/>
  <c r="AC1008" i="10"/>
  <c r="AC714" i="10"/>
  <c r="AC690" i="10"/>
  <c r="AC666" i="10"/>
  <c r="AC999" i="10"/>
  <c r="AC873" i="10"/>
  <c r="AC959" i="10"/>
  <c r="AC928" i="10"/>
  <c r="AC900" i="10"/>
  <c r="AC883" i="10"/>
  <c r="AC982" i="10"/>
  <c r="AC890" i="10"/>
  <c r="AC823" i="10"/>
  <c r="AC837" i="10"/>
  <c r="AC848" i="10"/>
  <c r="AC802" i="10"/>
  <c r="AC786" i="10"/>
  <c r="AC762" i="10"/>
  <c r="AC738" i="10"/>
  <c r="AC422" i="10"/>
  <c r="AC434" i="10"/>
  <c r="AC650" i="10"/>
  <c r="AC610" i="10"/>
  <c r="AC850" i="10"/>
  <c r="AC830" i="10"/>
  <c r="AC454" i="10"/>
  <c r="AC446" i="10"/>
  <c r="AC438" i="10"/>
  <c r="AC484" i="10"/>
  <c r="AC468" i="10"/>
  <c r="AC566" i="10"/>
  <c r="AC550" i="10"/>
  <c r="AC534" i="10"/>
  <c r="AC518" i="10"/>
  <c r="AC502" i="10"/>
  <c r="AC996" i="10"/>
  <c r="AC485" i="10"/>
  <c r="AC634" i="10"/>
  <c r="AC1004" i="10"/>
  <c r="AC433" i="10"/>
  <c r="AC487" i="10"/>
  <c r="AC471" i="10"/>
  <c r="AC648" i="10"/>
  <c r="AC632" i="10"/>
  <c r="AC616" i="10"/>
  <c r="AC600" i="10"/>
  <c r="AC584" i="10"/>
  <c r="AC481" i="10"/>
  <c r="AC618" i="10"/>
  <c r="AC578" i="10"/>
  <c r="AC868" i="10"/>
  <c r="AC810" i="10"/>
  <c r="AC427" i="10"/>
  <c r="AC486" i="10"/>
  <c r="AC470" i="10"/>
  <c r="AC568" i="10"/>
  <c r="AC552" i="10"/>
  <c r="AC536" i="10"/>
  <c r="AC520" i="10"/>
  <c r="AC504" i="10"/>
  <c r="AC1005" i="10"/>
  <c r="AC645" i="10"/>
  <c r="AC637" i="10"/>
  <c r="AC629" i="10"/>
  <c r="AC621" i="10"/>
  <c r="AC613" i="10"/>
  <c r="AC605" i="10"/>
  <c r="AC597" i="10"/>
  <c r="AC589" i="10"/>
  <c r="AC581" i="10"/>
  <c r="AC569" i="10"/>
  <c r="AC992" i="10"/>
  <c r="AC875" i="10"/>
  <c r="AC459" i="10"/>
  <c r="AC565" i="10"/>
  <c r="AC557" i="10"/>
  <c r="AC549" i="10"/>
  <c r="AC541" i="10"/>
  <c r="AC533" i="10"/>
  <c r="AC525" i="10"/>
  <c r="AC517" i="10"/>
  <c r="AC509" i="10"/>
  <c r="AC501" i="10"/>
  <c r="AC493" i="10"/>
  <c r="AC1016" i="10"/>
  <c r="AC972" i="10"/>
  <c r="AC870" i="10"/>
  <c r="AC716" i="10"/>
  <c r="AC708" i="10"/>
  <c r="AC700" i="10"/>
  <c r="AC692" i="10"/>
  <c r="AC684" i="10"/>
  <c r="AC676" i="10"/>
  <c r="AC668" i="10"/>
  <c r="AC660" i="10"/>
  <c r="AC575" i="10"/>
  <c r="AC1007" i="10"/>
  <c r="AC950" i="10"/>
  <c r="AC893" i="10"/>
  <c r="AC877" i="10"/>
  <c r="AC995" i="10"/>
  <c r="AC979" i="10"/>
  <c r="AC963" i="10"/>
  <c r="AC946" i="10"/>
  <c r="AC938" i="10"/>
  <c r="AC930" i="10"/>
  <c r="AC922" i="10"/>
  <c r="AC914" i="10"/>
  <c r="AC904" i="10"/>
  <c r="AC888" i="10"/>
  <c r="AC903" i="10"/>
  <c r="AC887" i="10"/>
  <c r="AC1018" i="10"/>
  <c r="AC1002" i="10"/>
  <c r="AC986" i="10"/>
  <c r="AC970" i="10"/>
  <c r="AC954" i="10"/>
  <c r="AC894" i="10"/>
  <c r="AC859" i="10"/>
  <c r="AC843" i="10"/>
  <c r="AC827" i="10"/>
  <c r="AC811" i="10"/>
  <c r="AC857" i="10"/>
  <c r="AC841" i="10"/>
  <c r="AC825" i="10"/>
  <c r="AC809" i="10"/>
  <c r="AC852" i="10"/>
  <c r="AC836" i="10"/>
  <c r="AC820" i="10"/>
  <c r="AC804" i="10"/>
  <c r="AC796" i="10"/>
  <c r="AC788" i="10"/>
  <c r="AC780" i="10"/>
  <c r="AC772" i="10"/>
  <c r="AC764" i="10"/>
  <c r="AC756" i="10"/>
  <c r="AC748" i="10"/>
  <c r="AC740" i="10"/>
  <c r="AC732" i="10"/>
  <c r="AC724" i="10"/>
  <c r="AC428" i="10"/>
  <c r="AC586" i="10"/>
  <c r="AC846" i="10"/>
  <c r="AC826" i="10"/>
  <c r="AC452" i="10"/>
  <c r="AC444" i="10"/>
  <c r="AC436" i="10"/>
  <c r="AC480" i="10"/>
  <c r="AC464" i="10"/>
  <c r="AC562" i="10"/>
  <c r="AC546" i="10"/>
  <c r="AC530" i="10"/>
  <c r="AC980" i="10"/>
  <c r="AC880" i="10"/>
  <c r="AC467" i="10"/>
  <c r="AC628" i="10"/>
  <c r="AC580" i="10"/>
  <c r="AC574" i="10"/>
  <c r="AC423" i="10"/>
  <c r="AC564" i="10"/>
  <c r="AC532" i="10"/>
  <c r="AC651" i="10"/>
  <c r="AC627" i="10"/>
  <c r="AC603" i="10"/>
  <c r="AC579" i="10"/>
  <c r="AC871" i="10"/>
  <c r="AC555" i="10"/>
  <c r="AC531" i="10"/>
  <c r="AC507" i="10"/>
  <c r="AC576" i="10"/>
  <c r="AC956" i="10"/>
  <c r="AC706" i="10"/>
  <c r="AC682" i="10"/>
  <c r="AC658" i="10"/>
  <c r="AC905" i="10"/>
  <c r="AC991" i="10"/>
  <c r="AC944" i="10"/>
  <c r="AC920" i="10"/>
  <c r="AC884" i="10"/>
  <c r="AC1014" i="10"/>
  <c r="AC966" i="10"/>
  <c r="AC855" i="10"/>
  <c r="AC807" i="10"/>
  <c r="AC821" i="10"/>
  <c r="AC832" i="10"/>
  <c r="AC794" i="10"/>
  <c r="AC778" i="10"/>
  <c r="AC754" i="10"/>
  <c r="AC730" i="10"/>
  <c r="AC292" i="10"/>
  <c r="AC288" i="10"/>
  <c r="AC284" i="10"/>
  <c r="AC276" i="10"/>
  <c r="AC272" i="10"/>
  <c r="AC268" i="10"/>
  <c r="AC260" i="10"/>
  <c r="AC256" i="10"/>
  <c r="AC252" i="10"/>
  <c r="AC244" i="10"/>
  <c r="AC240" i="10"/>
  <c r="AC236" i="10"/>
  <c r="AC228" i="10"/>
  <c r="AC224" i="10"/>
  <c r="AC220" i="10"/>
  <c r="AC212" i="10"/>
  <c r="AC208" i="10"/>
  <c r="AC204" i="10"/>
  <c r="AC196" i="10"/>
  <c r="AC192" i="10"/>
  <c r="AC188" i="10"/>
  <c r="AC180" i="10"/>
  <c r="AC176" i="10"/>
  <c r="AC172" i="10"/>
  <c r="AC164" i="10"/>
  <c r="AC160" i="10"/>
  <c r="AC156" i="10"/>
  <c r="AC148" i="10"/>
  <c r="AC144" i="10"/>
  <c r="AC140" i="10"/>
  <c r="AC132" i="10"/>
  <c r="AC128" i="10"/>
  <c r="AC124" i="10"/>
  <c r="AC116" i="10"/>
  <c r="AC112" i="10"/>
  <c r="AC108" i="10"/>
  <c r="AC100" i="10"/>
  <c r="AC96" i="10"/>
  <c r="AC92" i="10"/>
  <c r="AC84" i="10"/>
  <c r="AC80" i="10"/>
  <c r="AC76" i="10"/>
  <c r="AC68" i="10"/>
  <c r="AC64" i="10"/>
  <c r="AC60" i="10"/>
  <c r="AC52" i="10"/>
  <c r="AC48" i="10"/>
  <c r="AC44" i="10"/>
  <c r="AC36" i="10"/>
  <c r="AC32" i="10"/>
  <c r="AC28" i="10"/>
  <c r="AC346" i="10"/>
  <c r="AC342" i="10"/>
  <c r="AC338" i="10"/>
  <c r="AC334" i="10"/>
  <c r="AC330" i="10"/>
  <c r="AC326" i="10"/>
  <c r="AC322" i="10"/>
  <c r="AC318" i="10"/>
  <c r="AC314" i="10"/>
  <c r="AC310" i="10"/>
  <c r="AC306" i="10"/>
  <c r="AC302" i="10"/>
  <c r="AC298" i="10"/>
  <c r="AC294" i="10"/>
  <c r="AC290" i="10"/>
  <c r="AC286" i="10"/>
  <c r="AC282" i="10"/>
  <c r="AC278" i="10"/>
  <c r="AC274" i="10"/>
  <c r="AC270" i="10"/>
  <c r="AC266" i="10"/>
  <c r="AC262" i="10"/>
  <c r="AC258" i="10"/>
  <c r="AC254" i="10"/>
  <c r="AC250" i="10"/>
  <c r="AC246" i="10"/>
  <c r="AC242" i="10"/>
  <c r="AC238" i="10"/>
  <c r="AC234" i="10"/>
  <c r="AC230" i="10"/>
  <c r="AC226" i="10"/>
  <c r="AC222" i="10"/>
  <c r="AC218" i="10"/>
  <c r="AC214" i="10"/>
  <c r="AC210" i="10"/>
  <c r="AC206" i="10"/>
  <c r="AC202" i="10"/>
  <c r="AC198" i="10"/>
  <c r="AC194" i="10"/>
  <c r="AC190" i="10"/>
  <c r="AC186" i="10"/>
  <c r="AC182" i="10"/>
  <c r="AC178" i="10"/>
  <c r="AC174" i="10"/>
  <c r="AC170" i="10"/>
  <c r="AC166" i="10"/>
  <c r="AC162" i="10"/>
  <c r="AC158" i="10"/>
  <c r="AC154" i="10"/>
  <c r="AC150" i="10"/>
  <c r="AC146" i="10"/>
  <c r="AC142" i="10"/>
  <c r="AC138" i="10"/>
  <c r="AC134" i="10"/>
  <c r="AC130" i="10"/>
  <c r="AC126" i="10"/>
  <c r="AC122" i="10"/>
  <c r="AC118" i="10"/>
  <c r="AC114" i="10"/>
  <c r="AC110" i="10"/>
  <c r="AC106" i="10"/>
  <c r="AC102" i="10"/>
  <c r="AC98" i="10"/>
  <c r="AC94" i="10"/>
  <c r="AC90" i="10"/>
  <c r="AC86" i="10"/>
  <c r="AC82" i="10"/>
  <c r="AC78" i="10"/>
  <c r="AC74" i="10"/>
  <c r="AC70" i="10"/>
  <c r="AC66" i="10"/>
  <c r="AC62" i="10"/>
  <c r="AC58" i="10"/>
  <c r="AC54" i="10"/>
  <c r="AC50" i="10"/>
  <c r="AC46" i="10"/>
  <c r="AC42" i="10"/>
  <c r="AC38" i="10"/>
  <c r="AC34" i="10"/>
  <c r="AC30" i="10"/>
  <c r="AC296" i="10"/>
  <c r="AC280" i="10"/>
  <c r="AC264" i="10"/>
  <c r="AC248" i="10"/>
  <c r="AC232" i="10"/>
  <c r="AC216" i="10"/>
  <c r="AC200" i="10"/>
  <c r="AC184" i="10"/>
  <c r="AC168" i="10"/>
  <c r="AC152" i="10"/>
  <c r="AC136" i="10"/>
  <c r="AC120" i="10"/>
  <c r="AC104" i="10"/>
  <c r="AC88" i="10"/>
  <c r="AC72" i="10"/>
  <c r="AC56" i="10"/>
  <c r="AC40" i="10"/>
  <c r="AC21" i="10"/>
  <c r="AC24" i="10"/>
  <c r="T24" i="10" s="1"/>
  <c r="AC23" i="10"/>
  <c r="T23" i="10" s="1"/>
  <c r="AC22" i="10"/>
  <c r="T22" i="10" s="1"/>
  <c r="AC18" i="10"/>
  <c r="T18" i="10" s="1"/>
  <c r="AC20" i="10"/>
  <c r="T20" i="10" s="1"/>
  <c r="Z19" i="10"/>
  <c r="AA19" i="10" s="1"/>
  <c r="P10" i="10" s="1"/>
  <c r="T8" i="10" s="1"/>
  <c r="T9" i="10" s="1"/>
  <c r="AC19" i="10"/>
  <c r="T19" i="10" s="1"/>
  <c r="T26" i="10"/>
  <c r="T21" i="10"/>
  <c r="T25" i="10"/>
  <c r="Q11" i="8"/>
  <c r="Q9" i="8"/>
  <c r="M24" i="17"/>
  <c r="Q7" i="2"/>
  <c r="M7" i="2"/>
  <c r="N7" i="2"/>
  <c r="O7" i="2"/>
  <c r="P7" i="2"/>
  <c r="R7" i="2"/>
  <c r="S7" i="2"/>
  <c r="T7" i="2"/>
  <c r="U7" i="2"/>
  <c r="V7" i="2"/>
  <c r="L5" i="2"/>
  <c r="N4" i="2"/>
  <c r="H31" i="8"/>
  <c r="I31" i="8" l="1"/>
  <c r="M31" i="8" s="1"/>
  <c r="Q10" i="8" s="1"/>
  <c r="M25" i="17" s="1"/>
  <c r="M23" i="17"/>
  <c r="P13" i="10"/>
  <c r="U18" i="10"/>
  <c r="O13" i="10"/>
  <c r="U26" i="10"/>
  <c r="U25" i="10"/>
  <c r="U22" i="10"/>
  <c r="U24" i="10"/>
  <c r="U23" i="10"/>
  <c r="U8" i="10" l="1"/>
  <c r="M22" i="17" s="1"/>
  <c r="U6" i="10"/>
  <c r="U19" i="10"/>
  <c r="U21" i="10"/>
  <c r="U20" i="10"/>
  <c r="U7" i="10"/>
  <c r="C2" i="6"/>
  <c r="E1" i="8"/>
  <c r="C3" i="3"/>
  <c r="C2" i="3"/>
  <c r="C1" i="10"/>
  <c r="C2" i="11"/>
  <c r="C1" i="11"/>
  <c r="B2" i="2"/>
  <c r="B1" i="2"/>
  <c r="V11" i="8"/>
  <c r="M20" i="17" l="1"/>
  <c r="U9" i="10"/>
  <c r="AI11" i="8"/>
  <c r="AL11" i="8" s="1"/>
  <c r="AB18" i="8" s="1"/>
  <c r="M19" i="17"/>
  <c r="AK11" i="8" l="1"/>
  <c r="Z18" i="8" s="1"/>
  <c r="V1" i="2"/>
  <c r="I1" i="11"/>
  <c r="E4" i="11"/>
  <c r="K13" i="10" l="1"/>
  <c r="B54" i="9" l="1"/>
  <c r="B69" i="9"/>
  <c r="B52" i="9"/>
  <c r="B67" i="9"/>
  <c r="B53" i="9"/>
  <c r="B68" i="9"/>
  <c r="AA69" i="9" l="1"/>
  <c r="S69" i="9"/>
  <c r="M69" i="9"/>
  <c r="H69" i="9"/>
  <c r="C69" i="9"/>
  <c r="AH69" i="9"/>
  <c r="Z69" i="9"/>
  <c r="Q69" i="9"/>
  <c r="L69" i="9"/>
  <c r="G69" i="9"/>
  <c r="AE69" i="9"/>
  <c r="V69" i="9"/>
  <c r="P69" i="9"/>
  <c r="K69" i="9"/>
  <c r="F69" i="9"/>
  <c r="AC69" i="9"/>
  <c r="T69" i="9"/>
  <c r="O69" i="9"/>
  <c r="I69" i="9"/>
  <c r="D69" i="9"/>
  <c r="D54" i="9"/>
  <c r="H54" i="9"/>
  <c r="AB16" i="21" s="1"/>
  <c r="C54" i="9"/>
  <c r="G54" i="9"/>
  <c r="F54" i="9"/>
  <c r="AA68" i="9"/>
  <c r="S68" i="9"/>
  <c r="M68" i="9"/>
  <c r="H68" i="9"/>
  <c r="C68" i="9"/>
  <c r="AH68" i="9"/>
  <c r="Z68" i="9"/>
  <c r="Q68" i="9"/>
  <c r="L68" i="9"/>
  <c r="G68" i="9"/>
  <c r="AE68" i="9"/>
  <c r="V68" i="9"/>
  <c r="P68" i="9"/>
  <c r="K68" i="9"/>
  <c r="F68" i="9"/>
  <c r="AC68" i="9"/>
  <c r="T68" i="9"/>
  <c r="O68" i="9"/>
  <c r="I68" i="9"/>
  <c r="D68" i="9"/>
  <c r="L53" i="9"/>
  <c r="F53" i="9"/>
  <c r="D53" i="9"/>
  <c r="H53" i="9"/>
  <c r="C53" i="9"/>
  <c r="G53" i="9"/>
  <c r="K52" i="9"/>
  <c r="Y14" i="21" s="1"/>
  <c r="AL14" i="21" s="1"/>
  <c r="F52" i="9"/>
  <c r="D52" i="9"/>
  <c r="H52" i="9"/>
  <c r="C52" i="9"/>
  <c r="G52" i="9"/>
  <c r="AH67" i="9"/>
  <c r="Z67" i="9"/>
  <c r="Q67" i="9"/>
  <c r="L67" i="9"/>
  <c r="G67" i="9"/>
  <c r="AA67" i="9"/>
  <c r="L51" i="8" s="1"/>
  <c r="H67" i="9"/>
  <c r="AE67" i="9"/>
  <c r="V67" i="9"/>
  <c r="P67" i="9"/>
  <c r="K67" i="9"/>
  <c r="F67" i="9"/>
  <c r="S67" i="9"/>
  <c r="C67" i="9"/>
  <c r="AC67" i="9"/>
  <c r="T67" i="9"/>
  <c r="O67" i="9"/>
  <c r="I67" i="9"/>
  <c r="D67" i="9"/>
  <c r="M67" i="9"/>
  <c r="P53" i="9"/>
  <c r="M54" i="9"/>
  <c r="L54" i="9"/>
  <c r="O53" i="9"/>
  <c r="M53" i="9"/>
  <c r="K53" i="9"/>
  <c r="I53" i="9"/>
  <c r="P54" i="9"/>
  <c r="I54" i="9"/>
  <c r="K54" i="9"/>
  <c r="O54" i="9"/>
  <c r="I52" i="9"/>
  <c r="L52" i="9"/>
  <c r="P52" i="9"/>
  <c r="O52" i="9"/>
  <c r="M52" i="9"/>
  <c r="L39" i="1"/>
  <c r="L40" i="1"/>
  <c r="J38" i="1"/>
  <c r="W28" i="9" s="1"/>
  <c r="AC14" i="8" l="1"/>
  <c r="Z12" i="8"/>
  <c r="AM12" i="8" s="1"/>
  <c r="AC19" i="8" s="1"/>
  <c r="V14" i="8"/>
  <c r="AK14" i="8" s="1"/>
  <c r="Z21" i="8" s="1"/>
  <c r="U16" i="21"/>
  <c r="W14" i="8"/>
  <c r="V16" i="21"/>
  <c r="X14" i="8"/>
  <c r="W16" i="21"/>
  <c r="Z14" i="8"/>
  <c r="AM14" i="8" s="1"/>
  <c r="AC21" i="8" s="1"/>
  <c r="Y16" i="21"/>
  <c r="AL16" i="21" s="1"/>
  <c r="Y14" i="8"/>
  <c r="X16" i="21"/>
  <c r="AC13" i="8"/>
  <c r="AB15" i="21"/>
  <c r="W13" i="8"/>
  <c r="V15" i="21"/>
  <c r="Y13" i="8"/>
  <c r="X15" i="21"/>
  <c r="V13" i="8"/>
  <c r="AK13" i="8" s="1"/>
  <c r="Z20" i="8" s="1"/>
  <c r="U15" i="21"/>
  <c r="X13" i="8"/>
  <c r="W15" i="21"/>
  <c r="Z13" i="8"/>
  <c r="AM13" i="8" s="1"/>
  <c r="AC20" i="8" s="1"/>
  <c r="Y15" i="21"/>
  <c r="AL15" i="21" s="1"/>
  <c r="AB21" i="21"/>
  <c r="AM14" i="21"/>
  <c r="AE21" i="21" s="1"/>
  <c r="Y12" i="8"/>
  <c r="X14" i="21"/>
  <c r="W12" i="8"/>
  <c r="V14" i="21"/>
  <c r="V12" i="8"/>
  <c r="U14" i="21"/>
  <c r="AC12" i="8"/>
  <c r="AB14" i="21"/>
  <c r="X12" i="8"/>
  <c r="W14" i="21"/>
  <c r="H62" i="8"/>
  <c r="D58" i="8"/>
  <c r="AF12" i="8"/>
  <c r="AE14" i="21"/>
  <c r="AG14" i="8"/>
  <c r="AF16" i="21"/>
  <c r="AH13" i="8"/>
  <c r="AG15" i="21"/>
  <c r="H58" i="8"/>
  <c r="D59" i="8"/>
  <c r="E58" i="8"/>
  <c r="AG12" i="8"/>
  <c r="AF14" i="21"/>
  <c r="AD13" i="8"/>
  <c r="AC15" i="21"/>
  <c r="L49" i="8"/>
  <c r="E59" i="8"/>
  <c r="L53" i="8"/>
  <c r="O52" i="8"/>
  <c r="M51" i="8"/>
  <c r="AD12" i="8"/>
  <c r="AC14" i="21"/>
  <c r="L58" i="8"/>
  <c r="N58" i="8"/>
  <c r="M61" i="8"/>
  <c r="N62" i="8"/>
  <c r="O60" i="8"/>
  <c r="AG13" i="8"/>
  <c r="AF15" i="21"/>
  <c r="AF13" i="8"/>
  <c r="AE15" i="21"/>
  <c r="F59" i="8"/>
  <c r="H61" i="8"/>
  <c r="D60" i="8"/>
  <c r="N49" i="8"/>
  <c r="L50" i="8"/>
  <c r="L52" i="8"/>
  <c r="O53" i="8"/>
  <c r="AH14" i="8"/>
  <c r="AG16" i="21"/>
  <c r="L62" i="8"/>
  <c r="O61" i="8"/>
  <c r="M59" i="8"/>
  <c r="N61" i="8"/>
  <c r="O50" i="8"/>
  <c r="N59" i="8"/>
  <c r="D62" i="8"/>
  <c r="N52" i="8"/>
  <c r="N50" i="8"/>
  <c r="M49" i="8"/>
  <c r="M50" i="8"/>
  <c r="O59" i="8"/>
  <c r="L59" i="8"/>
  <c r="M58" i="8"/>
  <c r="M60" i="8"/>
  <c r="O62" i="8"/>
  <c r="F60" i="8"/>
  <c r="O49" i="8"/>
  <c r="N53" i="8"/>
  <c r="N51" i="8"/>
  <c r="M53" i="8"/>
  <c r="O51" i="8"/>
  <c r="AH12" i="8"/>
  <c r="AG14" i="21"/>
  <c r="AF14" i="8"/>
  <c r="AE16" i="21"/>
  <c r="AD14" i="8"/>
  <c r="AC16" i="21"/>
  <c r="L61" i="8"/>
  <c r="P39" i="21"/>
  <c r="O58" i="8"/>
  <c r="M62" i="8"/>
  <c r="N60" i="8"/>
  <c r="M52" i="8"/>
  <c r="L60" i="8"/>
  <c r="E61" i="8"/>
  <c r="I39" i="21"/>
  <c r="P70" i="9"/>
  <c r="F62" i="8"/>
  <c r="AC70" i="9"/>
  <c r="E60" i="8"/>
  <c r="AH70" i="9"/>
  <c r="H60" i="8"/>
  <c r="H70" i="9"/>
  <c r="D61" i="8"/>
  <c r="O70" i="9"/>
  <c r="E62" i="8"/>
  <c r="Z70" i="9"/>
  <c r="H59" i="8"/>
  <c r="K70" i="9"/>
  <c r="F61" i="8"/>
  <c r="F70" i="9"/>
  <c r="F58" i="8"/>
  <c r="S70" i="9"/>
  <c r="T70" i="9"/>
  <c r="Q70" i="9"/>
  <c r="D70" i="9"/>
  <c r="L70" i="9"/>
  <c r="AE70" i="9"/>
  <c r="AA70" i="9"/>
  <c r="C70" i="9"/>
  <c r="G70" i="9"/>
  <c r="M70" i="9"/>
  <c r="I70" i="9"/>
  <c r="W70" i="9"/>
  <c r="V70" i="9"/>
  <c r="Y28" i="9"/>
  <c r="E33" i="8"/>
  <c r="K11" i="8"/>
  <c r="H11" i="8"/>
  <c r="K10" i="8"/>
  <c r="H10" i="8"/>
  <c r="U29" i="9"/>
  <c r="D34" i="8" s="1"/>
  <c r="U28" i="9"/>
  <c r="D33" i="8" s="1"/>
  <c r="U27" i="9"/>
  <c r="D32" i="8" s="1"/>
  <c r="U26" i="9"/>
  <c r="D31" i="8" s="1"/>
  <c r="P61" i="8" l="1"/>
  <c r="P51" i="8"/>
  <c r="P49" i="8"/>
  <c r="AI14" i="8"/>
  <c r="AL14" i="8" s="1"/>
  <c r="AB21" i="8" s="1"/>
  <c r="P53" i="8"/>
  <c r="L54" i="8"/>
  <c r="AI12" i="8"/>
  <c r="AL12" i="8" s="1"/>
  <c r="AB19" i="8" s="1"/>
  <c r="AB23" i="21"/>
  <c r="AM16" i="21"/>
  <c r="AE23" i="21" s="1"/>
  <c r="AJ16" i="21"/>
  <c r="Y23" i="21" s="1"/>
  <c r="AH16" i="21"/>
  <c r="AK16" i="21" s="1"/>
  <c r="AA23" i="21" s="1"/>
  <c r="P60" i="8"/>
  <c r="O63" i="8"/>
  <c r="P59" i="8"/>
  <c r="P62" i="8"/>
  <c r="AI13" i="8"/>
  <c r="AL13" i="8" s="1"/>
  <c r="AB20" i="8" s="1"/>
  <c r="AM15" i="21"/>
  <c r="AE22" i="21" s="1"/>
  <c r="AB22" i="21"/>
  <c r="AJ15" i="21"/>
  <c r="Y22" i="21" s="1"/>
  <c r="AH15" i="21"/>
  <c r="AK15" i="21" s="1"/>
  <c r="AA22" i="21" s="1"/>
  <c r="AJ14" i="21"/>
  <c r="Y21" i="21" s="1"/>
  <c r="AH14" i="21"/>
  <c r="AK14" i="21" s="1"/>
  <c r="AA21" i="21" s="1"/>
  <c r="P52" i="8"/>
  <c r="M54" i="8"/>
  <c r="N54" i="8"/>
  <c r="M63" i="8"/>
  <c r="P50" i="8"/>
  <c r="P58" i="8"/>
  <c r="L63" i="8"/>
  <c r="O54" i="8"/>
  <c r="I36" i="21"/>
  <c r="M41" i="21"/>
  <c r="L41" i="21"/>
  <c r="P36" i="21"/>
  <c r="I59" i="8"/>
  <c r="D63" i="8"/>
  <c r="P38" i="21"/>
  <c r="O41" i="21"/>
  <c r="I37" i="21"/>
  <c r="N63" i="8"/>
  <c r="P37" i="21"/>
  <c r="P40" i="21"/>
  <c r="I38" i="21"/>
  <c r="N41" i="21"/>
  <c r="AK12" i="8"/>
  <c r="Z19" i="8" s="1"/>
  <c r="H63" i="8"/>
  <c r="I60" i="8"/>
  <c r="E63" i="8"/>
  <c r="F63" i="8"/>
  <c r="I62" i="8"/>
  <c r="I58" i="8"/>
  <c r="I61" i="8"/>
  <c r="R10" i="9"/>
  <c r="P54" i="8" l="1"/>
  <c r="P63" i="8"/>
  <c r="P32" i="21"/>
  <c r="P41" i="21"/>
  <c r="I41" i="21"/>
  <c r="I63" i="8"/>
  <c r="G2" i="3" l="1"/>
  <c r="T1" i="10"/>
  <c r="AN14" i="8" l="1"/>
  <c r="AF21" i="8" s="1"/>
  <c r="Z11" i="8" l="1"/>
  <c r="AM11" i="8" s="1"/>
  <c r="AC18" i="8" s="1"/>
  <c r="AN12" i="8"/>
  <c r="AF19" i="8" s="1"/>
  <c r="Q18" i="9"/>
  <c r="AN11" i="8" l="1"/>
  <c r="S14" i="17"/>
  <c r="S10" i="17"/>
  <c r="S16" i="17"/>
  <c r="S15" i="17"/>
  <c r="AN13" i="8"/>
  <c r="AL1" i="8"/>
  <c r="S11" i="17" l="1"/>
  <c r="AF20" i="8"/>
  <c r="S13" i="17" s="1"/>
  <c r="AF18" i="8"/>
  <c r="S9" i="17" s="1"/>
  <c r="S12" i="17"/>
  <c r="L31" i="8"/>
  <c r="K31" i="8" s="1"/>
  <c r="Q12" i="8" s="1"/>
  <c r="M25" i="9" l="1"/>
  <c r="O25" i="9" s="1"/>
  <c r="M24" i="9"/>
  <c r="O24" i="9" s="1"/>
  <c r="M31" i="9"/>
  <c r="O31" i="9" s="1"/>
  <c r="M30" i="9"/>
  <c r="O30" i="9" s="1"/>
  <c r="M29" i="9"/>
  <c r="O29" i="9" s="1"/>
  <c r="H4" i="9"/>
  <c r="D30" i="9" l="1"/>
  <c r="K43" i="8" l="1"/>
  <c r="J43" i="8"/>
  <c r="I43" i="8" l="1"/>
  <c r="M43" i="8"/>
  <c r="O43" i="8" s="1"/>
  <c r="H43" i="8"/>
  <c r="L43" i="8"/>
  <c r="F19" i="8" l="1"/>
  <c r="F18" i="8"/>
  <c r="F22" i="8" s="1"/>
  <c r="D38" i="9"/>
  <c r="D37" i="9"/>
  <c r="D36" i="9"/>
  <c r="D35" i="9"/>
  <c r="D34" i="9"/>
  <c r="D33" i="9"/>
  <c r="D32" i="9"/>
  <c r="D31" i="9"/>
  <c r="K4" i="9"/>
  <c r="V8" i="2"/>
  <c r="O5" i="2"/>
  <c r="O4" i="2"/>
  <c r="N5" i="2"/>
  <c r="L5" i="9" l="1"/>
  <c r="L6" i="9"/>
  <c r="D39" i="9"/>
  <c r="H5" i="9"/>
  <c r="H7" i="9" s="1"/>
  <c r="Q20" i="9"/>
  <c r="Q19" i="9"/>
  <c r="S18" i="9" l="1"/>
  <c r="U18" i="9" s="1"/>
  <c r="S20" i="9"/>
  <c r="F20" i="8"/>
  <c r="N8" i="2" l="1"/>
  <c r="H9" i="8" l="1"/>
  <c r="H8" i="8"/>
  <c r="H7" i="8"/>
  <c r="H12" i="8"/>
  <c r="Q4" i="2" l="1"/>
  <c r="Q5" i="2"/>
  <c r="D6" i="9" l="1"/>
  <c r="D5" i="9"/>
  <c r="S19" i="9" l="1"/>
  <c r="U19" i="9" s="1"/>
  <c r="W18" i="9" s="1"/>
  <c r="U20" i="9"/>
  <c r="B25" i="9" l="1"/>
  <c r="B24" i="9"/>
  <c r="B23" i="9"/>
  <c r="B22" i="9"/>
  <c r="F22" i="9" l="1"/>
  <c r="G22" i="9" s="1"/>
  <c r="F9" i="17" l="1"/>
  <c r="G8" i="17"/>
  <c r="P29" i="9"/>
  <c r="P24" i="9"/>
  <c r="L4" i="9"/>
  <c r="M14" i="17" l="1"/>
  <c r="P32" i="9"/>
  <c r="O4" i="9" s="1"/>
  <c r="P4" i="9" s="1"/>
  <c r="U30" i="9"/>
  <c r="D35" i="8" s="1"/>
  <c r="J39" i="1"/>
  <c r="G22" i="17" s="1"/>
  <c r="V18" i="9"/>
  <c r="E2" i="8"/>
  <c r="F22" i="17" l="1"/>
  <c r="G23" i="17"/>
  <c r="W29" i="9"/>
  <c r="Y29" i="9" s="1"/>
  <c r="F21" i="17"/>
  <c r="F37" i="1"/>
  <c r="G15" i="17" s="1"/>
  <c r="I18" i="8"/>
  <c r="I19" i="8"/>
  <c r="N19" i="8" l="1"/>
  <c r="O19" i="8" s="1"/>
  <c r="E34" i="8"/>
  <c r="W27" i="9"/>
  <c r="E32" i="8" s="1"/>
  <c r="F39" i="1"/>
  <c r="I20" i="8"/>
  <c r="F36" i="1"/>
  <c r="K20" i="8"/>
  <c r="M20" i="8" s="1"/>
  <c r="M17" i="17" l="1"/>
  <c r="N20" i="8"/>
  <c r="Q20" i="8"/>
  <c r="J36" i="1"/>
  <c r="G11" i="17" s="1"/>
  <c r="M8" i="17"/>
  <c r="Y27" i="9"/>
  <c r="K34" i="8"/>
  <c r="L34" i="8" s="1"/>
  <c r="F40" i="1"/>
  <c r="W30" i="9" s="1"/>
  <c r="K19" i="8"/>
  <c r="M19" i="8" s="1"/>
  <c r="I21" i="8"/>
  <c r="I22" i="8"/>
  <c r="F21" i="8"/>
  <c r="M16" i="17" l="1"/>
  <c r="Q19" i="8"/>
  <c r="M9" i="17"/>
  <c r="O20" i="8"/>
  <c r="W26" i="9"/>
  <c r="E31" i="8" s="1"/>
  <c r="N22" i="8"/>
  <c r="O22" i="8" s="1"/>
  <c r="N21" i="8"/>
  <c r="F42" i="1"/>
  <c r="F43" i="1" s="1"/>
  <c r="Y30" i="9"/>
  <c r="E35" i="8"/>
  <c r="K18" i="8"/>
  <c r="M18" i="8" s="1"/>
  <c r="I23" i="8"/>
  <c r="I24" i="8" s="1"/>
  <c r="I25" i="8" s="1"/>
  <c r="C3" i="6"/>
  <c r="M15" i="17" l="1"/>
  <c r="N18" i="8"/>
  <c r="Q18" i="8"/>
  <c r="Y26" i="9"/>
  <c r="Y31" i="9" s="1"/>
  <c r="AA26" i="9" s="1"/>
  <c r="F31" i="8" s="1"/>
  <c r="O21" i="8"/>
  <c r="M10" i="17"/>
  <c r="K21" i="8"/>
  <c r="V5" i="2"/>
  <c r="U5" i="2"/>
  <c r="T5" i="2"/>
  <c r="S5" i="2"/>
  <c r="R5" i="2"/>
  <c r="P5" i="2"/>
  <c r="O31" i="8"/>
  <c r="V4" i="2"/>
  <c r="U4" i="2"/>
  <c r="T4" i="2"/>
  <c r="S4" i="2"/>
  <c r="R4" i="2"/>
  <c r="P4" i="2"/>
  <c r="K22" i="8" l="1"/>
  <c r="M22" i="8" s="1"/>
  <c r="Q22" i="8" s="1"/>
  <c r="M21" i="8"/>
  <c r="O18" i="8"/>
  <c r="M7" i="17"/>
  <c r="AA28" i="9"/>
  <c r="F33" i="8" s="1"/>
  <c r="AA29" i="9"/>
  <c r="F34" i="8" s="1"/>
  <c r="AA30" i="9"/>
  <c r="F35" i="8" s="1"/>
  <c r="AA27" i="9"/>
  <c r="F32" i="8" s="1"/>
  <c r="N31" i="8"/>
  <c r="Q31" i="8"/>
  <c r="O8" i="2"/>
  <c r="S8" i="2"/>
  <c r="R8" i="2"/>
  <c r="P8" i="2"/>
  <c r="T8" i="2"/>
  <c r="Q8" i="2"/>
  <c r="U8" i="2"/>
  <c r="M18" i="17" l="1"/>
  <c r="Q21" i="8"/>
  <c r="M23" i="8"/>
  <c r="M24" i="8" s="1"/>
  <c r="P31" i="8"/>
  <c r="S7" i="17"/>
  <c r="O23" i="8" l="1"/>
</calcChain>
</file>

<file path=xl/comments1.xml><?xml version="1.0" encoding="utf-8"?>
<comments xmlns="http://schemas.openxmlformats.org/spreadsheetml/2006/main">
  <authors>
    <author>Elmer Andres Vanegas</author>
  </authors>
  <commentList>
    <comment ref="B15" authorId="0" shapeId="0">
      <text>
        <r>
          <rPr>
            <sz val="9"/>
            <color indexed="81"/>
            <rFont val="Tahoma"/>
            <family val="2"/>
          </rPr>
          <t>Etapa del requerimiento en GA cuando es entregado a pruebas.</t>
        </r>
      </text>
    </comment>
    <comment ref="F15" authorId="0" shapeId="0">
      <text>
        <r>
          <rPr>
            <sz val="9"/>
            <color indexed="81"/>
            <rFont val="Tahoma"/>
            <family val="2"/>
          </rPr>
          <t>cantidad de requisitos o de funcionalidades del proyecto que serán probadas.</t>
        </r>
      </text>
    </comment>
    <comment ref="B16" authorId="0" shapeId="0">
      <text>
        <r>
          <rPr>
            <sz val="9"/>
            <color indexed="81"/>
            <rFont val="Tahoma"/>
            <family val="2"/>
          </rPr>
          <t>Fecha en que el requerimiento es asignado a analista de calidad para dar inicio a las pruebas.</t>
        </r>
      </text>
    </comment>
    <comment ref="F16" authorId="0" shapeId="0">
      <text>
        <r>
          <rPr>
            <sz val="9"/>
            <color indexed="81"/>
            <rFont val="Tahoma"/>
            <family val="2"/>
          </rPr>
          <t xml:space="preserve">¿Se requeren pruebas adicionales tales como:Rendimiento, Seguridad, Automatización...?
</t>
        </r>
      </text>
    </comment>
    <comment ref="B17" authorId="0" shapeId="0">
      <text>
        <r>
          <rPr>
            <sz val="9"/>
            <color indexed="81"/>
            <rFont val="Tahoma"/>
            <family val="2"/>
          </rPr>
          <t xml:space="preserve">Fecha en la que GA entrega a calidad la documentación del proyecto.
</t>
        </r>
      </text>
    </comment>
    <comment ref="F17" authorId="0" shapeId="0">
      <text>
        <r>
          <rPr>
            <sz val="9"/>
            <color indexed="81"/>
            <rFont val="Tahoma"/>
            <family val="2"/>
          </rPr>
          <t xml:space="preserve">Número de aplicativos que se tendran en cuenta en la prueba: AS400, Sufitel, Adminfo, SiifGráfico...
</t>
        </r>
      </text>
    </comment>
    <comment ref="B18" authorId="0" shapeId="0">
      <text>
        <r>
          <rPr>
            <sz val="9"/>
            <color indexed="81"/>
            <rFont val="Tahoma"/>
            <family val="2"/>
          </rPr>
          <t xml:space="preserve">Fecha en la que GA envía a calidad los casos de prueba del proveedor de desarrollo.
</t>
        </r>
      </text>
    </comment>
    <comment ref="F19" authorId="0" shapeId="0">
      <text>
        <r>
          <rPr>
            <sz val="9"/>
            <color indexed="81"/>
            <rFont val="Tahoma"/>
            <family val="2"/>
          </rPr>
          <t>Horas cotizadas por el proveedor de desarrollo.</t>
        </r>
      </text>
    </comment>
    <comment ref="B20" authorId="0" shapeId="0">
      <text>
        <r>
          <rPr>
            <sz val="9"/>
            <color indexed="81"/>
            <rFont val="Tahoma"/>
            <family val="2"/>
          </rPr>
          <t>Fecha estimada en la que GA realizará la entrega del ambiente.</t>
        </r>
      </text>
    </comment>
    <comment ref="B21" authorId="0" shapeId="0">
      <text>
        <r>
          <rPr>
            <sz val="9"/>
            <color indexed="81"/>
            <rFont val="Tahoma"/>
            <family val="2"/>
          </rPr>
          <t>Fecha en la que GA realiza la entrega del ambiente de pruebas.</t>
        </r>
      </text>
    </comment>
    <comment ref="B22" authorId="0" shapeId="0">
      <text>
        <r>
          <rPr>
            <sz val="9"/>
            <color indexed="81"/>
            <rFont val="Tahoma"/>
            <family val="2"/>
          </rPr>
          <t xml:space="preserve">De acuerdo al número de funcionalidades del proyecto, estimar el número de CP totales para la prueba.
</t>
        </r>
      </text>
    </comment>
    <comment ref="F22" authorId="0" shapeId="0">
      <text>
        <r>
          <rPr>
            <sz val="9"/>
            <color indexed="81"/>
            <rFont val="Tahoma"/>
            <family val="2"/>
          </rPr>
          <t>Número de casos de prueba que se reutilizaran.</t>
        </r>
      </text>
    </comment>
    <comment ref="G35" authorId="0" shapeId="0">
      <text>
        <r>
          <rPr>
            <sz val="9"/>
            <color indexed="81"/>
            <rFont val="Tahoma"/>
            <family val="2"/>
          </rPr>
          <t>Si la fecha estimada de inicio es menor a la fecha actual,  el campo se marca de color rojo.</t>
        </r>
      </text>
    </comment>
    <comment ref="I35" authorId="0" shapeId="0">
      <text>
        <r>
          <rPr>
            <sz val="9"/>
            <color indexed="81"/>
            <rFont val="Tahoma"/>
            <family val="2"/>
          </rPr>
          <t>Si la fecha real de inicio es mayor a la fecha estimada de inicio, el campo se marca de color rojo.</t>
        </r>
      </text>
    </comment>
    <comment ref="J35" authorId="0" shapeId="0">
      <text>
        <r>
          <rPr>
            <sz val="9"/>
            <color indexed="81"/>
            <rFont val="Tahoma"/>
            <family val="2"/>
          </rPr>
          <t>Si la fecha fin calculada es menor a la fecha del sistema, el campo se marca de color rojo.</t>
        </r>
      </text>
    </comment>
    <comment ref="K35" authorId="0" shapeId="0">
      <text>
        <r>
          <rPr>
            <sz val="9"/>
            <color indexed="81"/>
            <rFont val="Tahoma"/>
            <family val="2"/>
          </rPr>
          <t>Si la fecha real fin es mayor a la fecha fin calculada, el campo se marca de color rojo.</t>
        </r>
      </text>
    </comment>
    <comment ref="C40" authorId="0" shapeId="0">
      <text>
        <r>
          <rPr>
            <sz val="9"/>
            <color indexed="81"/>
            <rFont val="Tahoma"/>
            <family val="2"/>
          </rPr>
          <t>La etapa de Cierre y Entrega contempla el tiempo de la reunión de aceptación para aquellos casos de prueba marcados como "Si" en la rura crítica del diseño.</t>
        </r>
      </text>
    </comment>
    <comment ref="C41" authorId="0" shapeId="0">
      <text>
        <r>
          <rPr>
            <sz val="9"/>
            <color indexed="81"/>
            <rFont val="Tahoma"/>
            <family val="2"/>
          </rPr>
          <t>La etapa de Gestión incluye tiempos de reuniones y los tiempos de revisiones pares.</t>
        </r>
      </text>
    </comment>
    <comment ref="K57" authorId="0" shapeId="0">
      <text>
        <r>
          <rPr>
            <sz val="9"/>
            <color indexed="81"/>
            <rFont val="Tahoma"/>
            <family val="2"/>
          </rPr>
          <t>Agregar o elimar filas de acuerdo a la fila ingresada.</t>
        </r>
      </text>
    </comment>
  </commentList>
</comments>
</file>

<file path=xl/comments2.xml><?xml version="1.0" encoding="utf-8"?>
<comments xmlns="http://schemas.openxmlformats.org/spreadsheetml/2006/main">
  <authors>
    <author>Elmer Andres Vanegas</author>
  </authors>
  <commentList>
    <comment ref="AA11" authorId="0" shapeId="0">
      <text>
        <r>
          <rPr>
            <b/>
            <sz val="9"/>
            <color indexed="81"/>
            <rFont val="Tahoma"/>
            <family val="2"/>
          </rPr>
          <t>Ingresar los ciclos ejecutados por proveedor de desarrollo de la prueba.</t>
        </r>
      </text>
    </comment>
  </commentList>
</comments>
</file>

<file path=xl/comments3.xml><?xml version="1.0" encoding="utf-8"?>
<comments xmlns="http://schemas.openxmlformats.org/spreadsheetml/2006/main">
  <authors>
    <author>Elmer Andres Vanegas</author>
  </authors>
  <commentList>
    <comment ref="AB9" authorId="0" shapeId="0">
      <text>
        <r>
          <rPr>
            <b/>
            <sz val="9"/>
            <color indexed="81"/>
            <rFont val="Tahoma"/>
            <family val="2"/>
          </rPr>
          <t>Ingresar los ciclos ejecutados por proveedor de desarrollo de la prueba.</t>
        </r>
      </text>
    </comment>
    <comment ref="J17" authorId="0" shapeId="0">
      <text>
        <r>
          <rPr>
            <sz val="9"/>
            <color indexed="81"/>
            <rFont val="Tahoma"/>
            <family val="2"/>
          </rPr>
          <t>Si la fecha de inicio real es mayor a la fecha estimada de inicio, el campo se marca de color rojo.</t>
        </r>
      </text>
    </comment>
    <comment ref="K17" authorId="0" shapeId="0">
      <text>
        <r>
          <rPr>
            <sz val="9"/>
            <color indexed="81"/>
            <rFont val="Tahoma"/>
            <family val="2"/>
          </rPr>
          <t>Si la fecha fin calculada es menor a la fecha actual, el campo se marca de color rojo.</t>
        </r>
      </text>
    </comment>
    <comment ref="L17" authorId="0" shapeId="0">
      <text>
        <r>
          <rPr>
            <sz val="9"/>
            <color indexed="81"/>
            <rFont val="Tahoma"/>
            <family val="2"/>
          </rPr>
          <t>Si la fecha fin real es mayor a la fecha fin calculada, el campo se marca de color rojo.</t>
        </r>
      </text>
    </comment>
    <comment ref="D29" authorId="0" shapeId="0">
      <text>
        <r>
          <rPr>
            <b/>
            <sz val="9"/>
            <color indexed="81"/>
            <rFont val="Tahoma"/>
            <family val="2"/>
          </rPr>
          <t>Fecha real de inicio - Fecha estimada de inicio.</t>
        </r>
      </text>
    </comment>
    <comment ref="E29" authorId="0" shapeId="0">
      <text>
        <r>
          <rPr>
            <b/>
            <sz val="9"/>
            <color indexed="81"/>
            <rFont val="Tahoma"/>
            <family val="2"/>
          </rPr>
          <t>Fecha fin real - fecha fin calculada.</t>
        </r>
      </text>
    </comment>
  </commentList>
</comments>
</file>

<file path=xl/comments4.xml><?xml version="1.0" encoding="utf-8"?>
<comments xmlns="http://schemas.openxmlformats.org/spreadsheetml/2006/main">
  <authors>
    <author>Elmer Andres Vanegas</author>
  </authors>
  <commentList>
    <comment ref="G21" authorId="0" shapeId="0">
      <text>
        <r>
          <rPr>
            <sz val="9"/>
            <color indexed="81"/>
            <rFont val="Tahoma"/>
            <family val="2"/>
          </rPr>
          <t>Cálculo automático de la complejidad del proyecto.</t>
        </r>
      </text>
    </comment>
  </commentList>
</comments>
</file>

<file path=xl/comments5.xml><?xml version="1.0" encoding="utf-8"?>
<comments xmlns="http://schemas.openxmlformats.org/spreadsheetml/2006/main">
  <authors>
    <author>Elmer Andres Vanegas</author>
  </authors>
  <commentList>
    <comment ref="G22" authorId="0" shapeId="0">
      <text>
        <r>
          <rPr>
            <sz val="9"/>
            <color indexed="81"/>
            <rFont val="Tahoma"/>
            <family val="2"/>
          </rPr>
          <t>Si la fecha estimada de inicio es menor a la fecha actual,  el campo se marca de color rojo.</t>
        </r>
      </text>
    </comment>
    <comment ref="I22" authorId="0" shapeId="0">
      <text>
        <r>
          <rPr>
            <sz val="9"/>
            <color indexed="81"/>
            <rFont val="Tahoma"/>
            <family val="2"/>
          </rPr>
          <t>Si la fecha real de inicio es mayor a la fecha estimada de inicio, el campo se marca de color rojo.</t>
        </r>
      </text>
    </comment>
    <comment ref="J22" authorId="0" shapeId="0">
      <text>
        <r>
          <rPr>
            <sz val="9"/>
            <color indexed="81"/>
            <rFont val="Tahoma"/>
            <family val="2"/>
          </rPr>
          <t>Si la fecha fin calculada es menor a la fecha del sistema, el campo se marca de color rojo.</t>
        </r>
      </text>
    </comment>
    <comment ref="K22" authorId="0" shapeId="0">
      <text>
        <r>
          <rPr>
            <sz val="9"/>
            <color indexed="81"/>
            <rFont val="Tahoma"/>
            <family val="2"/>
          </rPr>
          <t>Si la fecha real fin es mayor a la fecha fin calculada, el campo se marca de color rojo.</t>
        </r>
      </text>
    </comment>
  </commentList>
</comments>
</file>

<file path=xl/sharedStrings.xml><?xml version="1.0" encoding="utf-8"?>
<sst xmlns="http://schemas.openxmlformats.org/spreadsheetml/2006/main" count="2244" uniqueCount="1597">
  <si>
    <t>Fecha</t>
  </si>
  <si>
    <t>CONSTANCIAS DE APROBACIÓN</t>
  </si>
  <si>
    <t>Entregable</t>
  </si>
  <si>
    <t>Cargo</t>
  </si>
  <si>
    <t>Área</t>
  </si>
  <si>
    <t>Ir a:</t>
  </si>
  <si>
    <t>Estado</t>
  </si>
  <si>
    <t>Observaciones</t>
  </si>
  <si>
    <t>Estados</t>
  </si>
  <si>
    <t>Pendiente</t>
  </si>
  <si>
    <t>No aplica</t>
  </si>
  <si>
    <t>Exitoso</t>
  </si>
  <si>
    <t>Fallido</t>
  </si>
  <si>
    <t>Resultados por corrida</t>
  </si>
  <si>
    <t>Nombre de proyecto:</t>
  </si>
  <si>
    <t>ANALISTA DE CALIDAD:</t>
  </si>
  <si>
    <t>FECHA DE CREACIÓN:</t>
  </si>
  <si>
    <t>¿Se envío diseño al proveedor?</t>
  </si>
  <si>
    <t xml:space="preserve"> </t>
  </si>
  <si>
    <t>FORMATO: Prueba interna</t>
  </si>
  <si>
    <t>Baja</t>
  </si>
  <si>
    <t>Media</t>
  </si>
  <si>
    <t>Alta</t>
  </si>
  <si>
    <t>Complejidad</t>
  </si>
  <si>
    <t>Complejidad Prueba</t>
  </si>
  <si>
    <t>PLANEACIÓN</t>
  </si>
  <si>
    <t>EJECUCION</t>
  </si>
  <si>
    <t>GESTION</t>
  </si>
  <si>
    <t>CIERRE Y ENTREGA</t>
  </si>
  <si>
    <t>INFORME DE AVANCE DE LAS PRUEBAS</t>
  </si>
  <si>
    <t>Avance del proyecto</t>
  </si>
  <si>
    <t>Fase</t>
  </si>
  <si>
    <t>Diseño</t>
  </si>
  <si>
    <t>Ejecución (Todos los ciclos)</t>
  </si>
  <si>
    <t>Gestión</t>
  </si>
  <si>
    <t>Cierre y Entrega</t>
  </si>
  <si>
    <t>Fechas Estimadas</t>
  </si>
  <si>
    <t xml:space="preserve">Fechas Reales </t>
  </si>
  <si>
    <t>Planeación</t>
  </si>
  <si>
    <t>Tiempos Estimados (hh)</t>
  </si>
  <si>
    <t>OBSERVACIONES</t>
  </si>
  <si>
    <t>Medición Ejecución de las pruebas</t>
  </si>
  <si>
    <t>CP 
Pasaron</t>
  </si>
  <si>
    <t>CP
Fallaron</t>
  </si>
  <si>
    <t>CP No 
se pudo
ejecutar</t>
  </si>
  <si>
    <t>Total Casos
de Prueba</t>
  </si>
  <si>
    <t>Total CP
ejecutados</t>
  </si>
  <si>
    <t>Express</t>
  </si>
  <si>
    <t>Evolutivo</t>
  </si>
  <si>
    <t>Tipo de RQ</t>
  </si>
  <si>
    <t>Tiempo
Desarrollo</t>
  </si>
  <si>
    <t>Tiempo
Pruebas</t>
  </si>
  <si>
    <t>baja</t>
  </si>
  <si>
    <t>Tiempo de diseño por CP</t>
  </si>
  <si>
    <t>Tiempo de diseño
(Min)</t>
  </si>
  <si>
    <t>Tiempo de ejecución (Min)</t>
  </si>
  <si>
    <t>Fechas Reales</t>
  </si>
  <si>
    <t>Si</t>
  </si>
  <si>
    <t>No</t>
  </si>
  <si>
    <t>ETAPA DE ENTREGA A CALIDAD:</t>
  </si>
  <si>
    <t>Etapa de entrega a calidad</t>
  </si>
  <si>
    <t>Análisis</t>
  </si>
  <si>
    <t>Desarrollo</t>
  </si>
  <si>
    <t>Implantación</t>
  </si>
  <si>
    <t>Prioridad del Incidente</t>
  </si>
  <si>
    <t>NA</t>
  </si>
  <si>
    <t>Aplica Incidente</t>
  </si>
  <si>
    <t>ANALISTA DE SOLUCIONES:</t>
  </si>
  <si>
    <t>PROYECTO:</t>
  </si>
  <si>
    <t>Tiempos Planeación</t>
  </si>
  <si>
    <t>CP Diseñados</t>
  </si>
  <si>
    <t>Indicador Calidad Producto</t>
  </si>
  <si>
    <t>Indicador Calidad Proveedor</t>
  </si>
  <si>
    <t>CP Ejecutados</t>
  </si>
  <si>
    <t>Ejecución</t>
  </si>
  <si>
    <t>% Dedicacion</t>
  </si>
  <si>
    <t>%DEDICACIÓN</t>
  </si>
  <si>
    <t>VARIOS TIPOS DE PRUEBAS:</t>
  </si>
  <si>
    <t># DE FUNCIONALIDADES:</t>
  </si>
  <si>
    <t>Core</t>
  </si>
  <si>
    <t>No Core</t>
  </si>
  <si>
    <t>Tipo de Aplicación:</t>
  </si>
  <si>
    <t>NOMBRE:</t>
  </si>
  <si>
    <t>PESO:</t>
  </si>
  <si>
    <t>Funcionalidades:</t>
  </si>
  <si>
    <t>Varios tipos de Pruebas:</t>
  </si>
  <si>
    <t>Interfaz con otros Aplicativos:</t>
  </si>
  <si>
    <t>x &lt; 2</t>
  </si>
  <si>
    <t>3 &lt;= x &lt; 4</t>
  </si>
  <si>
    <t>x &gt; 4</t>
  </si>
  <si>
    <t xml:space="preserve"> x&gt;2</t>
  </si>
  <si>
    <t>x=2</t>
  </si>
  <si>
    <t>x=1</t>
  </si>
  <si>
    <t># INTERFAZ CON OTROS APLICATIVOS:</t>
  </si>
  <si>
    <t>Rangos</t>
  </si>
  <si>
    <t>Pesos calculados</t>
  </si>
  <si>
    <t>Complejidad del proyecto</t>
  </si>
  <si>
    <t xml:space="preserve">
</t>
  </si>
  <si>
    <t>FASES</t>
  </si>
  <si>
    <t>Cierre y entrega</t>
  </si>
  <si>
    <t>ETAPA</t>
  </si>
  <si>
    <t>PORCENTAJE</t>
  </si>
  <si>
    <t>TIEMPO TOTAL:</t>
  </si>
  <si>
    <t>Tiempos Ejecución 50%</t>
  </si>
  <si>
    <t>Determinar la ruta crítica de los CP</t>
  </si>
  <si>
    <t>Set de datos</t>
  </si>
  <si>
    <t>Toma evidencia</t>
  </si>
  <si>
    <t>Ejecutar proceso</t>
  </si>
  <si>
    <t>Validar novedad</t>
  </si>
  <si>
    <t>TIEMPOS DE EJECUCIÓN POR NOVEDAD (MIN)</t>
  </si>
  <si>
    <t>Tiempo
en días</t>
  </si>
  <si>
    <t>Tiempos en horas</t>
  </si>
  <si>
    <t>Tiempo de planeación</t>
  </si>
  <si>
    <t>Total minutos</t>
  </si>
  <si>
    <t>Tiempo total * CP (Min)</t>
  </si>
  <si>
    <t>Total hh</t>
  </si>
  <si>
    <t>TIEMPOS DE DISEÑO POR NOVEDAD (MIN)</t>
  </si>
  <si>
    <t>Tiempos (MIn)</t>
  </si>
  <si>
    <t>Tiempos * CP</t>
  </si>
  <si>
    <t>TIEMPO DISEÑO (hh)</t>
  </si>
  <si>
    <t>TIEMPO EJECUCIÓN (hh)</t>
  </si>
  <si>
    <t>Ciclos de Ejecución</t>
  </si>
  <si>
    <t>Ciclo</t>
  </si>
  <si>
    <t>% de CP</t>
  </si>
  <si>
    <t>Total CP</t>
  </si>
  <si>
    <t>TOTAL CP</t>
  </si>
  <si>
    <t>Etapa</t>
  </si>
  <si>
    <t xml:space="preserve">Tiempo
Acumulado </t>
  </si>
  <si>
    <t>EVIDENCIAS</t>
  </si>
  <si>
    <t>Fecha Fin
calculada</t>
  </si>
  <si>
    <t>Fase terminada?</t>
  </si>
  <si>
    <t>MÉTRICAS:</t>
  </si>
  <si>
    <t>CP No se pudo ejecutar</t>
  </si>
  <si>
    <r>
      <t xml:space="preserve">% Ejecucion Efectiva
</t>
    </r>
    <r>
      <rPr>
        <sz val="8"/>
        <rFont val="Calibri"/>
        <family val="2"/>
        <scheme val="minor"/>
      </rPr>
      <t>(CP Pasaron / Total CP)</t>
    </r>
  </si>
  <si>
    <r>
      <t xml:space="preserve">% Ejecucion No Efectiva
</t>
    </r>
    <r>
      <rPr>
        <sz val="8"/>
        <rFont val="Calibri"/>
        <family val="2"/>
        <scheme val="minor"/>
      </rPr>
      <t>(CP Fallaron / Total CP</t>
    </r>
  </si>
  <si>
    <r>
      <t xml:space="preserve">% Ejecucion 
</t>
    </r>
    <r>
      <rPr>
        <sz val="8"/>
        <rFont val="Calibri"/>
        <family val="2"/>
        <scheme val="minor"/>
      </rPr>
      <t>(CP Ejecutados/ Total CP)</t>
    </r>
  </si>
  <si>
    <r>
      <t xml:space="preserve">% Pendientes
</t>
    </r>
    <r>
      <rPr>
        <sz val="8"/>
        <rFont val="Calibri"/>
        <family val="2"/>
        <scheme val="minor"/>
      </rPr>
      <t>(CP No Ejecutados / Total CP)</t>
    </r>
  </si>
  <si>
    <t>Impacto</t>
  </si>
  <si>
    <t>No se pudo ejecutar</t>
  </si>
  <si>
    <t>Ambiente</t>
  </si>
  <si>
    <t>Datos</t>
  </si>
  <si>
    <t>Seguridad</t>
  </si>
  <si>
    <t>Naturaleza</t>
  </si>
  <si>
    <t>Documentación</t>
  </si>
  <si>
    <t>Funcionalidad</t>
  </si>
  <si>
    <t>Rendimiento</t>
  </si>
  <si>
    <t>Presentación</t>
  </si>
  <si>
    <t>Valor pesos del indicador</t>
  </si>
  <si>
    <t>ANALISTA LÍDER DE OPERACIONES:</t>
  </si>
  <si>
    <t>PORCENTAJE OPTIMO</t>
  </si>
  <si>
    <t>Proveedor desarrollo</t>
  </si>
  <si>
    <t>Proveedor Desarrollo</t>
  </si>
  <si>
    <t>Nro CP</t>
  </si>
  <si>
    <t>Escenario</t>
  </si>
  <si>
    <t>Descripción</t>
  </si>
  <si>
    <t>Precondiciones</t>
  </si>
  <si>
    <t>Pasos para ejecutar el caso</t>
  </si>
  <si>
    <t>Inaltec</t>
  </si>
  <si>
    <t>PROVEEDORES DE DESARROLLO:</t>
  </si>
  <si>
    <t>Resultado esperado</t>
  </si>
  <si>
    <t xml:space="preserve">Fecha real Inicio </t>
  </si>
  <si>
    <t>INGRESAR LA RUTA DEL REPOSITORIO DONDE SE ENCUENTRAN LAS EVIDENCIAS:</t>
  </si>
  <si>
    <t>Gestión de incidentes</t>
  </si>
  <si>
    <t>Tipo</t>
  </si>
  <si>
    <t>Hallazgo</t>
  </si>
  <si>
    <t>Sugerencia</t>
  </si>
  <si>
    <t>Error</t>
  </si>
  <si>
    <t>No Aplica</t>
  </si>
  <si>
    <t>Tipo de incidente</t>
  </si>
  <si>
    <t>Reabierto</t>
  </si>
  <si>
    <t>Indidentes reabiertos</t>
  </si>
  <si>
    <t>INC_001</t>
  </si>
  <si>
    <t>INC_002</t>
  </si>
  <si>
    <t>INC_003</t>
  </si>
  <si>
    <t>Id Incidente</t>
  </si>
  <si>
    <t>CP Asociado</t>
  </si>
  <si>
    <t>Fecha reporte</t>
  </si>
  <si>
    <t>INC_004</t>
  </si>
  <si>
    <t>INC_005</t>
  </si>
  <si>
    <t>INC_006</t>
  </si>
  <si>
    <t>INC_007</t>
  </si>
  <si>
    <t>INC_008</t>
  </si>
  <si>
    <t>INC_009</t>
  </si>
  <si>
    <t>INC_010</t>
  </si>
  <si>
    <t>INC_011</t>
  </si>
  <si>
    <t>INC_012</t>
  </si>
  <si>
    <t>INC_013</t>
  </si>
  <si>
    <t>INC_014</t>
  </si>
  <si>
    <t>INC_015</t>
  </si>
  <si>
    <t>INC_016</t>
  </si>
  <si>
    <t>INC_017</t>
  </si>
  <si>
    <t>CONTAR REABIERTOS</t>
  </si>
  <si>
    <t>Ciclo 1</t>
  </si>
  <si>
    <t>Ciclo 2</t>
  </si>
  <si>
    <t>Ciclo 3</t>
  </si>
  <si>
    <t>Ciclo 4</t>
  </si>
  <si>
    <t>Ciclo 5</t>
  </si>
  <si>
    <t>Ciclo 6</t>
  </si>
  <si>
    <t>Ciclo 7</t>
  </si>
  <si>
    <t>Ciclo 8</t>
  </si>
  <si>
    <t>Ciclo 9</t>
  </si>
  <si>
    <t>Ciclo 10</t>
  </si>
  <si>
    <t>TOTAL =</t>
  </si>
  <si>
    <t>Fecha solución</t>
  </si>
  <si>
    <t>Días</t>
  </si>
  <si>
    <t>Horas</t>
  </si>
  <si>
    <t>Cantidad</t>
  </si>
  <si>
    <t>Fecha estimada de inicio</t>
  </si>
  <si>
    <t>Dias reales invertidos:</t>
  </si>
  <si>
    <t>Horas reales invertidas:</t>
  </si>
  <si>
    <t>Tiempo Total:</t>
  </si>
  <si>
    <t>Días Estimados:</t>
  </si>
  <si>
    <t>Semanas Estimadas:</t>
  </si>
  <si>
    <t>Total por naturaleza</t>
  </si>
  <si>
    <t>Naturaleza/Impacto</t>
  </si>
  <si>
    <t>Desfases de fechas por etapas</t>
  </si>
  <si>
    <t>Cierre/Entrega</t>
  </si>
  <si>
    <t>Desfase de Inicio de la etapa (Días)</t>
  </si>
  <si>
    <t>Desfase fin de la etapa (Días)</t>
  </si>
  <si>
    <t>Días de pruebas</t>
  </si>
  <si>
    <t>CP Previstos para ejecutar (3 ciclos)</t>
  </si>
  <si>
    <t>Stopper</t>
  </si>
  <si>
    <t>Ciclos ejecutados</t>
  </si>
  <si>
    <t>Total =</t>
  </si>
  <si>
    <t>Tata</t>
  </si>
  <si>
    <t>Tuya</t>
  </si>
  <si>
    <t>INC_018</t>
  </si>
  <si>
    <t>INC_019</t>
  </si>
  <si>
    <t>INC_020</t>
  </si>
  <si>
    <t>INC_021</t>
  </si>
  <si>
    <t>INC_022</t>
  </si>
  <si>
    <t>INC_023</t>
  </si>
  <si>
    <t>INC_024</t>
  </si>
  <si>
    <t>INC_025</t>
  </si>
  <si>
    <t>INC_026</t>
  </si>
  <si>
    <t>INC_027</t>
  </si>
  <si>
    <t>INC_028</t>
  </si>
  <si>
    <t>INC_029</t>
  </si>
  <si>
    <t>INC_030</t>
  </si>
  <si>
    <t>INC_031</t>
  </si>
  <si>
    <t>INC_032</t>
  </si>
  <si>
    <t>INC_033</t>
  </si>
  <si>
    <t>INC_034</t>
  </si>
  <si>
    <t>INC_035</t>
  </si>
  <si>
    <t>INC_036</t>
  </si>
  <si>
    <t>INC_037</t>
  </si>
  <si>
    <t>INC_038</t>
  </si>
  <si>
    <t>INC_039</t>
  </si>
  <si>
    <t>INC_040</t>
  </si>
  <si>
    <t>INC_041</t>
  </si>
  <si>
    <t>INC_042</t>
  </si>
  <si>
    <t>INC_043</t>
  </si>
  <si>
    <t>INC_044</t>
  </si>
  <si>
    <t>INC_045</t>
  </si>
  <si>
    <t>INC_046</t>
  </si>
  <si>
    <t>INC_047</t>
  </si>
  <si>
    <t>INC_048</t>
  </si>
  <si>
    <t>INC_049</t>
  </si>
  <si>
    <t>INC_050</t>
  </si>
  <si>
    <t>INC_051</t>
  </si>
  <si>
    <t>INC_052</t>
  </si>
  <si>
    <t>INC_053</t>
  </si>
  <si>
    <t>INC_054</t>
  </si>
  <si>
    <t>INC_055</t>
  </si>
  <si>
    <t>INC_056</t>
  </si>
  <si>
    <t>INC_057</t>
  </si>
  <si>
    <t>INC_058</t>
  </si>
  <si>
    <t>INC_059</t>
  </si>
  <si>
    <t>INC_060</t>
  </si>
  <si>
    <t>INC_061</t>
  </si>
  <si>
    <t>INC_062</t>
  </si>
  <si>
    <t>INC_063</t>
  </si>
  <si>
    <t>INC_064</t>
  </si>
  <si>
    <t>INC_065</t>
  </si>
  <si>
    <t>INC_066</t>
  </si>
  <si>
    <t>INC_067</t>
  </si>
  <si>
    <t>INC_068</t>
  </si>
  <si>
    <t>INC_069</t>
  </si>
  <si>
    <t>INC_070</t>
  </si>
  <si>
    <t>INC_071</t>
  </si>
  <si>
    <t>INC_072</t>
  </si>
  <si>
    <t>INC_073</t>
  </si>
  <si>
    <t>INC_074</t>
  </si>
  <si>
    <t>INC_075</t>
  </si>
  <si>
    <t>INC_076</t>
  </si>
  <si>
    <t>INC_077</t>
  </si>
  <si>
    <t>INC_078</t>
  </si>
  <si>
    <t>INC_079</t>
  </si>
  <si>
    <t>INC_080</t>
  </si>
  <si>
    <t>INC_081</t>
  </si>
  <si>
    <t>INC_082</t>
  </si>
  <si>
    <t>INC_083</t>
  </si>
  <si>
    <t>INC_084</t>
  </si>
  <si>
    <t>INC_085</t>
  </si>
  <si>
    <t>INC_086</t>
  </si>
  <si>
    <t>INC_087</t>
  </si>
  <si>
    <t>INC_088</t>
  </si>
  <si>
    <t>INC_089</t>
  </si>
  <si>
    <t>INC_090</t>
  </si>
  <si>
    <t>INC_091</t>
  </si>
  <si>
    <t>INC_092</t>
  </si>
  <si>
    <t>INC_093</t>
  </si>
  <si>
    <t>INC_094</t>
  </si>
  <si>
    <t>INC_095</t>
  </si>
  <si>
    <t>INC_096</t>
  </si>
  <si>
    <t>INC_097</t>
  </si>
  <si>
    <t>INC_098</t>
  </si>
  <si>
    <t>INC_099</t>
  </si>
  <si>
    <t>INC_100</t>
  </si>
  <si>
    <t>INC_101</t>
  </si>
  <si>
    <t>INC_102</t>
  </si>
  <si>
    <t>INC_103</t>
  </si>
  <si>
    <t>INC_104</t>
  </si>
  <si>
    <t>INC_105</t>
  </si>
  <si>
    <t>INC_106</t>
  </si>
  <si>
    <t>INC_107</t>
  </si>
  <si>
    <t>INC_108</t>
  </si>
  <si>
    <t>INC_109</t>
  </si>
  <si>
    <t>INC_110</t>
  </si>
  <si>
    <t>INC_111</t>
  </si>
  <si>
    <t>INC_112</t>
  </si>
  <si>
    <t>INC_113</t>
  </si>
  <si>
    <t>INC_114</t>
  </si>
  <si>
    <t>INC_115</t>
  </si>
  <si>
    <t>INC_116</t>
  </si>
  <si>
    <t>INC_117</t>
  </si>
  <si>
    <t>INC_118</t>
  </si>
  <si>
    <t>INC_119</t>
  </si>
  <si>
    <t>INC_120</t>
  </si>
  <si>
    <t>INC_121</t>
  </si>
  <si>
    <t>INC_122</t>
  </si>
  <si>
    <t>INC_123</t>
  </si>
  <si>
    <t>INC_124</t>
  </si>
  <si>
    <t>INC_125</t>
  </si>
  <si>
    <t>INC_126</t>
  </si>
  <si>
    <t>INC_127</t>
  </si>
  <si>
    <t>INC_128</t>
  </si>
  <si>
    <t>INC_129</t>
  </si>
  <si>
    <t>INC_130</t>
  </si>
  <si>
    <t>INC_131</t>
  </si>
  <si>
    <t>INC_132</t>
  </si>
  <si>
    <t>INC_133</t>
  </si>
  <si>
    <t>INC_134</t>
  </si>
  <si>
    <t>INC_135</t>
  </si>
  <si>
    <t>INC_136</t>
  </si>
  <si>
    <t>INC_137</t>
  </si>
  <si>
    <t>INC_138</t>
  </si>
  <si>
    <t>INC_139</t>
  </si>
  <si>
    <t>INC_140</t>
  </si>
  <si>
    <t>INC_141</t>
  </si>
  <si>
    <t>INC_142</t>
  </si>
  <si>
    <t>INC_143</t>
  </si>
  <si>
    <t>INC_144</t>
  </si>
  <si>
    <t>INC_145</t>
  </si>
  <si>
    <t>INC_146</t>
  </si>
  <si>
    <t>INC_147</t>
  </si>
  <si>
    <t>INC_148</t>
  </si>
  <si>
    <t>INC_149</t>
  </si>
  <si>
    <t>INC_150</t>
  </si>
  <si>
    <t>INC_151</t>
  </si>
  <si>
    <t>INC_152</t>
  </si>
  <si>
    <t>INC_153</t>
  </si>
  <si>
    <t>INC_154</t>
  </si>
  <si>
    <t>INC_155</t>
  </si>
  <si>
    <t>INC_156</t>
  </si>
  <si>
    <t>INC_157</t>
  </si>
  <si>
    <t>INC_158</t>
  </si>
  <si>
    <t>INC_159</t>
  </si>
  <si>
    <t>INC_160</t>
  </si>
  <si>
    <t>INC_161</t>
  </si>
  <si>
    <t>INC_162</t>
  </si>
  <si>
    <t>INC_163</t>
  </si>
  <si>
    <t>INC_164</t>
  </si>
  <si>
    <t>INC_165</t>
  </si>
  <si>
    <t>INC_166</t>
  </si>
  <si>
    <t>INC_167</t>
  </si>
  <si>
    <t>INC_168</t>
  </si>
  <si>
    <t>INC_169</t>
  </si>
  <si>
    <t>INC_170</t>
  </si>
  <si>
    <t>INC_171</t>
  </si>
  <si>
    <t>INC_172</t>
  </si>
  <si>
    <t>INC_173</t>
  </si>
  <si>
    <t>INC_174</t>
  </si>
  <si>
    <t>INC_175</t>
  </si>
  <si>
    <t>INC_176</t>
  </si>
  <si>
    <t>INC_177</t>
  </si>
  <si>
    <t>INC_178</t>
  </si>
  <si>
    <t>INC_179</t>
  </si>
  <si>
    <t>INC_180</t>
  </si>
  <si>
    <t>INC_181</t>
  </si>
  <si>
    <t>INC_182</t>
  </si>
  <si>
    <t>INC_183</t>
  </si>
  <si>
    <t>INC_184</t>
  </si>
  <si>
    <t>INC_185</t>
  </si>
  <si>
    <t>INC_186</t>
  </si>
  <si>
    <t>INC_187</t>
  </si>
  <si>
    <t>INC_188</t>
  </si>
  <si>
    <t>INC_189</t>
  </si>
  <si>
    <t>INC_190</t>
  </si>
  <si>
    <t>INC_191</t>
  </si>
  <si>
    <t>INC_192</t>
  </si>
  <si>
    <t>INC_193</t>
  </si>
  <si>
    <t>INC_194</t>
  </si>
  <si>
    <t>INC_195</t>
  </si>
  <si>
    <t>INC_196</t>
  </si>
  <si>
    <t>INC_197</t>
  </si>
  <si>
    <t>INC_198</t>
  </si>
  <si>
    <t>INC_199</t>
  </si>
  <si>
    <t>INC_200</t>
  </si>
  <si>
    <t>INC_201</t>
  </si>
  <si>
    <t>INC_202</t>
  </si>
  <si>
    <t>INC_203</t>
  </si>
  <si>
    <t>INC_204</t>
  </si>
  <si>
    <t>INC_205</t>
  </si>
  <si>
    <t>INC_206</t>
  </si>
  <si>
    <t>INC_207</t>
  </si>
  <si>
    <t>INC_208</t>
  </si>
  <si>
    <t>INC_209</t>
  </si>
  <si>
    <t>INC_210</t>
  </si>
  <si>
    <t>INC_211</t>
  </si>
  <si>
    <t>INC_212</t>
  </si>
  <si>
    <t>INC_213</t>
  </si>
  <si>
    <t>INC_214</t>
  </si>
  <si>
    <t>INC_215</t>
  </si>
  <si>
    <t>INC_216</t>
  </si>
  <si>
    <t>INC_217</t>
  </si>
  <si>
    <t>INC_218</t>
  </si>
  <si>
    <t>INC_219</t>
  </si>
  <si>
    <t>INC_220</t>
  </si>
  <si>
    <t>INC_221</t>
  </si>
  <si>
    <t>INC_222</t>
  </si>
  <si>
    <t>INC_223</t>
  </si>
  <si>
    <t>INC_224</t>
  </si>
  <si>
    <t>INC_225</t>
  </si>
  <si>
    <t>INC_226</t>
  </si>
  <si>
    <t>INC_227</t>
  </si>
  <si>
    <t>INC_228</t>
  </si>
  <si>
    <t>INC_229</t>
  </si>
  <si>
    <t>INC_230</t>
  </si>
  <si>
    <t>INC_231</t>
  </si>
  <si>
    <t>INC_232</t>
  </si>
  <si>
    <t>INC_233</t>
  </si>
  <si>
    <t>INC_234</t>
  </si>
  <si>
    <t>INC_235</t>
  </si>
  <si>
    <t>INC_236</t>
  </si>
  <si>
    <t>INC_237</t>
  </si>
  <si>
    <t>INC_238</t>
  </si>
  <si>
    <t>INC_239</t>
  </si>
  <si>
    <t>INC_240</t>
  </si>
  <si>
    <t>INC_241</t>
  </si>
  <si>
    <t>INC_242</t>
  </si>
  <si>
    <t>INC_243</t>
  </si>
  <si>
    <t>INC_244</t>
  </si>
  <si>
    <t>INC_245</t>
  </si>
  <si>
    <t>INC_246</t>
  </si>
  <si>
    <t>INC_247</t>
  </si>
  <si>
    <t>INC_248</t>
  </si>
  <si>
    <t>INC_249</t>
  </si>
  <si>
    <t>INC_250</t>
  </si>
  <si>
    <t>INC_251</t>
  </si>
  <si>
    <t>INC_252</t>
  </si>
  <si>
    <t>INC_253</t>
  </si>
  <si>
    <t>INC_254</t>
  </si>
  <si>
    <t>INC_255</t>
  </si>
  <si>
    <t>INC_256</t>
  </si>
  <si>
    <t>INC_257</t>
  </si>
  <si>
    <t>INC_258</t>
  </si>
  <si>
    <t>INC_259</t>
  </si>
  <si>
    <t>INC_260</t>
  </si>
  <si>
    <t>INC_261</t>
  </si>
  <si>
    <t>INC_262</t>
  </si>
  <si>
    <t>INC_263</t>
  </si>
  <si>
    <t>INC_264</t>
  </si>
  <si>
    <t>INC_265</t>
  </si>
  <si>
    <t>INC_266</t>
  </si>
  <si>
    <t>INC_267</t>
  </si>
  <si>
    <t>INC_268</t>
  </si>
  <si>
    <t>INC_269</t>
  </si>
  <si>
    <t>INC_270</t>
  </si>
  <si>
    <t>INC_271</t>
  </si>
  <si>
    <t>INC_272</t>
  </si>
  <si>
    <t>INC_273</t>
  </si>
  <si>
    <t>INC_274</t>
  </si>
  <si>
    <t>INC_275</t>
  </si>
  <si>
    <t>INC_276</t>
  </si>
  <si>
    <t>INC_277</t>
  </si>
  <si>
    <t>INC_278</t>
  </si>
  <si>
    <t>INC_279</t>
  </si>
  <si>
    <t>INC_280</t>
  </si>
  <si>
    <t>INC_281</t>
  </si>
  <si>
    <t>INC_282</t>
  </si>
  <si>
    <t>INC_283</t>
  </si>
  <si>
    <t>INC_284</t>
  </si>
  <si>
    <t>INC_285</t>
  </si>
  <si>
    <t>INC_286</t>
  </si>
  <si>
    <t>INC_287</t>
  </si>
  <si>
    <t>INC_288</t>
  </si>
  <si>
    <t>INC_289</t>
  </si>
  <si>
    <t>INC_290</t>
  </si>
  <si>
    <t>INC_291</t>
  </si>
  <si>
    <t>INC_292</t>
  </si>
  <si>
    <t>INC_293</t>
  </si>
  <si>
    <t>INC_294</t>
  </si>
  <si>
    <t>INC_295</t>
  </si>
  <si>
    <t>INC_296</t>
  </si>
  <si>
    <t>INC_297</t>
  </si>
  <si>
    <t>INC_298</t>
  </si>
  <si>
    <t>INC_299</t>
  </si>
  <si>
    <t>INC_300</t>
  </si>
  <si>
    <t>TIEMPOS DE DISEÑO POR CP REUTILIZADOS (MIN)</t>
  </si>
  <si>
    <t>TIEMPO TOTAL DEL DISEÑO DE CP</t>
  </si>
  <si>
    <t>Solati</t>
  </si>
  <si>
    <t>GyG</t>
  </si>
  <si>
    <t>Imagine</t>
  </si>
  <si>
    <t>Avaya</t>
  </si>
  <si>
    <t>Asnet</t>
  </si>
  <si>
    <t>Pragma</t>
  </si>
  <si>
    <t>Reabiertos</t>
  </si>
  <si>
    <t>Proveedor de desarrollo</t>
  </si>
  <si>
    <t>Ciclos Ejecutados</t>
  </si>
  <si>
    <t>CALIDAD DEL PRODUCTO Y DEL PROVEEDOR</t>
  </si>
  <si>
    <t>FECHA DE ENTREGA DISEÑO GA:</t>
  </si>
  <si>
    <t>FECHA DE ENTREGA DESARROLLO GA:</t>
  </si>
  <si>
    <t>INDICADORES DE CALIDAD POR PROVEEDOR</t>
  </si>
  <si>
    <t>Ciclos Ejecutados (Se castiga si se superan los 3 ciclos)</t>
  </si>
  <si>
    <t>Defectos Reabiertos</t>
  </si>
  <si>
    <t>Calificación Producto</t>
  </si>
  <si>
    <t>Calificación Proveedor</t>
  </si>
  <si>
    <t>Indicador calidad del proveedor</t>
  </si>
  <si>
    <t>Indicador calidad del producto</t>
  </si>
  <si>
    <t>DESFASES POR ETAPAS</t>
  </si>
  <si>
    <t>Estados CP</t>
  </si>
  <si>
    <t>Estados Incidentes</t>
  </si>
  <si>
    <t>Asignado</t>
  </si>
  <si>
    <t>Solucionado</t>
  </si>
  <si>
    <t>Cerrado</t>
  </si>
  <si>
    <t>Abierto</t>
  </si>
  <si>
    <t>Desfases en días de inicio de pruebas por etapas</t>
  </si>
  <si>
    <t xml:space="preserve">Desfases en días de finalización de pruebas por etapas </t>
  </si>
  <si>
    <t>Consideraciones adicionales.</t>
  </si>
  <si>
    <t>CARTA DE CERTIFICACIÓN</t>
  </si>
  <si>
    <t>Versión: 4
Fecha de emisión:  16/04/2015
Código: F-TAI-010-001</t>
  </si>
  <si>
    <t>DISEÑO CON CASOS DEL PROVEEDOR</t>
  </si>
  <si>
    <t>DISEÑO INICIAL</t>
  </si>
  <si>
    <t>FECHA DE ENTREGA DISEÑO CP PROVEEDOR:</t>
  </si>
  <si>
    <t>IC-Producto</t>
  </si>
  <si>
    <t>C-Producto</t>
  </si>
  <si>
    <t>IC-Proveedor</t>
  </si>
  <si>
    <t>C-Proveedor</t>
  </si>
  <si>
    <t>Entrega Ambiente</t>
  </si>
  <si>
    <t>Alta-Media-Baja</t>
  </si>
  <si>
    <t>Tiempo en horas para ajustar el diseño con CP del proveedor.</t>
  </si>
  <si>
    <t>TIEMPO DISEÑO 2 (hh)</t>
  </si>
  <si>
    <t>Nombre/Encargado</t>
  </si>
  <si>
    <t>TIEMPOS DE DISEÑO CON CASOS DE PRUEBA DEL PROVEEDOR (HH)</t>
  </si>
  <si>
    <r>
      <t xml:space="preserve">2. PREREQUISITOS: </t>
    </r>
    <r>
      <rPr>
        <sz val="11"/>
        <color theme="1"/>
        <rFont val="Calibri"/>
        <family val="2"/>
        <scheme val="minor"/>
      </rPr>
      <t>Describir las condiciones o requisitos que se deben cumplir antes de iniciar la prueba.</t>
    </r>
  </si>
  <si>
    <r>
      <t xml:space="preserve">1. ALCANCE: </t>
    </r>
    <r>
      <rPr>
        <sz val="11"/>
        <rFont val="Calibri"/>
        <family val="2"/>
        <scheme val="minor"/>
      </rPr>
      <t>Describir el alcance que va a tener la prueba.</t>
    </r>
  </si>
  <si>
    <r>
      <t xml:space="preserve">5. EXCLUSIONES: </t>
    </r>
    <r>
      <rPr>
        <sz val="11"/>
        <color theme="1"/>
        <rFont val="Calibri"/>
        <family val="2"/>
        <scheme val="minor"/>
      </rPr>
      <t>Enumerar las funcionalidades que estan fuera del alcance de la prueba.</t>
    </r>
  </si>
  <si>
    <r>
      <t xml:space="preserve">3. ESTRATEGIA DE LA PRUEBA: </t>
    </r>
    <r>
      <rPr>
        <sz val="11"/>
        <color theme="1"/>
        <rFont val="Calibri"/>
        <family val="2"/>
        <scheme val="minor"/>
      </rPr>
      <t>Describir cómo se va a realizar la prueba.</t>
    </r>
  </si>
  <si>
    <r>
      <t xml:space="preserve">4. FUNCIONALIDADES A PROBAR: </t>
    </r>
    <r>
      <rPr>
        <sz val="11"/>
        <color theme="1"/>
        <rFont val="Calibri"/>
        <family val="2"/>
        <scheme val="minor"/>
      </rPr>
      <t>Enumerar las funcionalidades que se van a tener en cuenta para realizar las pruebas.</t>
    </r>
  </si>
  <si>
    <t>Consideración</t>
  </si>
  <si>
    <t>Cambio/Mejora</t>
  </si>
  <si>
    <t>Proveedores de desarrollo</t>
  </si>
  <si>
    <t>Entregables para aprobación</t>
  </si>
  <si>
    <t>Plan de pruebas</t>
  </si>
  <si>
    <t>Diseño de casos de prueba</t>
  </si>
  <si>
    <t>Carta de certificación</t>
  </si>
  <si>
    <t>Analista de calidad:</t>
  </si>
  <si>
    <t>Desfase inicio de la prueba</t>
  </si>
  <si>
    <t>Desfase fin de la prueba</t>
  </si>
  <si>
    <t>Diseño 1</t>
  </si>
  <si>
    <t>Diseño 2</t>
  </si>
  <si>
    <t>DESFASES DE FECHAS POR ETAPAS</t>
  </si>
  <si>
    <t>Fecha del sistema</t>
  </si>
  <si>
    <t>Fecha Inicio real</t>
  </si>
  <si>
    <t>Fecha Fin
real</t>
  </si>
  <si>
    <t>Vision-Soft</t>
  </si>
  <si>
    <t>Excelec</t>
  </si>
  <si>
    <t>Ajuste plan  de pruebas</t>
  </si>
  <si>
    <t>Ajuste diseño casos de prueba</t>
  </si>
  <si>
    <t>Total CP - Técnicos</t>
  </si>
  <si>
    <t>FECHA DE ASIGNACIÓN A ANALISTA DE CALIDAD:</t>
  </si>
  <si>
    <t>Proveedores actuales del proyecto</t>
  </si>
  <si>
    <t>INC_301</t>
  </si>
  <si>
    <t>INC_302</t>
  </si>
  <si>
    <t>INC_303</t>
  </si>
  <si>
    <t>INC_304</t>
  </si>
  <si>
    <t>INC_305</t>
  </si>
  <si>
    <t>INC_306</t>
  </si>
  <si>
    <t>INC_307</t>
  </si>
  <si>
    <t>INC_308</t>
  </si>
  <si>
    <t>INC_309</t>
  </si>
  <si>
    <t>INC_310</t>
  </si>
  <si>
    <t>INC_311</t>
  </si>
  <si>
    <t>INC_312</t>
  </si>
  <si>
    <t>INC_313</t>
  </si>
  <si>
    <t>INC_314</t>
  </si>
  <si>
    <t>INC_315</t>
  </si>
  <si>
    <t>INC_316</t>
  </si>
  <si>
    <t>INC_317</t>
  </si>
  <si>
    <t>INC_318</t>
  </si>
  <si>
    <t>INC_319</t>
  </si>
  <si>
    <t>INC_320</t>
  </si>
  <si>
    <t>INC_321</t>
  </si>
  <si>
    <t>INC_322</t>
  </si>
  <si>
    <t>INC_323</t>
  </si>
  <si>
    <t>INC_324</t>
  </si>
  <si>
    <t>INC_325</t>
  </si>
  <si>
    <t>INC_326</t>
  </si>
  <si>
    <t>INC_327</t>
  </si>
  <si>
    <t>INC_328</t>
  </si>
  <si>
    <t>INC_329</t>
  </si>
  <si>
    <t>INC_330</t>
  </si>
  <si>
    <t>INC_331</t>
  </si>
  <si>
    <t>INC_332</t>
  </si>
  <si>
    <t>INC_333</t>
  </si>
  <si>
    <t>INC_334</t>
  </si>
  <si>
    <t>INC_335</t>
  </si>
  <si>
    <t>INC_336</t>
  </si>
  <si>
    <t>INC_337</t>
  </si>
  <si>
    <t>INC_338</t>
  </si>
  <si>
    <t>INC_339</t>
  </si>
  <si>
    <t>INC_340</t>
  </si>
  <si>
    <t>INC_341</t>
  </si>
  <si>
    <t>INC_342</t>
  </si>
  <si>
    <t>INC_343</t>
  </si>
  <si>
    <t>INC_344</t>
  </si>
  <si>
    <t>INC_345</t>
  </si>
  <si>
    <t>INC_346</t>
  </si>
  <si>
    <t>INC_347</t>
  </si>
  <si>
    <t>INC_348</t>
  </si>
  <si>
    <t>INC_349</t>
  </si>
  <si>
    <t>INC_350</t>
  </si>
  <si>
    <t>INC_351</t>
  </si>
  <si>
    <t>INC_352</t>
  </si>
  <si>
    <t>INC_353</t>
  </si>
  <si>
    <t>INC_354</t>
  </si>
  <si>
    <t>INC_355</t>
  </si>
  <si>
    <t>INC_356</t>
  </si>
  <si>
    <t>INC_357</t>
  </si>
  <si>
    <t>INC_358</t>
  </si>
  <si>
    <t>INC_359</t>
  </si>
  <si>
    <t>INC_360</t>
  </si>
  <si>
    <t>INC_361</t>
  </si>
  <si>
    <t>INC_362</t>
  </si>
  <si>
    <t>INC_363</t>
  </si>
  <si>
    <t>INC_364</t>
  </si>
  <si>
    <t>INC_365</t>
  </si>
  <si>
    <t>INC_366</t>
  </si>
  <si>
    <t>INC_367</t>
  </si>
  <si>
    <t>INC_368</t>
  </si>
  <si>
    <t>INC_369</t>
  </si>
  <si>
    <t>INC_370</t>
  </si>
  <si>
    <t>INC_371</t>
  </si>
  <si>
    <t>INC_372</t>
  </si>
  <si>
    <t>INC_373</t>
  </si>
  <si>
    <t>INC_374</t>
  </si>
  <si>
    <t>INC_375</t>
  </si>
  <si>
    <t>INC_376</t>
  </si>
  <si>
    <t>INC_377</t>
  </si>
  <si>
    <t>INC_378</t>
  </si>
  <si>
    <t>INC_379</t>
  </si>
  <si>
    <t>INC_380</t>
  </si>
  <si>
    <t>INC_381</t>
  </si>
  <si>
    <t>INC_382</t>
  </si>
  <si>
    <t>INC_383</t>
  </si>
  <si>
    <t>INC_384</t>
  </si>
  <si>
    <t>INC_385</t>
  </si>
  <si>
    <t>INC_386</t>
  </si>
  <si>
    <t>INC_387</t>
  </si>
  <si>
    <t>INC_388</t>
  </si>
  <si>
    <t>INC_389</t>
  </si>
  <si>
    <t>INC_390</t>
  </si>
  <si>
    <t>INC_391</t>
  </si>
  <si>
    <t>INC_392</t>
  </si>
  <si>
    <t>INC_393</t>
  </si>
  <si>
    <t>INC_394</t>
  </si>
  <si>
    <t>INC_395</t>
  </si>
  <si>
    <t>INC_396</t>
  </si>
  <si>
    <t>INC_397</t>
  </si>
  <si>
    <t>INC_398</t>
  </si>
  <si>
    <t>INC_399</t>
  </si>
  <si>
    <t>INC_400</t>
  </si>
  <si>
    <t>¿Reabierto?</t>
  </si>
  <si>
    <t>Total</t>
  </si>
  <si>
    <t>GESTIÓN DE INCIDENTES</t>
  </si>
  <si>
    <t>Naturaleza/Severidad</t>
  </si>
  <si>
    <t>Incidentes por severidad</t>
  </si>
  <si>
    <t>% Desfases por etapas</t>
  </si>
  <si>
    <t>Resolución</t>
  </si>
  <si>
    <t>VERIFICACIÓN Y VALIDACIÓN</t>
  </si>
  <si>
    <t>Duplicado</t>
  </si>
  <si>
    <t>No se pudo reproducir</t>
  </si>
  <si>
    <t>Verificado</t>
  </si>
  <si>
    <t>Desfase fin de la prueba *-1</t>
  </si>
  <si>
    <t>Desfases por etapas</t>
  </si>
  <si>
    <t>¿Aplica?</t>
  </si>
  <si>
    <t>Total tiempo de desfase</t>
  </si>
  <si>
    <r>
      <t>Ciclo de regresión</t>
    </r>
    <r>
      <rPr>
        <sz val="12"/>
        <rFont val="Arial"/>
        <family val="2"/>
      </rPr>
      <t xml:space="preserve"> </t>
    </r>
    <r>
      <rPr>
        <sz val="8"/>
        <color rgb="FFFF0000"/>
        <rFont val="Arial"/>
        <family val="2"/>
      </rPr>
      <t>(Este ciclo se realiza una vez ya se tengan corregidos todos los errores</t>
    </r>
    <r>
      <rPr>
        <sz val="8"/>
        <rFont val="Arial"/>
        <family val="2"/>
      </rPr>
      <t>)</t>
    </r>
  </si>
  <si>
    <t>ID REGISTRO</t>
  </si>
  <si>
    <t>DUPLICADO</t>
  </si>
  <si>
    <t>Promedio en días solución issues</t>
  </si>
  <si>
    <t xml:space="preserve">Inestabilidad Ambiente </t>
  </si>
  <si>
    <t>Issues Otros tipos</t>
  </si>
  <si>
    <t>Días 2</t>
  </si>
  <si>
    <t>Días 1</t>
  </si>
  <si>
    <t>FECHAS DUPLICADAS</t>
  </si>
  <si>
    <t>Promedio en días</t>
  </si>
  <si>
    <t>Promedio en horas</t>
  </si>
  <si>
    <t>Próxima versión</t>
  </si>
  <si>
    <t>Desfases por datos</t>
  </si>
  <si>
    <t>Fecha estimada de Inicio</t>
  </si>
  <si>
    <t>Aplican al proveedor</t>
  </si>
  <si>
    <t>Requisito</t>
  </si>
  <si>
    <t>Resumen general de incidencias</t>
  </si>
  <si>
    <t>Natura/Severi</t>
  </si>
  <si>
    <t>INCIDENTES QUE APLICAN A CADA PROVEEDOR</t>
  </si>
  <si>
    <t>Inc-Aplicables</t>
  </si>
  <si>
    <t>Total Incidentes reportados por tipo</t>
  </si>
  <si>
    <t>Total de incidentes por estado que aplican al proveedor de desarrollo</t>
  </si>
  <si>
    <t>Totales de incidentes por severidad que aplican al proveedor de desarrollo</t>
  </si>
  <si>
    <t>Total incidentes por tipo</t>
  </si>
  <si>
    <t>Aplicables</t>
  </si>
  <si>
    <t>VALOR:</t>
  </si>
  <si>
    <t>Func - Core</t>
  </si>
  <si>
    <t>Func - No Core</t>
  </si>
  <si>
    <t>250 Baja
250 &gt;= x &lt;= 300  Media
X &gt; 300 Alta</t>
  </si>
  <si>
    <t>Incidencias por resolución</t>
  </si>
  <si>
    <t>Incidentes</t>
  </si>
  <si>
    <t>VERSIÓN DEL APLICATIVO:</t>
  </si>
  <si>
    <t>Total incidentes por resolución</t>
  </si>
  <si>
    <t>TIEMPOS DE DISEÑO POR NOVEDAD (Min)</t>
  </si>
  <si>
    <t>Total tiempo por CP (Min)</t>
  </si>
  <si>
    <t>Tiempos por CP (MIn)</t>
  </si>
  <si>
    <t>TOTAL CP ESTIMADOS:</t>
  </si>
  <si>
    <t xml:space="preserve">  Ir a:</t>
  </si>
  <si>
    <t>RUTA:</t>
  </si>
  <si>
    <t>Tiempos Gestión</t>
  </si>
  <si>
    <t xml:space="preserve">                       RIESGOS DEL PROYECTO</t>
  </si>
  <si>
    <t>TIEMPO TOTAL SI SE CUMPLEN LOS RIESGOS</t>
  </si>
  <si>
    <t>• Documentación desactualizada.</t>
  </si>
  <si>
    <t>• Falta de cumplimiento en las fechas de entrega.</t>
  </si>
  <si>
    <t>• Retraso en la entrega del ambiente de pruebas.</t>
  </si>
  <si>
    <t>• Entrega del proyecto a otro analista.</t>
  </si>
  <si>
    <t>• Desconocimiento del negocio por parte de los analistas.</t>
  </si>
  <si>
    <t>• Cambios en la definición inicial.</t>
  </si>
  <si>
    <t>• Set de datos mal generado.</t>
  </si>
  <si>
    <t xml:space="preserve">   ¿Aplica?</t>
  </si>
  <si>
    <t>Matriz de trazabilidad para casos de prueba</t>
  </si>
  <si>
    <t>Etapas de calidad</t>
  </si>
  <si>
    <t>Diseño inicial</t>
  </si>
  <si>
    <t>Diseño con casos del proveedor</t>
  </si>
  <si>
    <t>Cierre / Entrega</t>
  </si>
  <si>
    <t>Gestión de Aplicaciones</t>
  </si>
  <si>
    <t>Operación de Aplicaciones</t>
  </si>
  <si>
    <t>Ejecución por incidentes en producción</t>
  </si>
  <si>
    <t>Otras</t>
  </si>
  <si>
    <t>Desfase en ejecución</t>
  </si>
  <si>
    <t>X &gt; 60</t>
  </si>
  <si>
    <t>Realizar informe de cierre y enviar copia al proveedor.</t>
  </si>
  <si>
    <t>Realizar informe de cierre y programar reunión con el proveedor.</t>
  </si>
  <si>
    <t>20 &gt;= X &lt;= 60</t>
  </si>
  <si>
    <t>X &lt; 20</t>
  </si>
  <si>
    <t>Desfases en ejecución</t>
  </si>
  <si>
    <t>Total CP diseñados</t>
  </si>
  <si>
    <t>Total de casos fallidos</t>
  </si>
  <si>
    <t>Impacto Alto</t>
  </si>
  <si>
    <t>Impacto Medio</t>
  </si>
  <si>
    <t>Impacto Bajo</t>
  </si>
  <si>
    <t>Casos de prueba que fallaron - Impacto Alto</t>
  </si>
  <si>
    <t>Casos de prueba que fallaron - Impacto Medio</t>
  </si>
  <si>
    <t>Casos de prueba que fallaron - Impacto Bajo</t>
  </si>
  <si>
    <t>Impacto CP</t>
  </si>
  <si>
    <t>Alto</t>
  </si>
  <si>
    <t>Medio</t>
  </si>
  <si>
    <t>Bajo</t>
  </si>
  <si>
    <t>CAMPOS SHAREPOINT</t>
  </si>
  <si>
    <t>Naturaleza Requerimiento</t>
  </si>
  <si>
    <t>Tipo de Requerimiento</t>
  </si>
  <si>
    <t>Complejidad de la Prueba</t>
  </si>
  <si>
    <t>COMPLEJIDAD DE LA PRUEBA:</t>
  </si>
  <si>
    <t>Fecha Entrega a Calidad</t>
  </si>
  <si>
    <t>Fecha de asignación</t>
  </si>
  <si>
    <t xml:space="preserve">Fecha Inicio de Planeación </t>
  </si>
  <si>
    <t>Fecha entrega planeación real</t>
  </si>
  <si>
    <t>Fecha Entrega Diseño GA</t>
  </si>
  <si>
    <t>Fecha inicio diseño</t>
  </si>
  <si>
    <t>Fecha real de entrega casos de prueba proveedor G.A.</t>
  </si>
  <si>
    <t xml:space="preserve">Fecha Entrega Diseño 2 Real </t>
  </si>
  <si>
    <t>Fecha Inicio Ejecución</t>
  </si>
  <si>
    <t xml:space="preserve">Compromiso Ejecución Estimado </t>
  </si>
  <si>
    <t xml:space="preserve">Fecha Ejecución 50% Desarrollo Estimado </t>
  </si>
  <si>
    <t>Total Incidentes por naturaleza que aplican al proveedor de desarrollo</t>
  </si>
  <si>
    <t>TIEMPO EN SOLUCIÓN DE INCIDENTES</t>
  </si>
  <si>
    <t>Complejidad de la prueba</t>
  </si>
  <si>
    <t>Fecha Asignación</t>
  </si>
  <si>
    <t>Fecha entrega planeación estimada</t>
  </si>
  <si>
    <t>Fecha Entrega Diseño Estimada</t>
  </si>
  <si>
    <t>Fecha real de entrega casos de prueba proveedor G.A.c</t>
  </si>
  <si>
    <t>Fecha Entrega Diseño 2 Real</t>
  </si>
  <si>
    <t>Entrega Real Desarrollo GA</t>
  </si>
  <si>
    <t>Fecha Entrega de Ambiente Estimado GA</t>
  </si>
  <si>
    <t>Compromiso Ejecución Estimado</t>
  </si>
  <si>
    <t>Fecha Ejecución 50% Desarrollo Estimado</t>
  </si>
  <si>
    <t>Fecha Fin Ejecución Real</t>
  </si>
  <si>
    <t>Fecha Fin de Pruebas Real</t>
  </si>
  <si>
    <t>% Avance Planeación</t>
  </si>
  <si>
    <t>% Avance Diseño</t>
  </si>
  <si>
    <t>% Avance Ejecución</t>
  </si>
  <si>
    <t>% Avance Cierre/Entrega</t>
  </si>
  <si>
    <t>Horas Estimadas: Planeación</t>
  </si>
  <si>
    <t>Horas Estimadas: Diseño</t>
  </si>
  <si>
    <t>Horas Estimadas: Ejecución</t>
  </si>
  <si>
    <t>Horas Estimadas: Ejecución 50% Desarrollo</t>
  </si>
  <si>
    <t>Horas Reales: Diseño</t>
  </si>
  <si>
    <t>Horas Reales: Ejecución</t>
  </si>
  <si>
    <t>Horas Reales: Planeación</t>
  </si>
  <si>
    <t>Horas Reales: Cierre/Entrega</t>
  </si>
  <si>
    <t>Promedio en días solución Issues</t>
  </si>
  <si>
    <t>Desfase Inestabilidad Ambiente en Horas</t>
  </si>
  <si>
    <t>Desfase Ambiente Pruebas en Horas</t>
  </si>
  <si>
    <t>Desfase Issues otros tipos</t>
  </si>
  <si>
    <t>Tiempo Total Solución Issues (días)</t>
  </si>
  <si>
    <t>Casos Pruebas Diseñados</t>
  </si>
  <si>
    <t>Casos de Prueba Ejecutados</t>
  </si>
  <si>
    <t>Casos Prueba No Ejecutados</t>
  </si>
  <si>
    <t>Casos Pruebas Reutilizados</t>
  </si>
  <si>
    <t>Calidad del proveedor - Proveedor 1</t>
  </si>
  <si>
    <t>Calidad del producto - Proveedor 1</t>
  </si>
  <si>
    <t>Calidad del proveedor - Proveedor 2</t>
  </si>
  <si>
    <t>Calidad del producto - Proveedor 2</t>
  </si>
  <si>
    <t>Calidad del proveedor - Proveedor 3</t>
  </si>
  <si>
    <t>Calidad del producto - Proveedor 3</t>
  </si>
  <si>
    <t>Calidad del proveedor - Proveedor 4</t>
  </si>
  <si>
    <t>Calidad del producto - Proveedor 4</t>
  </si>
  <si>
    <t>Fecha de Inicio de Planeación</t>
  </si>
  <si>
    <t>Fecha Entrega Ambiente</t>
  </si>
  <si>
    <t>Tiempo en solución de incidentes</t>
  </si>
  <si>
    <t>Tiempo promedio solución de incidentes aplicables al proveedor por naturaleza</t>
  </si>
  <si>
    <t>Promedio de tiempo en solución de incidentes aplicables al proveedor</t>
  </si>
  <si>
    <t>Tiempo total en solución de incidentes</t>
  </si>
  <si>
    <t>Desfase de Tiempos</t>
  </si>
  <si>
    <t>Aplican CP reutilizados</t>
  </si>
  <si>
    <t>Si aplican</t>
  </si>
  <si>
    <t>No aplican</t>
  </si>
  <si>
    <t>LECCIONES APRENDIDAS</t>
  </si>
  <si>
    <t xml:space="preserve">•  </t>
  </si>
  <si>
    <t>INFORMACIÓN A TENER EN CUENTA PARA EJECUCIÓN DE LA PRUEBA</t>
  </si>
  <si>
    <t>Ambiente en el que se realizó el Proceso:</t>
  </si>
  <si>
    <t>Librerías y/o Base de Datos de trabajo:</t>
  </si>
  <si>
    <t>Archivos y/o tablas de Trabajo:</t>
  </si>
  <si>
    <t>Observaciones:</t>
  </si>
  <si>
    <t xml:space="preserve">   ¿Cuáles?:</t>
  </si>
  <si>
    <t>Consideraciones antes de ejecutar el proceso:</t>
  </si>
  <si>
    <t>Consideraciones después de ejecutar el proceso:</t>
  </si>
  <si>
    <t>CLASIFICACIÓN DEL REQUERIMIENTO:</t>
  </si>
  <si>
    <t>Proyecto corporativo</t>
  </si>
  <si>
    <t>NOMBRE DE REQUERIMIENTO:</t>
  </si>
  <si>
    <t>ÁREA DUEÑA DEL REQUERIMIENTO:</t>
  </si>
  <si>
    <t>TIPO DE REQUERIMIENTO - COORDINACIÓN:</t>
  </si>
  <si>
    <t>Fecha estimada de finalización</t>
  </si>
  <si>
    <t xml:space="preserve">Fecha real de finalización </t>
  </si>
  <si>
    <t>COMPROMISO ENTREGA DE AMBIENTE:</t>
  </si>
  <si>
    <t>FECHA REAL ENTREGA DE AMBIENTE:</t>
  </si>
  <si>
    <t>% de avance por fase</t>
  </si>
  <si>
    <t>Peso por etapa</t>
  </si>
  <si>
    <t>Avance Total proyecto:</t>
  </si>
  <si>
    <t>TIEMPOS ESTIMADOS Y REALES</t>
  </si>
  <si>
    <t>Horas estimadas</t>
  </si>
  <si>
    <t>Dias estimados</t>
  </si>
  <si>
    <t>Horas reales</t>
  </si>
  <si>
    <t>CASOS PRUEBA REUTILIZADOS:</t>
  </si>
  <si>
    <t>CASOS PRUEBA DISEÑADOS:</t>
  </si>
  <si>
    <t>Casos prueba ejecutados</t>
  </si>
  <si>
    <t>Casos de prueba no ejecutados</t>
  </si>
  <si>
    <t>CP No ejecutados (Vacíos o pendientes)</t>
  </si>
  <si>
    <t>NÚMERO DE HORAS DE DESARROLLO:</t>
  </si>
  <si>
    <t>Incidencias por estado</t>
  </si>
  <si>
    <t xml:space="preserve">                                             ENTREGABLE: PLANEACIÓN</t>
  </si>
  <si>
    <t xml:space="preserve">  No . Fila</t>
  </si>
  <si>
    <t>Homini</t>
  </si>
  <si>
    <t>Fecha Menor</t>
  </si>
  <si>
    <t>Fecha Mayor</t>
  </si>
  <si>
    <t>DISEÑO DE SCRIPTS</t>
  </si>
  <si>
    <t>COMPLEJIDAD DEL PROYECTO:</t>
  </si>
  <si>
    <t>NÚMERO DE ESCENARIOS ESTIMADOS:</t>
  </si>
  <si>
    <t>PORCENTAJE DEDICACIÓN:</t>
  </si>
  <si>
    <t>FECHA ESTIMADA ENTREGA AMBIENTE:</t>
  </si>
  <si>
    <t>FECHA REAL ENTREGA AMBIENTE:</t>
  </si>
  <si>
    <t>Días estimados</t>
  </si>
  <si>
    <t>Fecha inicio Sprint</t>
  </si>
  <si>
    <t>Fecha final Sprint</t>
  </si>
  <si>
    <t>1.</t>
  </si>
  <si>
    <t>2.</t>
  </si>
  <si>
    <t>3.</t>
  </si>
  <si>
    <t>4.</t>
  </si>
  <si>
    <t>5.</t>
  </si>
  <si>
    <t>6.</t>
  </si>
  <si>
    <t>Sprint</t>
  </si>
  <si>
    <t xml:space="preserve">        Nueva Fila N°</t>
  </si>
  <si>
    <t>ALCANCE</t>
  </si>
  <si>
    <t>PREREQUISITOS</t>
  </si>
  <si>
    <t>ESTRATEGIA DE LA PRUEBA</t>
  </si>
  <si>
    <t>FUNCIONALIDADES A PROBAR</t>
  </si>
  <si>
    <t>INC_401</t>
  </si>
  <si>
    <t>INC_402</t>
  </si>
  <si>
    <t>INC_403</t>
  </si>
  <si>
    <t>INC_404</t>
  </si>
  <si>
    <t>INC_405</t>
  </si>
  <si>
    <t>INC_406</t>
  </si>
  <si>
    <t>INC_407</t>
  </si>
  <si>
    <t>INC_408</t>
  </si>
  <si>
    <t>INC_409</t>
  </si>
  <si>
    <t>INC_410</t>
  </si>
  <si>
    <t>INC_411</t>
  </si>
  <si>
    <t>INC_412</t>
  </si>
  <si>
    <t>INC_413</t>
  </si>
  <si>
    <t>INC_414</t>
  </si>
  <si>
    <t>INC_415</t>
  </si>
  <si>
    <t>INC_416</t>
  </si>
  <si>
    <t>INC_417</t>
  </si>
  <si>
    <t>INC_418</t>
  </si>
  <si>
    <t>INC_419</t>
  </si>
  <si>
    <t>INC_420</t>
  </si>
  <si>
    <t>INC_421</t>
  </si>
  <si>
    <t>INC_422</t>
  </si>
  <si>
    <t>INC_423</t>
  </si>
  <si>
    <t>INC_424</t>
  </si>
  <si>
    <t>INC_425</t>
  </si>
  <si>
    <t>INC_426</t>
  </si>
  <si>
    <t>INC_427</t>
  </si>
  <si>
    <t>INC_428</t>
  </si>
  <si>
    <t>INC_429</t>
  </si>
  <si>
    <t>INC_430</t>
  </si>
  <si>
    <t>INC_431</t>
  </si>
  <si>
    <t>INC_432</t>
  </si>
  <si>
    <t>INC_433</t>
  </si>
  <si>
    <t>INC_434</t>
  </si>
  <si>
    <t>INC_435</t>
  </si>
  <si>
    <t>INC_436</t>
  </si>
  <si>
    <t>INC_437</t>
  </si>
  <si>
    <t>INC_438</t>
  </si>
  <si>
    <t>INC_439</t>
  </si>
  <si>
    <t>INC_440</t>
  </si>
  <si>
    <t>INC_441</t>
  </si>
  <si>
    <t>INC_442</t>
  </si>
  <si>
    <t>INC_443</t>
  </si>
  <si>
    <t>INC_444</t>
  </si>
  <si>
    <t>INC_445</t>
  </si>
  <si>
    <t>INC_446</t>
  </si>
  <si>
    <t>INC_447</t>
  </si>
  <si>
    <t>INC_448</t>
  </si>
  <si>
    <t>INC_449</t>
  </si>
  <si>
    <t>INC_450</t>
  </si>
  <si>
    <t>INC_451</t>
  </si>
  <si>
    <t>INC_452</t>
  </si>
  <si>
    <t>INC_453</t>
  </si>
  <si>
    <t>INC_454</t>
  </si>
  <si>
    <t>INC_455</t>
  </si>
  <si>
    <t>INC_456</t>
  </si>
  <si>
    <t>INC_457</t>
  </si>
  <si>
    <t>INC_458</t>
  </si>
  <si>
    <t>INC_459</t>
  </si>
  <si>
    <t>INC_460</t>
  </si>
  <si>
    <t>INC_461</t>
  </si>
  <si>
    <t>INC_462</t>
  </si>
  <si>
    <t>INC_463</t>
  </si>
  <si>
    <t>INC_464</t>
  </si>
  <si>
    <t>INC_465</t>
  </si>
  <si>
    <t>INC_466</t>
  </si>
  <si>
    <t>INC_467</t>
  </si>
  <si>
    <t>INC_468</t>
  </si>
  <si>
    <t>INC_469</t>
  </si>
  <si>
    <t>INC_470</t>
  </si>
  <si>
    <t>INC_471</t>
  </si>
  <si>
    <t>INC_472</t>
  </si>
  <si>
    <t>INC_473</t>
  </si>
  <si>
    <t>INC_474</t>
  </si>
  <si>
    <t>INC_475</t>
  </si>
  <si>
    <t>INC_476</t>
  </si>
  <si>
    <t>INC_477</t>
  </si>
  <si>
    <t>INC_478</t>
  </si>
  <si>
    <t>INC_479</t>
  </si>
  <si>
    <t>INC_480</t>
  </si>
  <si>
    <t>INC_481</t>
  </si>
  <si>
    <t>INC_482</t>
  </si>
  <si>
    <t>INC_483</t>
  </si>
  <si>
    <t>INC_484</t>
  </si>
  <si>
    <t>INC_485</t>
  </si>
  <si>
    <t>INC_486</t>
  </si>
  <si>
    <t>INC_487</t>
  </si>
  <si>
    <t>INC_488</t>
  </si>
  <si>
    <t>INC_489</t>
  </si>
  <si>
    <t>INC_490</t>
  </si>
  <si>
    <t>INC_491</t>
  </si>
  <si>
    <t>INC_492</t>
  </si>
  <si>
    <t>INC_493</t>
  </si>
  <si>
    <t>INC_494</t>
  </si>
  <si>
    <t>INC_495</t>
  </si>
  <si>
    <t>INC_496</t>
  </si>
  <si>
    <t>INC_497</t>
  </si>
  <si>
    <t>INC_498</t>
  </si>
  <si>
    <t>INC_499</t>
  </si>
  <si>
    <t>INC_500</t>
  </si>
  <si>
    <t>INC_501</t>
  </si>
  <si>
    <t>INC_502</t>
  </si>
  <si>
    <t>INC_503</t>
  </si>
  <si>
    <t>INC_504</t>
  </si>
  <si>
    <t>INC_505</t>
  </si>
  <si>
    <t>INC_506</t>
  </si>
  <si>
    <t>INC_507</t>
  </si>
  <si>
    <t>INC_508</t>
  </si>
  <si>
    <t>INC_509</t>
  </si>
  <si>
    <t>INC_510</t>
  </si>
  <si>
    <t>INC_511</t>
  </si>
  <si>
    <t>INC_512</t>
  </si>
  <si>
    <t>INC_513</t>
  </si>
  <si>
    <t>INC_514</t>
  </si>
  <si>
    <t>INC_515</t>
  </si>
  <si>
    <t>INC_516</t>
  </si>
  <si>
    <t>INC_517</t>
  </si>
  <si>
    <t>INC_518</t>
  </si>
  <si>
    <t>INC_519</t>
  </si>
  <si>
    <t>INC_520</t>
  </si>
  <si>
    <t>INC_521</t>
  </si>
  <si>
    <t>INC_522</t>
  </si>
  <si>
    <t>INC_523</t>
  </si>
  <si>
    <t>INC_524</t>
  </si>
  <si>
    <t>INC_525</t>
  </si>
  <si>
    <t>INC_526</t>
  </si>
  <si>
    <t>INC_527</t>
  </si>
  <si>
    <t>INC_528</t>
  </si>
  <si>
    <t>INC_529</t>
  </si>
  <si>
    <t>INC_530</t>
  </si>
  <si>
    <t>INC_531</t>
  </si>
  <si>
    <t>INC_532</t>
  </si>
  <si>
    <t>INC_533</t>
  </si>
  <si>
    <t>INC_534</t>
  </si>
  <si>
    <t>INC_535</t>
  </si>
  <si>
    <t>INC_536</t>
  </si>
  <si>
    <t>INC_537</t>
  </si>
  <si>
    <t>INC_538</t>
  </si>
  <si>
    <t>INC_539</t>
  </si>
  <si>
    <t>INC_540</t>
  </si>
  <si>
    <t>INC_541</t>
  </si>
  <si>
    <t>INC_542</t>
  </si>
  <si>
    <t>INC_543</t>
  </si>
  <si>
    <t>INC_544</t>
  </si>
  <si>
    <t>INC_545</t>
  </si>
  <si>
    <t>INC_546</t>
  </si>
  <si>
    <t>INC_547</t>
  </si>
  <si>
    <t>INC_548</t>
  </si>
  <si>
    <t>INC_549</t>
  </si>
  <si>
    <t>INC_550</t>
  </si>
  <si>
    <t>INC_551</t>
  </si>
  <si>
    <t>INC_552</t>
  </si>
  <si>
    <t>INC_553</t>
  </si>
  <si>
    <t>INC_554</t>
  </si>
  <si>
    <t>INC_555</t>
  </si>
  <si>
    <t>INC_556</t>
  </si>
  <si>
    <t>INC_557</t>
  </si>
  <si>
    <t>INC_558</t>
  </si>
  <si>
    <t>INC_559</t>
  </si>
  <si>
    <t>INC_560</t>
  </si>
  <si>
    <t>INC_561</t>
  </si>
  <si>
    <t>INC_562</t>
  </si>
  <si>
    <t>INC_563</t>
  </si>
  <si>
    <t>INC_564</t>
  </si>
  <si>
    <t>INC_565</t>
  </si>
  <si>
    <t>INC_566</t>
  </si>
  <si>
    <t>INC_567</t>
  </si>
  <si>
    <t>INC_568</t>
  </si>
  <si>
    <t>INC_569</t>
  </si>
  <si>
    <t>INC_570</t>
  </si>
  <si>
    <t>INC_571</t>
  </si>
  <si>
    <t>INC_572</t>
  </si>
  <si>
    <t>INC_573</t>
  </si>
  <si>
    <t>INC_574</t>
  </si>
  <si>
    <t>INC_575</t>
  </si>
  <si>
    <t>INC_576</t>
  </si>
  <si>
    <t>INC_577</t>
  </si>
  <si>
    <t>INC_578</t>
  </si>
  <si>
    <t>INC_579</t>
  </si>
  <si>
    <t>INC_580</t>
  </si>
  <si>
    <t>INC_581</t>
  </si>
  <si>
    <t>INC_582</t>
  </si>
  <si>
    <t>INC_583</t>
  </si>
  <si>
    <t>INC_584</t>
  </si>
  <si>
    <t>INC_585</t>
  </si>
  <si>
    <t>INC_586</t>
  </si>
  <si>
    <t>INC_587</t>
  </si>
  <si>
    <t>INC_588</t>
  </si>
  <si>
    <t>INC_589</t>
  </si>
  <si>
    <t>INC_590</t>
  </si>
  <si>
    <t>INC_591</t>
  </si>
  <si>
    <t>INC_592</t>
  </si>
  <si>
    <t>INC_593</t>
  </si>
  <si>
    <t>INC_594</t>
  </si>
  <si>
    <t>INC_595</t>
  </si>
  <si>
    <t>INC_596</t>
  </si>
  <si>
    <t>INC_597</t>
  </si>
  <si>
    <t>INC_598</t>
  </si>
  <si>
    <t>INC_599</t>
  </si>
  <si>
    <t>INC_600</t>
  </si>
  <si>
    <t>INC_601</t>
  </si>
  <si>
    <t>INC_602</t>
  </si>
  <si>
    <t>INC_603</t>
  </si>
  <si>
    <t>INC_604</t>
  </si>
  <si>
    <t>INC_605</t>
  </si>
  <si>
    <t>INC_606</t>
  </si>
  <si>
    <t>INC_607</t>
  </si>
  <si>
    <t>INC_608</t>
  </si>
  <si>
    <t>INC_609</t>
  </si>
  <si>
    <t>INC_610</t>
  </si>
  <si>
    <t>INC_611</t>
  </si>
  <si>
    <t>INC_612</t>
  </si>
  <si>
    <t>INC_613</t>
  </si>
  <si>
    <t>INC_614</t>
  </si>
  <si>
    <t>INC_615</t>
  </si>
  <si>
    <t>INC_616</t>
  </si>
  <si>
    <t>INC_617</t>
  </si>
  <si>
    <t>INC_618</t>
  </si>
  <si>
    <t>INC_619</t>
  </si>
  <si>
    <t>INC_620</t>
  </si>
  <si>
    <t>INC_621</t>
  </si>
  <si>
    <t>INC_622</t>
  </si>
  <si>
    <t>INC_623</t>
  </si>
  <si>
    <t>INC_624</t>
  </si>
  <si>
    <t>INC_625</t>
  </si>
  <si>
    <t>INC_626</t>
  </si>
  <si>
    <t>INC_627</t>
  </si>
  <si>
    <t>INC_628</t>
  </si>
  <si>
    <t>INC_629</t>
  </si>
  <si>
    <t>INC_630</t>
  </si>
  <si>
    <t>INC_631</t>
  </si>
  <si>
    <t>INC_632</t>
  </si>
  <si>
    <t>INC_633</t>
  </si>
  <si>
    <t>INC_634</t>
  </si>
  <si>
    <t>INC_635</t>
  </si>
  <si>
    <t>INC_636</t>
  </si>
  <si>
    <t>INC_637</t>
  </si>
  <si>
    <t>INC_638</t>
  </si>
  <si>
    <t>INC_639</t>
  </si>
  <si>
    <t>INC_640</t>
  </si>
  <si>
    <t>INC_641</t>
  </si>
  <si>
    <t>INC_642</t>
  </si>
  <si>
    <t>INC_643</t>
  </si>
  <si>
    <t>INC_644</t>
  </si>
  <si>
    <t>INC_645</t>
  </si>
  <si>
    <t>INC_646</t>
  </si>
  <si>
    <t>INC_647</t>
  </si>
  <si>
    <t>INC_648</t>
  </si>
  <si>
    <t>INC_649</t>
  </si>
  <si>
    <t>INC_650</t>
  </si>
  <si>
    <t>INC_651</t>
  </si>
  <si>
    <t>INC_652</t>
  </si>
  <si>
    <t>INC_653</t>
  </si>
  <si>
    <t>INC_654</t>
  </si>
  <si>
    <t>INC_655</t>
  </si>
  <si>
    <t>INC_656</t>
  </si>
  <si>
    <t>INC_657</t>
  </si>
  <si>
    <t>INC_658</t>
  </si>
  <si>
    <t>INC_659</t>
  </si>
  <si>
    <t>INC_660</t>
  </si>
  <si>
    <t>INC_661</t>
  </si>
  <si>
    <t>INC_662</t>
  </si>
  <si>
    <t>INC_663</t>
  </si>
  <si>
    <t>INC_664</t>
  </si>
  <si>
    <t>INC_665</t>
  </si>
  <si>
    <t>INC_666</t>
  </si>
  <si>
    <t>INC_667</t>
  </si>
  <si>
    <t>INC_668</t>
  </si>
  <si>
    <t>INC_669</t>
  </si>
  <si>
    <t>INC_670</t>
  </si>
  <si>
    <t>INC_671</t>
  </si>
  <si>
    <t>INC_672</t>
  </si>
  <si>
    <t>INC_673</t>
  </si>
  <si>
    <t>INC_674</t>
  </si>
  <si>
    <t>INC_675</t>
  </si>
  <si>
    <t>INC_676</t>
  </si>
  <si>
    <t>INC_677</t>
  </si>
  <si>
    <t>INC_678</t>
  </si>
  <si>
    <t>INC_679</t>
  </si>
  <si>
    <t>INC_680</t>
  </si>
  <si>
    <t>INC_681</t>
  </si>
  <si>
    <t>INC_682</t>
  </si>
  <si>
    <t>INC_683</t>
  </si>
  <si>
    <t>INC_684</t>
  </si>
  <si>
    <t>INC_685</t>
  </si>
  <si>
    <t>INC_686</t>
  </si>
  <si>
    <t>INC_687</t>
  </si>
  <si>
    <t>INC_688</t>
  </si>
  <si>
    <t>INC_689</t>
  </si>
  <si>
    <t>INC_690</t>
  </si>
  <si>
    <t>INC_691</t>
  </si>
  <si>
    <t>INC_692</t>
  </si>
  <si>
    <t>INC_693</t>
  </si>
  <si>
    <t>INC_694</t>
  </si>
  <si>
    <t>INC_695</t>
  </si>
  <si>
    <t>INC_696</t>
  </si>
  <si>
    <t>INC_697</t>
  </si>
  <si>
    <t>INC_698</t>
  </si>
  <si>
    <t>INC_699</t>
  </si>
  <si>
    <t>INC_700</t>
  </si>
  <si>
    <t>INC_701</t>
  </si>
  <si>
    <t>INC_702</t>
  </si>
  <si>
    <t>INC_703</t>
  </si>
  <si>
    <t>INC_704</t>
  </si>
  <si>
    <t>INC_705</t>
  </si>
  <si>
    <t>INC_706</t>
  </si>
  <si>
    <t>INC_707</t>
  </si>
  <si>
    <t>INC_708</t>
  </si>
  <si>
    <t>INC_709</t>
  </si>
  <si>
    <t>INC_710</t>
  </si>
  <si>
    <t>INC_711</t>
  </si>
  <si>
    <t>INC_712</t>
  </si>
  <si>
    <t>INC_713</t>
  </si>
  <si>
    <t>INC_714</t>
  </si>
  <si>
    <t>INC_715</t>
  </si>
  <si>
    <t>INC_716</t>
  </si>
  <si>
    <t>INC_717</t>
  </si>
  <si>
    <t>INC_718</t>
  </si>
  <si>
    <t>INC_719</t>
  </si>
  <si>
    <t>INC_720</t>
  </si>
  <si>
    <t>INC_721</t>
  </si>
  <si>
    <t>INC_722</t>
  </si>
  <si>
    <t>INC_723</t>
  </si>
  <si>
    <t>INC_724</t>
  </si>
  <si>
    <t>INC_725</t>
  </si>
  <si>
    <t>INC_726</t>
  </si>
  <si>
    <t>INC_727</t>
  </si>
  <si>
    <t>INC_728</t>
  </si>
  <si>
    <t>INC_729</t>
  </si>
  <si>
    <t>INC_730</t>
  </si>
  <si>
    <t>INC_731</t>
  </si>
  <si>
    <t>INC_732</t>
  </si>
  <si>
    <t>INC_733</t>
  </si>
  <si>
    <t>INC_734</t>
  </si>
  <si>
    <t>INC_735</t>
  </si>
  <si>
    <t>INC_736</t>
  </si>
  <si>
    <t>INC_737</t>
  </si>
  <si>
    <t>INC_738</t>
  </si>
  <si>
    <t>INC_739</t>
  </si>
  <si>
    <t>INC_740</t>
  </si>
  <si>
    <t>INC_741</t>
  </si>
  <si>
    <t>INC_742</t>
  </si>
  <si>
    <t>INC_743</t>
  </si>
  <si>
    <t>INC_744</t>
  </si>
  <si>
    <t>INC_745</t>
  </si>
  <si>
    <t>INC_746</t>
  </si>
  <si>
    <t>INC_747</t>
  </si>
  <si>
    <t>INC_748</t>
  </si>
  <si>
    <t>INC_749</t>
  </si>
  <si>
    <t>INC_750</t>
  </si>
  <si>
    <t>INC_751</t>
  </si>
  <si>
    <t>INC_752</t>
  </si>
  <si>
    <t>INC_753</t>
  </si>
  <si>
    <t>INC_754</t>
  </si>
  <si>
    <t>INC_755</t>
  </si>
  <si>
    <t>INC_756</t>
  </si>
  <si>
    <t>INC_757</t>
  </si>
  <si>
    <t>INC_758</t>
  </si>
  <si>
    <t>INC_759</t>
  </si>
  <si>
    <t>INC_760</t>
  </si>
  <si>
    <t>INC_761</t>
  </si>
  <si>
    <t>INC_762</t>
  </si>
  <si>
    <t>INC_763</t>
  </si>
  <si>
    <t>INC_764</t>
  </si>
  <si>
    <t>INC_765</t>
  </si>
  <si>
    <t>INC_766</t>
  </si>
  <si>
    <t>INC_767</t>
  </si>
  <si>
    <t>INC_768</t>
  </si>
  <si>
    <t>INC_769</t>
  </si>
  <si>
    <t>INC_770</t>
  </si>
  <si>
    <t>INC_771</t>
  </si>
  <si>
    <t>INC_772</t>
  </si>
  <si>
    <t>INC_773</t>
  </si>
  <si>
    <t>INC_774</t>
  </si>
  <si>
    <t>INC_775</t>
  </si>
  <si>
    <t>INC_776</t>
  </si>
  <si>
    <t>INC_777</t>
  </si>
  <si>
    <t>INC_778</t>
  </si>
  <si>
    <t>INC_779</t>
  </si>
  <si>
    <t>INC_780</t>
  </si>
  <si>
    <t>INC_781</t>
  </si>
  <si>
    <t>INC_782</t>
  </si>
  <si>
    <t>INC_783</t>
  </si>
  <si>
    <t>INC_784</t>
  </si>
  <si>
    <t>INC_785</t>
  </si>
  <si>
    <t>INC_786</t>
  </si>
  <si>
    <t>INC_787</t>
  </si>
  <si>
    <t>INC_788</t>
  </si>
  <si>
    <t>INC_789</t>
  </si>
  <si>
    <t>INC_790</t>
  </si>
  <si>
    <t>INC_791</t>
  </si>
  <si>
    <t>INC_792</t>
  </si>
  <si>
    <t>INC_793</t>
  </si>
  <si>
    <t>INC_794</t>
  </si>
  <si>
    <t>INC_795</t>
  </si>
  <si>
    <t>INC_796</t>
  </si>
  <si>
    <t>INC_797</t>
  </si>
  <si>
    <t>INC_798</t>
  </si>
  <si>
    <t>INC_799</t>
  </si>
  <si>
    <t>INC_800</t>
  </si>
  <si>
    <t>INC_801</t>
  </si>
  <si>
    <t>INC_802</t>
  </si>
  <si>
    <t>INC_803</t>
  </si>
  <si>
    <t>INC_804</t>
  </si>
  <si>
    <t>INC_805</t>
  </si>
  <si>
    <t>INC_806</t>
  </si>
  <si>
    <t>INC_807</t>
  </si>
  <si>
    <t>INC_808</t>
  </si>
  <si>
    <t>INC_809</t>
  </si>
  <si>
    <t>INC_810</t>
  </si>
  <si>
    <t>INC_811</t>
  </si>
  <si>
    <t>INC_812</t>
  </si>
  <si>
    <t>INC_813</t>
  </si>
  <si>
    <t>INC_814</t>
  </si>
  <si>
    <t>INC_815</t>
  </si>
  <si>
    <t>INC_816</t>
  </si>
  <si>
    <t>INC_817</t>
  </si>
  <si>
    <t>INC_818</t>
  </si>
  <si>
    <t>INC_819</t>
  </si>
  <si>
    <t>INC_820</t>
  </si>
  <si>
    <t>INC_821</t>
  </si>
  <si>
    <t>INC_822</t>
  </si>
  <si>
    <t>INC_823</t>
  </si>
  <si>
    <t>INC_824</t>
  </si>
  <si>
    <t>INC_825</t>
  </si>
  <si>
    <t>INC_826</t>
  </si>
  <si>
    <t>INC_827</t>
  </si>
  <si>
    <t>INC_828</t>
  </si>
  <si>
    <t>INC_829</t>
  </si>
  <si>
    <t>INC_830</t>
  </si>
  <si>
    <t>INC_831</t>
  </si>
  <si>
    <t>INC_832</t>
  </si>
  <si>
    <t>INC_833</t>
  </si>
  <si>
    <t>INC_834</t>
  </si>
  <si>
    <t>INC_835</t>
  </si>
  <si>
    <t>INC_836</t>
  </si>
  <si>
    <t>INC_837</t>
  </si>
  <si>
    <t>INC_838</t>
  </si>
  <si>
    <t>INC_839</t>
  </si>
  <si>
    <t>INC_840</t>
  </si>
  <si>
    <t>INC_841</t>
  </si>
  <si>
    <t>INC_842</t>
  </si>
  <si>
    <t>INC_843</t>
  </si>
  <si>
    <t>INC_844</t>
  </si>
  <si>
    <t>INC_845</t>
  </si>
  <si>
    <t>INC_846</t>
  </si>
  <si>
    <t>INC_847</t>
  </si>
  <si>
    <t>INC_848</t>
  </si>
  <si>
    <t>INC_849</t>
  </si>
  <si>
    <t>INC_850</t>
  </si>
  <si>
    <t>INC_851</t>
  </si>
  <si>
    <t>INC_852</t>
  </si>
  <si>
    <t>INC_853</t>
  </si>
  <si>
    <t>INC_854</t>
  </si>
  <si>
    <t>INC_855</t>
  </si>
  <si>
    <t>INC_856</t>
  </si>
  <si>
    <t>INC_857</t>
  </si>
  <si>
    <t>INC_858</t>
  </si>
  <si>
    <t>INC_859</t>
  </si>
  <si>
    <t>INC_860</t>
  </si>
  <si>
    <t>INC_861</t>
  </si>
  <si>
    <t>INC_862</t>
  </si>
  <si>
    <t>INC_863</t>
  </si>
  <si>
    <t>INC_864</t>
  </si>
  <si>
    <t>INC_865</t>
  </si>
  <si>
    <t>INC_866</t>
  </si>
  <si>
    <t>INC_867</t>
  </si>
  <si>
    <t>INC_868</t>
  </si>
  <si>
    <t>INC_869</t>
  </si>
  <si>
    <t>INC_870</t>
  </si>
  <si>
    <t>INC_871</t>
  </si>
  <si>
    <t>INC_872</t>
  </si>
  <si>
    <t>INC_873</t>
  </si>
  <si>
    <t>INC_874</t>
  </si>
  <si>
    <t>INC_875</t>
  </si>
  <si>
    <t>INC_876</t>
  </si>
  <si>
    <t>INC_877</t>
  </si>
  <si>
    <t>INC_878</t>
  </si>
  <si>
    <t>INC_879</t>
  </si>
  <si>
    <t>INC_880</t>
  </si>
  <si>
    <t>INC_881</t>
  </si>
  <si>
    <t>INC_882</t>
  </si>
  <si>
    <t>INC_883</t>
  </si>
  <si>
    <t>INC_884</t>
  </si>
  <si>
    <t>INC_885</t>
  </si>
  <si>
    <t>INC_886</t>
  </si>
  <si>
    <t>INC_887</t>
  </si>
  <si>
    <t>INC_888</t>
  </si>
  <si>
    <t>INC_889</t>
  </si>
  <si>
    <t>INC_890</t>
  </si>
  <si>
    <t>INC_891</t>
  </si>
  <si>
    <t>INC_892</t>
  </si>
  <si>
    <t>INC_893</t>
  </si>
  <si>
    <t>INC_894</t>
  </si>
  <si>
    <t>INC_895</t>
  </si>
  <si>
    <t>INC_896</t>
  </si>
  <si>
    <t>INC_897</t>
  </si>
  <si>
    <t>INC_898</t>
  </si>
  <si>
    <t>INC_899</t>
  </si>
  <si>
    <t>INC_900</t>
  </si>
  <si>
    <t>INC_901</t>
  </si>
  <si>
    <t>INC_902</t>
  </si>
  <si>
    <t>INC_903</t>
  </si>
  <si>
    <t>INC_904</t>
  </si>
  <si>
    <t>INC_905</t>
  </si>
  <si>
    <t>INC_906</t>
  </si>
  <si>
    <t>INC_907</t>
  </si>
  <si>
    <t>INC_908</t>
  </si>
  <si>
    <t>INC_909</t>
  </si>
  <si>
    <t>INC_910</t>
  </si>
  <si>
    <t>INC_911</t>
  </si>
  <si>
    <t>INC_912</t>
  </si>
  <si>
    <t>INC_913</t>
  </si>
  <si>
    <t>INC_914</t>
  </si>
  <si>
    <t>INC_915</t>
  </si>
  <si>
    <t>INC_916</t>
  </si>
  <si>
    <t>INC_917</t>
  </si>
  <si>
    <t>INC_918</t>
  </si>
  <si>
    <t>INC_919</t>
  </si>
  <si>
    <t>INC_920</t>
  </si>
  <si>
    <t>INC_921</t>
  </si>
  <si>
    <t>INC_922</t>
  </si>
  <si>
    <t>INC_923</t>
  </si>
  <si>
    <t>INC_924</t>
  </si>
  <si>
    <t>INC_925</t>
  </si>
  <si>
    <t>INC_926</t>
  </si>
  <si>
    <t>INC_927</t>
  </si>
  <si>
    <t>INC_928</t>
  </si>
  <si>
    <t>INC_929</t>
  </si>
  <si>
    <t>INC_930</t>
  </si>
  <si>
    <t>INC_931</t>
  </si>
  <si>
    <t>INC_932</t>
  </si>
  <si>
    <t>INC_933</t>
  </si>
  <si>
    <t>INC_934</t>
  </si>
  <si>
    <t>INC_935</t>
  </si>
  <si>
    <t>INC_936</t>
  </si>
  <si>
    <t>INC_937</t>
  </si>
  <si>
    <t>INC_938</t>
  </si>
  <si>
    <t>INC_939</t>
  </si>
  <si>
    <t>INC_940</t>
  </si>
  <si>
    <t>INC_941</t>
  </si>
  <si>
    <t>INC_942</t>
  </si>
  <si>
    <t>INC_943</t>
  </si>
  <si>
    <t>INC_944</t>
  </si>
  <si>
    <t>INC_945</t>
  </si>
  <si>
    <t>INC_946</t>
  </si>
  <si>
    <t>INC_947</t>
  </si>
  <si>
    <t>INC_948</t>
  </si>
  <si>
    <t>INC_949</t>
  </si>
  <si>
    <t>INC_950</t>
  </si>
  <si>
    <t>INC_951</t>
  </si>
  <si>
    <t>INC_952</t>
  </si>
  <si>
    <t>INC_953</t>
  </si>
  <si>
    <t>INC_954</t>
  </si>
  <si>
    <t>INC_955</t>
  </si>
  <si>
    <t>INC_956</t>
  </si>
  <si>
    <t>INC_957</t>
  </si>
  <si>
    <t>INC_958</t>
  </si>
  <si>
    <t>INC_959</t>
  </si>
  <si>
    <t>INC_960</t>
  </si>
  <si>
    <t>INC_961</t>
  </si>
  <si>
    <t>INC_962</t>
  </si>
  <si>
    <t>INC_963</t>
  </si>
  <si>
    <t>INC_964</t>
  </si>
  <si>
    <t>INC_965</t>
  </si>
  <si>
    <t>INC_966</t>
  </si>
  <si>
    <t>INC_967</t>
  </si>
  <si>
    <t>INC_968</t>
  </si>
  <si>
    <t>INC_969</t>
  </si>
  <si>
    <t>INC_970</t>
  </si>
  <si>
    <t>INC_971</t>
  </si>
  <si>
    <t>INC_972</t>
  </si>
  <si>
    <t>INC_973</t>
  </si>
  <si>
    <t>INC_974</t>
  </si>
  <si>
    <t>INC_975</t>
  </si>
  <si>
    <t>INC_976</t>
  </si>
  <si>
    <t>INC_977</t>
  </si>
  <si>
    <t>INC_978</t>
  </si>
  <si>
    <t>INC_979</t>
  </si>
  <si>
    <t>INC_980</t>
  </si>
  <si>
    <t>INC_981</t>
  </si>
  <si>
    <t>INC_982</t>
  </si>
  <si>
    <t>INC_983</t>
  </si>
  <si>
    <t>INC_984</t>
  </si>
  <si>
    <t>INC_985</t>
  </si>
  <si>
    <t>INC_986</t>
  </si>
  <si>
    <t>INC_987</t>
  </si>
  <si>
    <t>INC_988</t>
  </si>
  <si>
    <t>INC_989</t>
  </si>
  <si>
    <t>INC_990</t>
  </si>
  <si>
    <t>INC_991</t>
  </si>
  <si>
    <t>INC_992</t>
  </si>
  <si>
    <t>INC_993</t>
  </si>
  <si>
    <t>INC_994</t>
  </si>
  <si>
    <t>INC_995</t>
  </si>
  <si>
    <t>INC_996</t>
  </si>
  <si>
    <t>INC_997</t>
  </si>
  <si>
    <t>INC_998</t>
  </si>
  <si>
    <t>INC_999</t>
  </si>
  <si>
    <t>INC_1000</t>
  </si>
  <si>
    <t>INC_1001</t>
  </si>
  <si>
    <t>INC_1002</t>
  </si>
  <si>
    <t>INC_1003</t>
  </si>
  <si>
    <t>INC_1004</t>
  </si>
  <si>
    <t>INC_1005</t>
  </si>
  <si>
    <t>INC_1006</t>
  </si>
  <si>
    <t>INC_1007</t>
  </si>
  <si>
    <t>TIPO DE PRUEBA</t>
  </si>
  <si>
    <t>Funcionales</t>
  </si>
  <si>
    <t>Carga</t>
  </si>
  <si>
    <t>Estrés</t>
  </si>
  <si>
    <t>Automáticas</t>
  </si>
  <si>
    <t>Tipo de pruebas</t>
  </si>
  <si>
    <t xml:space="preserve">SPRINT 3 </t>
  </si>
  <si>
    <t xml:space="preserve">SPRINT 2 </t>
  </si>
  <si>
    <t>Tipos de pruebas</t>
  </si>
  <si>
    <t>Proveedor 1x</t>
  </si>
  <si>
    <t>Proveedor 2x</t>
  </si>
  <si>
    <t>Proveedor 3x</t>
  </si>
  <si>
    <t>FUNCIONALIDADES QUE SALDRÁN DEL ALCANCE EN EL SRINT</t>
  </si>
  <si>
    <t>INFORME GENERAL AVANCE DEL PROYECTO</t>
  </si>
  <si>
    <t>Historia de Usuario / Requisito</t>
  </si>
  <si>
    <t>Nombre del proyecto</t>
  </si>
  <si>
    <t>Número de sprint estimados</t>
  </si>
  <si>
    <t>Fecha estimada inicio Sprint</t>
  </si>
  <si>
    <t>Fecha estimada final Sprint</t>
  </si>
  <si>
    <t>Fecha real inicio Sprint</t>
  </si>
  <si>
    <t>Fecha real final Sprint</t>
  </si>
  <si>
    <t>FUNCIONALIDADES QUE SALDRÁN DEL ALCANCE EN EL SPRINT</t>
  </si>
  <si>
    <t>Metodología Agil</t>
  </si>
  <si>
    <t>Cantidad de Sprint</t>
  </si>
  <si>
    <t xml:space="preserve">Sprint </t>
  </si>
  <si>
    <t>Incidentes reportados por naturaleza</t>
  </si>
  <si>
    <t>Incidentes reportados por severidad</t>
  </si>
  <si>
    <t>Incidentes reportados por proveedor</t>
  </si>
  <si>
    <t>FUNCIONALIDADES QUE QUEDARON PENDIENTES DEL SPRINT</t>
  </si>
  <si>
    <t>Nombre usuario / PO:</t>
  </si>
  <si>
    <t>Analista GA / Scrum Máster:</t>
  </si>
  <si>
    <t>Incidentes aplicables producción</t>
  </si>
  <si>
    <t>Incidentes No aplicables producción</t>
  </si>
  <si>
    <t>Puntos comprometidos</t>
  </si>
  <si>
    <t>Versión: 10
Fecha de emisión:  21/03/2018
Código: F-TAI-010-001</t>
  </si>
  <si>
    <t>(blank)</t>
  </si>
  <si>
    <t>SPRINT 2</t>
  </si>
  <si>
    <t xml:space="preserve">No hace parte del alcance de la prueba:
• Ejecutar otras transacciones que no estén incluidas en este diseño. 
• Cualquier otra validación o funcionalidad no incluida explícitamente en la estrategia. 
• La ejecución de las pruebas son de ámbito funcional, por lo tanto no se deben considerar como criterio de aceptación de pruebas de performance y seguridad.
</t>
  </si>
  <si>
    <t>Escenario Impacto Alto</t>
  </si>
  <si>
    <t>Escenario Impacto Medio</t>
  </si>
  <si>
    <t>Escenario Impacto Bajo</t>
  </si>
  <si>
    <t>Total número de Escenario</t>
  </si>
  <si>
    <t>Nro Escenario</t>
  </si>
  <si>
    <t>Impacto Escenario</t>
  </si>
  <si>
    <t>Total Escenario de prueba por proyecto</t>
  </si>
  <si>
    <t>Total Escenario de prueba por sprint</t>
  </si>
  <si>
    <t>Ejecución 1</t>
  </si>
  <si>
    <t>Ejecución 3</t>
  </si>
  <si>
    <t>Ejecución 4</t>
  </si>
  <si>
    <t>UAT</t>
  </si>
  <si>
    <t>Compensación Alkosto</t>
  </si>
  <si>
    <t>Versión: 10
Fecha de emisión:  21/06/2019
Código: F-TAI-010-001</t>
  </si>
  <si>
    <t>Versión: 10
Fecha de emisión:  26/06/2019
Código: F-TAI-010-001</t>
  </si>
  <si>
    <t xml:space="preserve">: </t>
  </si>
  <si>
    <t xml:space="preserve">* Se requiere que el ambiente de pruebas sea funcional mientras se ejecutan las pruebas. 
* Documentación técnica del aplicativo y acompañamiento del equipo de desarrollo.
 </t>
  </si>
  <si>
    <t>Supuestos: 
* Se contará con ambiente estable de pruebas del aplicativo a probar. 
* Se contará con  usuarios configurados en ambiente de calidad para la ejecución de las pruebas. 
* Se contará con el apoyo de desarrollo.
* Para el cumplimiento del plan, se requiere tener unos tiempos adecuados de respuesta en la solución de errores, tanto de ambiente como de funcionalidad. Se espera respuesta en un tiempo máximo de 30 minutos para temas de ambiente y de 2 horas para los errores stopper.
Limitaciones:
* No contar con el apoyo de desarrollo para la ejecucion de las pruebas.
* No contar con ambiente estable para la ejecución de las pruebas.
* Usuarios no parametrizados correctamente. 
* No tener la documentación que se precisa.</t>
  </si>
  <si>
    <t>Las pruebas se ejecutaran  atravez de una automatizacion bajo las siguientes herramientas enfocadas a DevOps: 
* Java
* Junit
* Serenity
* Screenplay
* Maven
* Cucumber</t>
  </si>
  <si>
    <t xml:space="preserve">De acuerdo a los requerimientos planteados por el cliente, las pruebas estarán enfocadas al correcto funcionamiento de las operaciones especificadas en FUNCIONALIDADES A PROBAR para la aplicacion generar Widget TUYA APP. La generación del informe será ejecutado y obtenido a través del consumo de la API expuesta en Azure en ambiente de desarrollo.
Se evaluará los codigos de estado 200, 404 y 401 para cada uno de los endPoints mientras se consideren necesareos y estructuras de respuesta frente a las peticiones hechas a los diferentes servicios.
</t>
  </si>
  <si>
    <t>autenticarCliente</t>
  </si>
  <si>
    <t>obtenerProductosActivos</t>
  </si>
  <si>
    <t>obtenerCupoProductos,</t>
  </si>
  <si>
    <t>cerrarSesionCliente</t>
  </si>
  <si>
    <t>generarOTP</t>
  </si>
  <si>
    <t>actualizarSesion</t>
  </si>
  <si>
    <t xml:space="preserve">Las validaciones incluidas en la prueba serán las siguientes:
Se consumirán los diferentes servicios ya estipulados en FUNCIONALIDADES A PROBAR mediante la libreria io.restassured, esta enviará una peticion a cada uno de ellos, estos devolveran una respuesta, primeramente será validado el codigo de estado, posterior a ellos se validara su estructura y por ultimo se validará valores de respuesta, todo esto se entrará a validar mediante un proceso automatizado.
</t>
  </si>
  <si>
    <t>Hacer una peticion de conultar productos por Id</t>
  </si>
  <si>
    <t>Hacer una peticion de productos franquiciados</t>
  </si>
  <si>
    <t>Hacer una peticion de cosulta parametros</t>
  </si>
  <si>
    <t>Hacer una peticion de consulta cupos tarjeta</t>
  </si>
  <si>
    <t>Hacer una peticion de obtener informacion cliente</t>
  </si>
  <si>
    <r>
      <rPr>
        <b/>
        <sz val="11"/>
        <rFont val="Arial"/>
        <family val="2"/>
      </rPr>
      <t>Escenario:</t>
    </r>
    <r>
      <rPr>
        <sz val="11"/>
        <rFont val="Arial"/>
        <family val="2"/>
      </rPr>
      <t xml:space="preserve"> Hacer una peticion de conultar productos por Id
    </t>
    </r>
    <r>
      <rPr>
        <b/>
        <sz val="11"/>
        <rFont val="Arial"/>
        <family val="2"/>
      </rPr>
      <t>Dado</t>
    </r>
    <r>
      <rPr>
        <sz val="11"/>
        <rFont val="Arial"/>
        <family val="2"/>
      </rPr>
      <t xml:space="preserve"> que el consumidor consumidor quiere validar el consumo de el servicio 'ConsultarProductos.xml'
    </t>
    </r>
    <r>
      <rPr>
        <b/>
        <sz val="11"/>
        <rFont val="Arial"/>
        <family val="2"/>
      </rPr>
      <t>Y</t>
    </r>
    <r>
      <rPr>
        <sz val="11"/>
        <rFont val="Arial"/>
        <family val="2"/>
      </rPr>
      <t xml:space="preserve"> se consume el servicio validando el puerto '7083' con endPoint 'https://brokerdllo.tuya.corp:@PuertoDePrueba/intf/fw/ChannelAdapter/V2.0'
    </t>
    </r>
    <r>
      <rPr>
        <b/>
        <sz val="11"/>
        <rFont val="Arial"/>
        <family val="2"/>
      </rPr>
      <t>Y</t>
    </r>
    <r>
      <rPr>
        <sz val="11"/>
        <rFont val="Arial"/>
        <family val="2"/>
      </rPr>
      <t xml:space="preserve"> se consume el servicio validando el puerto '7090' con endPoint 'https://brokerdllo.tuya.corp:@PuertoDePrueba/intf/fw/ChannelAdapter/V2.0'
    </t>
    </r>
    <r>
      <rPr>
        <b/>
        <sz val="11"/>
        <rFont val="Arial"/>
        <family val="2"/>
      </rPr>
      <t>Entonces</t>
    </r>
    <r>
      <rPr>
        <sz val="11"/>
        <rFont val="Arial"/>
        <family val="2"/>
      </rPr>
      <t xml:space="preserve"> deberia ver que el el response de el puerto 7083 y 7090 para el servicio 'ConsultaProductosFranquiciados.xml' son totalmente iguales</t>
    </r>
  </si>
  <si>
    <r>
      <rPr>
        <b/>
        <sz val="11"/>
        <rFont val="Arial"/>
        <family val="2"/>
      </rPr>
      <t>Escenario:</t>
    </r>
    <r>
      <rPr>
        <sz val="11"/>
        <rFont val="Arial"/>
        <family val="2"/>
      </rPr>
      <t xml:space="preserve"> Hacer una peticion de productos franquiciados
    </t>
    </r>
    <r>
      <rPr>
        <b/>
        <sz val="11"/>
        <rFont val="Arial"/>
        <family val="2"/>
      </rPr>
      <t>Dado</t>
    </r>
    <r>
      <rPr>
        <sz val="11"/>
        <rFont val="Arial"/>
        <family val="2"/>
      </rPr>
      <t xml:space="preserve"> que el consumidor consumidor quiere validar el consumo de el servicio 'ConsultarProductosFranquiciados.xml'
    </t>
    </r>
    <r>
      <rPr>
        <b/>
        <sz val="11"/>
        <rFont val="Arial"/>
        <family val="2"/>
      </rPr>
      <t>Y</t>
    </r>
    <r>
      <rPr>
        <sz val="11"/>
        <rFont val="Arial"/>
        <family val="2"/>
      </rPr>
      <t xml:space="preserve"> se consume el servicio validando el puerto '7083' con endPoint 'https://brokerdllo.tuya.corp:@PuertoDePrueba/intf/fw/ChannelAdapter/V2.0'
    </t>
    </r>
    <r>
      <rPr>
        <b/>
        <sz val="11"/>
        <rFont val="Arial"/>
        <family val="2"/>
      </rPr>
      <t>Y</t>
    </r>
    <r>
      <rPr>
        <sz val="11"/>
        <rFont val="Arial"/>
        <family val="2"/>
      </rPr>
      <t xml:space="preserve"> se consume el servicio validando el puerto '7090' con endPoint 'https://brokerdllo.tuya.corp:@PuertoDePrueba/intf/fw/ChannelAdapter/V2.0'
    </t>
    </r>
    <r>
      <rPr>
        <b/>
        <sz val="11"/>
        <rFont val="Arial"/>
        <family val="2"/>
      </rPr>
      <t>Entonces</t>
    </r>
    <r>
      <rPr>
        <sz val="11"/>
        <rFont val="Arial"/>
        <family val="2"/>
      </rPr>
      <t xml:space="preserve"> deberia ver que el el response de el puerto 7083 y 7090 para el servicio 'ConsultarProductos' son totalmente iguales </t>
    </r>
  </si>
  <si>
    <r>
      <rPr>
        <b/>
        <sz val="11"/>
        <rFont val="Arial"/>
        <family val="2"/>
      </rPr>
      <t>Escenario:</t>
    </r>
    <r>
      <rPr>
        <sz val="11"/>
        <rFont val="Arial"/>
        <family val="2"/>
      </rPr>
      <t xml:space="preserve"> Hacer una peticion de cosulta parametros
    </t>
    </r>
    <r>
      <rPr>
        <b/>
        <sz val="11"/>
        <rFont val="Arial"/>
        <family val="2"/>
      </rPr>
      <t>Dado</t>
    </r>
    <r>
      <rPr>
        <sz val="11"/>
        <rFont val="Arial"/>
        <family val="2"/>
      </rPr>
      <t xml:space="preserve"> que el consumidor consumidor quiere validar el consumo de el servicio 'ConsultarParametros.xml'
    </t>
    </r>
    <r>
      <rPr>
        <b/>
        <sz val="11"/>
        <rFont val="Arial"/>
        <family val="2"/>
      </rPr>
      <t>Y</t>
    </r>
    <r>
      <rPr>
        <sz val="11"/>
        <rFont val="Arial"/>
        <family val="2"/>
      </rPr>
      <t xml:space="preserve"> se consume el servicio validando el puerto '7083' con endPoint 'https://brokerdllo.tuya.corp:@PuertoDePrueba/intf/fw/ChannelAdapter/V2.0'
    </t>
    </r>
    <r>
      <rPr>
        <b/>
        <sz val="11"/>
        <rFont val="Arial"/>
        <family val="2"/>
      </rPr>
      <t>Y</t>
    </r>
    <r>
      <rPr>
        <sz val="11"/>
        <rFont val="Arial"/>
        <family val="2"/>
      </rPr>
      <t xml:space="preserve"> se consume el servicio validando el puerto '7090' con endPoint 'https://brokerdllo.tuya.corp:@PuertoDePrueba/intf/fw/ChannelAdapter/V2.0'
    </t>
    </r>
    <r>
      <rPr>
        <b/>
        <sz val="11"/>
        <rFont val="Arial"/>
        <family val="2"/>
      </rPr>
      <t>Entonces</t>
    </r>
    <r>
      <rPr>
        <sz val="11"/>
        <rFont val="Arial"/>
        <family val="2"/>
      </rPr>
      <t xml:space="preserve"> deberia ver que el el response de el puerto 7083 y 7090 para el servicio 'ConsultarParametros' son totalmente iguales </t>
    </r>
  </si>
  <si>
    <r>
      <rPr>
        <b/>
        <sz val="11"/>
        <rFont val="Arial"/>
        <family val="2"/>
      </rPr>
      <t>Escenario:</t>
    </r>
    <r>
      <rPr>
        <sz val="11"/>
        <rFont val="Arial"/>
        <family val="2"/>
      </rPr>
      <t xml:space="preserve"> Hacer una peticion de consulta cupos tarjeta
    </t>
    </r>
    <r>
      <rPr>
        <b/>
        <sz val="11"/>
        <rFont val="Arial"/>
        <family val="2"/>
      </rPr>
      <t>Dado</t>
    </r>
    <r>
      <rPr>
        <sz val="11"/>
        <rFont val="Arial"/>
        <family val="2"/>
      </rPr>
      <t xml:space="preserve"> que el consumidor consumidor quiere validar el consumo de el servicio 'obtenerCuposTarjeta.xml'
    </t>
    </r>
    <r>
      <rPr>
        <b/>
        <sz val="11"/>
        <rFont val="Arial"/>
        <family val="2"/>
      </rPr>
      <t>Y</t>
    </r>
    <r>
      <rPr>
        <sz val="11"/>
        <rFont val="Arial"/>
        <family val="2"/>
      </rPr>
      <t xml:space="preserve"> se consume el servicio validando el puerto '7083' con endPoint 'https://brokerdllo.tuya.corp:@PuertoDePrueba/intf/fw/ChannelAdapter/V2.0'
    </t>
    </r>
    <r>
      <rPr>
        <b/>
        <sz val="11"/>
        <rFont val="Arial"/>
        <family val="2"/>
      </rPr>
      <t>Y</t>
    </r>
    <r>
      <rPr>
        <sz val="11"/>
        <rFont val="Arial"/>
        <family val="2"/>
      </rPr>
      <t xml:space="preserve"> se consume el servicio validando el puerto '7090' con endPoint 'https://brokerdllo.tuya.corp:@PuertoDePrueba/intf/fw/ChannelAdapter/V2.0'
    </t>
    </r>
    <r>
      <rPr>
        <b/>
        <sz val="11"/>
        <rFont val="Arial"/>
        <family val="2"/>
      </rPr>
      <t>Entonces</t>
    </r>
    <r>
      <rPr>
        <sz val="11"/>
        <rFont val="Arial"/>
        <family val="2"/>
      </rPr>
      <t xml:space="preserve"> deberia ver que el el response de el puerto 7083 y 7090 para el servicio 'obtenerCuposTarjeta' son totalmente iguales </t>
    </r>
  </si>
  <si>
    <r>
      <rPr>
        <b/>
        <sz val="11"/>
        <rFont val="Arial"/>
        <family val="2"/>
      </rPr>
      <t>Escenario:</t>
    </r>
    <r>
      <rPr>
        <sz val="11"/>
        <rFont val="Arial"/>
        <family val="2"/>
      </rPr>
      <t xml:space="preserve"> Hacer una peticion de obtener informacion cliente
    </t>
    </r>
    <r>
      <rPr>
        <b/>
        <sz val="11"/>
        <rFont val="Arial"/>
        <family val="2"/>
      </rPr>
      <t>Dado</t>
    </r>
    <r>
      <rPr>
        <sz val="11"/>
        <rFont val="Arial"/>
        <family val="2"/>
      </rPr>
      <t xml:space="preserve"> que el consumidor consumidor quiere validar el consumo de el servicio 'obtenerInformacionCliente.xml'
    </t>
    </r>
    <r>
      <rPr>
        <b/>
        <sz val="11"/>
        <rFont val="Arial"/>
        <family val="2"/>
      </rPr>
      <t>Y</t>
    </r>
    <r>
      <rPr>
        <sz val="11"/>
        <rFont val="Arial"/>
        <family val="2"/>
      </rPr>
      <t xml:space="preserve"> se consume el servicio validando el puerto '7083' con endPoint 'https://brokerdllo.tuya.corp:@PuertoDePrueba/intf/fw/ChannelAdapter/V2.0'
    </t>
    </r>
    <r>
      <rPr>
        <b/>
        <sz val="11"/>
        <rFont val="Arial"/>
        <family val="2"/>
      </rPr>
      <t>Y</t>
    </r>
    <r>
      <rPr>
        <sz val="11"/>
        <rFont val="Arial"/>
        <family val="2"/>
      </rPr>
      <t xml:space="preserve"> se consume el servicio validando el puerto '7090' con endPoint 'https://brokerdllo.tuya.corp:@PuertoDePrueba/intf/fw/ChannelAdapter/V2.0'
    </t>
    </r>
    <r>
      <rPr>
        <b/>
        <sz val="11"/>
        <rFont val="Arial"/>
        <family val="2"/>
      </rPr>
      <t>Entonces</t>
    </r>
    <r>
      <rPr>
        <sz val="11"/>
        <rFont val="Arial"/>
        <family val="2"/>
      </rPr>
      <t xml:space="preserve"> deberia ver que el el response de el puerto 7083 y 7090 para el servicio 'obtenerInformacionCliente' son totalmente iguales  </t>
    </r>
  </si>
  <si>
    <t xml:space="preserve"> Se requiere que el ambiente de pruebas sea funcional mientras se ejecutan las pruebas.
Documentación técnica del aplicativo y acompañamiento del equipo de desarrollo cuando sea necesario.</t>
  </si>
  <si>
    <t>En este caso se valida que el servicio de ConsultaProductosPorId funcione correctamente por el puerto 7083 y el puero 7090 y que tanto la respuesta por un puerto u otro sean totalmente iguales</t>
  </si>
  <si>
    <t>En este caso se valida que el servicio de ProductosFranquiciados funcione correctamente por el puerto 7083 y el puero 7090 y que tanto la respuesta por un puerto u otro sean totalmente iguales</t>
  </si>
  <si>
    <t>En este caso se valida que el servicio de ConsultaParametros funcione correctamente por el puerto 7083 y el puero 7090 y que tanto la respuesta por un puerto u otro sean totalmente iguales</t>
  </si>
  <si>
    <t>En este caso se valida que el servicio de ConsultaCuposTarjeta funcione correctamente por el puerto 7083 y el puero 7090 y que tanto la respuesta por un puerto u otro sean totalmente iguales</t>
  </si>
  <si>
    <t>En este caso se valida que el servicio de ObtenerInformacionCliente funcione correctamente por el puerto 7083 y el puero 7090 y que tanto la respuesta por un puerto u otro sean totalmente iguales</t>
  </si>
  <si>
    <t>: Mejoras IBM</t>
  </si>
  <si>
    <t>Fecha Aceptación (19/09/2019)</t>
  </si>
  <si>
    <t>: Carlos Julio Piragua Perez</t>
  </si>
  <si>
    <t>• Los servicios han cumplido con los requisitos y criterios de aceptacion definidos por el PO.
• Todos los casos de prueba identificados y diseñados para el proyecto han sido ejecutados.
• Todos los defectos encontrados fueron reportados y se encuentran solucionados.</t>
  </si>
  <si>
    <t>El resultado esperado para la prueba es que al ejecutar el consumo de el servicio tanto por un puerto como por el otro su resultado deberá ser totalmente igual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</si>
</sst>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0"/>
    <numFmt numFmtId="166" formatCode="dd/mm/yyyy;@"/>
    <numFmt numFmtId="167" formatCode="0.0%"/>
  </numFmts>
  <fonts count="82" x14ac:knownFonts="1">
    <font>
      <sz val="11"/>
      <color theme="1"/>
      <name val="Calibri"/>
      <family val="2"/>
      <scheme val="minor"/>
    </font>
    <font>
      <sz val="11"/>
      <color rgb="FFFF0000"/>
      <name val="Calibri"/>
      <family val="2"/>
      <scheme val="minor"/>
    </font>
    <font>
      <b/>
      <sz val="11"/>
      <color theme="1"/>
      <name val="Calibri"/>
      <family val="2"/>
      <scheme val="minor"/>
    </font>
    <font>
      <b/>
      <sz val="11"/>
      <color theme="1"/>
      <name val="Arial"/>
      <family val="2"/>
    </font>
    <font>
      <sz val="8"/>
      <color theme="1"/>
      <name val="Arial"/>
      <family val="2"/>
    </font>
    <font>
      <sz val="11"/>
      <name val="Calibri"/>
      <family val="2"/>
      <scheme val="minor"/>
    </font>
    <font>
      <b/>
      <sz val="11"/>
      <name val="Calibri"/>
      <family val="2"/>
      <scheme val="minor"/>
    </font>
    <font>
      <b/>
      <sz val="12"/>
      <name val="Calibri"/>
      <family val="2"/>
      <scheme val="minor"/>
    </font>
    <font>
      <u/>
      <sz val="11"/>
      <color theme="10"/>
      <name val="Calibri"/>
      <family val="2"/>
      <scheme val="minor"/>
    </font>
    <font>
      <b/>
      <sz val="18"/>
      <color theme="1"/>
      <name val="Calibri"/>
      <family val="2"/>
      <scheme val="minor"/>
    </font>
    <font>
      <b/>
      <sz val="12"/>
      <color rgb="FF0070C0"/>
      <name val="Arial"/>
      <family val="2"/>
    </font>
    <font>
      <b/>
      <u/>
      <sz val="12"/>
      <color rgb="FF0070C0"/>
      <name val="Arial"/>
      <family val="2"/>
    </font>
    <font>
      <sz val="10"/>
      <name val="Arial"/>
      <family val="2"/>
    </font>
    <font>
      <b/>
      <sz val="9"/>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9"/>
      <color theme="1"/>
      <name val="Calibri"/>
      <family val="2"/>
      <scheme val="minor"/>
    </font>
    <font>
      <b/>
      <sz val="12"/>
      <color theme="1"/>
      <name val="Calibri"/>
      <family val="2"/>
      <scheme val="minor"/>
    </font>
    <font>
      <b/>
      <sz val="14"/>
      <name val="Calibri"/>
      <family val="2"/>
      <scheme val="minor"/>
    </font>
    <font>
      <b/>
      <sz val="14"/>
      <color theme="0"/>
      <name val="Calibri"/>
      <family val="2"/>
      <scheme val="minor"/>
    </font>
    <font>
      <sz val="9"/>
      <name val="Calibri"/>
      <family val="2"/>
      <scheme val="minor"/>
    </font>
    <font>
      <b/>
      <sz val="9"/>
      <name val="Calibri"/>
      <family val="2"/>
      <scheme val="minor"/>
    </font>
    <font>
      <sz val="11"/>
      <color theme="1"/>
      <name val="Arial"/>
      <family val="2"/>
    </font>
    <font>
      <b/>
      <sz val="11"/>
      <name val="Arial"/>
      <family val="2"/>
    </font>
    <font>
      <b/>
      <sz val="9"/>
      <color theme="1"/>
      <name val="Arial"/>
      <family val="2"/>
    </font>
    <font>
      <b/>
      <sz val="12"/>
      <name val="Arial"/>
      <family val="2"/>
    </font>
    <font>
      <sz val="11"/>
      <name val="Arial"/>
      <family val="2"/>
    </font>
    <font>
      <sz val="12"/>
      <name val="Arial"/>
      <family val="2"/>
    </font>
    <font>
      <sz val="8"/>
      <name val="Arial"/>
      <family val="2"/>
    </font>
    <font>
      <b/>
      <sz val="10"/>
      <name val="Arial"/>
      <family val="2"/>
    </font>
    <font>
      <b/>
      <sz val="10"/>
      <name val="Calibri"/>
      <family val="2"/>
      <scheme val="minor"/>
    </font>
    <font>
      <b/>
      <sz val="22"/>
      <name val="Calibri"/>
      <family val="2"/>
      <scheme val="minor"/>
    </font>
    <font>
      <sz val="8"/>
      <color rgb="FFFF0000"/>
      <name val="Arial"/>
      <family val="2"/>
    </font>
    <font>
      <b/>
      <sz val="8"/>
      <color theme="1"/>
      <name val="Calibri"/>
      <family val="2"/>
      <scheme val="minor"/>
    </font>
    <font>
      <b/>
      <sz val="10"/>
      <color theme="1"/>
      <name val="Calibri"/>
      <family val="2"/>
      <scheme val="minor"/>
    </font>
    <font>
      <sz val="11"/>
      <color rgb="FF000000"/>
      <name val="Calibri"/>
      <family val="2"/>
    </font>
    <font>
      <b/>
      <sz val="10"/>
      <color rgb="FF000000"/>
      <name val="Calibri"/>
      <family val="2"/>
    </font>
    <font>
      <sz val="8"/>
      <color rgb="FF000000"/>
      <name val="Arial"/>
      <family val="2"/>
    </font>
    <font>
      <sz val="8"/>
      <name val="Calibri"/>
      <family val="2"/>
      <scheme val="minor"/>
    </font>
    <font>
      <b/>
      <sz val="16"/>
      <color theme="1"/>
      <name val="Arial"/>
      <family val="2"/>
    </font>
    <font>
      <sz val="11"/>
      <color theme="0" tint="-0.499984740745262"/>
      <name val="Calibri"/>
      <family val="2"/>
      <scheme val="minor"/>
    </font>
    <font>
      <b/>
      <sz val="14"/>
      <color theme="1"/>
      <name val="Calibri"/>
      <family val="2"/>
      <scheme val="minor"/>
    </font>
    <font>
      <b/>
      <sz val="10"/>
      <color theme="1"/>
      <name val="Arial"/>
      <family val="2"/>
    </font>
    <font>
      <b/>
      <sz val="9"/>
      <color indexed="81"/>
      <name val="Tahoma"/>
      <family val="2"/>
    </font>
    <font>
      <sz val="10"/>
      <color rgb="FF000000"/>
      <name val="Calibri"/>
      <family val="2"/>
    </font>
    <font>
      <sz val="10"/>
      <name val="Calibri"/>
      <family val="2"/>
      <scheme val="minor"/>
    </font>
    <font>
      <b/>
      <sz val="11"/>
      <color rgb="FF000000"/>
      <name val="Calibri"/>
      <family val="2"/>
    </font>
    <font>
      <sz val="9"/>
      <color indexed="81"/>
      <name val="Tahoma"/>
      <family val="2"/>
    </font>
    <font>
      <sz val="9"/>
      <color theme="1"/>
      <name val="Arial"/>
      <family val="2"/>
    </font>
    <font>
      <sz val="10"/>
      <color theme="1"/>
      <name val="Arial"/>
      <family val="2"/>
    </font>
    <font>
      <sz val="14"/>
      <color theme="1"/>
      <name val="Calibri"/>
      <family val="2"/>
      <scheme val="minor"/>
    </font>
    <font>
      <b/>
      <sz val="12"/>
      <color theme="1" tint="0.34998626667073579"/>
      <name val="Calibri"/>
      <family val="2"/>
      <scheme val="minor"/>
    </font>
    <font>
      <sz val="8"/>
      <color rgb="FF000000"/>
      <name val="Tahoma"/>
      <family val="2"/>
    </font>
    <font>
      <sz val="8"/>
      <color theme="1"/>
      <name val="Calibri"/>
      <family val="2"/>
      <scheme val="minor"/>
    </font>
    <font>
      <sz val="11"/>
      <color theme="1" tint="0.249977111117893"/>
      <name val="Calibri"/>
      <family val="2"/>
      <scheme val="minor"/>
    </font>
    <font>
      <b/>
      <sz val="12"/>
      <color theme="1" tint="0.249977111117893"/>
      <name val="Calibri"/>
      <family val="2"/>
      <scheme val="minor"/>
    </font>
    <font>
      <b/>
      <sz val="14"/>
      <color theme="1" tint="0.249977111117893"/>
      <name val="Calibri"/>
      <family val="2"/>
      <scheme val="minor"/>
    </font>
    <font>
      <b/>
      <sz val="11"/>
      <color theme="1" tint="0.249977111117893"/>
      <name val="Calibri"/>
      <family val="2"/>
      <scheme val="minor"/>
    </font>
    <font>
      <b/>
      <sz val="11"/>
      <color theme="1" tint="0.249977111117893"/>
      <name val="Arial"/>
      <family val="2"/>
    </font>
    <font>
      <sz val="8"/>
      <color theme="1" tint="0.249977111117893"/>
      <name val="Arial"/>
      <family val="2"/>
    </font>
    <font>
      <sz val="11"/>
      <color theme="1" tint="0.34998626667073579"/>
      <name val="Calibri"/>
      <family val="2"/>
      <scheme val="minor"/>
    </font>
    <font>
      <b/>
      <i/>
      <sz val="11"/>
      <color theme="1" tint="0.249977111117893"/>
      <name val="Calibri"/>
      <family val="2"/>
      <scheme val="minor"/>
    </font>
    <font>
      <b/>
      <sz val="11"/>
      <color theme="1" tint="0.34998626667073579"/>
      <name val="Arial"/>
      <family val="2"/>
    </font>
    <font>
      <i/>
      <sz val="11"/>
      <color theme="0" tint="-0.499984740745262"/>
      <name val="Calibri"/>
      <family val="2"/>
      <scheme val="minor"/>
    </font>
    <font>
      <b/>
      <sz val="10"/>
      <color theme="1" tint="0.249977111117893"/>
      <name val="Calibri"/>
      <family val="2"/>
      <scheme val="minor"/>
    </font>
    <font>
      <sz val="10"/>
      <color theme="1"/>
      <name val="Calibri"/>
      <family val="2"/>
      <scheme val="minor"/>
    </font>
    <font>
      <b/>
      <sz val="12"/>
      <color theme="0"/>
      <name val="Calibri"/>
      <family val="2"/>
      <scheme val="minor"/>
    </font>
    <font>
      <b/>
      <sz val="12"/>
      <color theme="0" tint="-0.499984740745262"/>
      <name val="Calibri"/>
      <family val="2"/>
      <scheme val="minor"/>
    </font>
  </fonts>
  <fills count="4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2F3BF"/>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4"/>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6" tint="0.39997558519241921"/>
        <bgColor indexed="64"/>
      </patternFill>
    </fill>
  </fills>
  <borders count="1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bottom/>
      <diagonal/>
    </border>
    <border>
      <left/>
      <right style="thin">
        <color theme="0"/>
      </right>
      <top/>
      <bottom style="thin">
        <color theme="0"/>
      </bottom>
      <diagonal/>
    </border>
    <border>
      <left style="thin">
        <color theme="0"/>
      </left>
      <right style="thin">
        <color theme="0"/>
      </right>
      <top/>
      <bottom/>
      <diagonal/>
    </border>
    <border>
      <left/>
      <right/>
      <top/>
      <bottom style="thin">
        <color theme="0"/>
      </bottom>
      <diagonal/>
    </border>
    <border>
      <left/>
      <right/>
      <top style="thin">
        <color theme="0"/>
      </top>
      <bottom/>
      <diagonal/>
    </border>
    <border>
      <left style="thin">
        <color theme="0"/>
      </left>
      <right/>
      <top style="thin">
        <color theme="0"/>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style="thin">
        <color theme="0" tint="-4.9989318521683403E-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diagonal/>
    </border>
    <border>
      <left style="thin">
        <color theme="0" tint="-0.499984740745262"/>
      </left>
      <right/>
      <top/>
      <bottom/>
      <diagonal/>
    </border>
    <border>
      <left/>
      <right/>
      <top/>
      <bottom style="thin">
        <color theme="0" tint="-0.499984740745262"/>
      </bottom>
      <diagonal/>
    </border>
    <border>
      <left/>
      <right/>
      <top style="thin">
        <color theme="0" tint="-0.499984740745262"/>
      </top>
      <bottom/>
      <diagonal/>
    </border>
    <border>
      <left style="thin">
        <color theme="0" tint="-0.499984740745262"/>
      </left>
      <right/>
      <top/>
      <bottom style="thin">
        <color indexed="64"/>
      </bottom>
      <diagonal/>
    </border>
    <border>
      <left style="thin">
        <color theme="0"/>
      </left>
      <right/>
      <top/>
      <bottom/>
      <diagonal/>
    </border>
    <border>
      <left style="thin">
        <color theme="0"/>
      </left>
      <right/>
      <top style="thin">
        <color theme="0" tint="-0.499984740745262"/>
      </top>
      <bottom style="thin">
        <color theme="0"/>
      </bottom>
      <diagonal/>
    </border>
    <border>
      <left/>
      <right/>
      <top style="thin">
        <color theme="0" tint="-0.499984740745262"/>
      </top>
      <bottom style="thin">
        <color theme="0"/>
      </bottom>
      <diagonal/>
    </border>
    <border>
      <left/>
      <right style="thin">
        <color theme="0"/>
      </right>
      <top style="thin">
        <color theme="0" tint="-0.499984740745262"/>
      </top>
      <bottom style="thin">
        <color theme="0"/>
      </bottom>
      <diagonal/>
    </border>
    <border>
      <left/>
      <right/>
      <top style="thin">
        <color theme="0" tint="-4.9989318521683403E-2"/>
      </top>
      <bottom style="thin">
        <color theme="0" tint="-4.9989318521683403E-2"/>
      </bottom>
      <diagonal/>
    </border>
    <border>
      <left style="thin">
        <color theme="0" tint="-4.9989318521683403E-2"/>
      </left>
      <right style="thin">
        <color theme="0" tint="-4.9989318521683403E-2"/>
      </right>
      <top/>
      <bottom/>
      <diagonal/>
    </border>
    <border>
      <left style="thin">
        <color theme="0" tint="-0.499984740745262"/>
      </left>
      <right style="thin">
        <color theme="0" tint="-0.499984740745262"/>
      </right>
      <top style="thin">
        <color theme="0" tint="-0.499984740745262"/>
      </top>
      <bottom/>
      <diagonal/>
    </border>
    <border>
      <left/>
      <right style="thin">
        <color theme="0"/>
      </right>
      <top style="thin">
        <color theme="0"/>
      </top>
      <bottom/>
      <diagonal/>
    </border>
    <border>
      <left style="thin">
        <color theme="0"/>
      </left>
      <right/>
      <top/>
      <bottom style="thin">
        <color theme="0"/>
      </bottom>
      <diagonal/>
    </border>
    <border>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style="thin">
        <color theme="2" tint="-9.9978637043366805E-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499984740745262"/>
      </bottom>
      <diagonal/>
    </border>
    <border>
      <left/>
      <right/>
      <top style="thin">
        <color theme="0" tint="-0.14999847407452621"/>
      </top>
      <bottom style="thin">
        <color theme="0" tint="-0.499984740745262"/>
      </bottom>
      <diagonal/>
    </border>
    <border>
      <left/>
      <right style="thin">
        <color theme="0" tint="-0.14999847407452621"/>
      </right>
      <top style="thin">
        <color theme="0" tint="-0.14999847407452621"/>
      </top>
      <bottom style="thin">
        <color theme="0" tint="-0.499984740745262"/>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499984740745262"/>
      </right>
      <top style="thin">
        <color theme="0" tint="-0.249977111117893"/>
      </top>
      <bottom/>
      <diagonal/>
    </border>
    <border>
      <left style="thin">
        <color theme="0" tint="-0.249977111117893"/>
      </left>
      <right style="thin">
        <color theme="0" tint="-0.499984740745262"/>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499984740745262"/>
      </left>
      <right/>
      <top style="thin">
        <color theme="0" tint="-0.249977111117893"/>
      </top>
      <bottom/>
      <diagonal/>
    </border>
    <border>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top style="thin">
        <color theme="0" tint="-0.249977111117893"/>
      </top>
      <bottom style="thin">
        <color theme="0" tint="-0.249977111117893"/>
      </bottom>
      <diagonal/>
    </border>
    <border>
      <left/>
      <right/>
      <top style="thin">
        <color theme="0" tint="-0.249977111117893"/>
      </top>
      <bottom/>
      <diagonal/>
    </border>
    <border>
      <left/>
      <right style="thin">
        <color theme="0" tint="-0.249977111117893"/>
      </right>
      <top/>
      <bottom/>
      <diagonal/>
    </border>
    <border>
      <left style="thin">
        <color theme="2" tint="-9.9978637043366805E-2"/>
      </left>
      <right/>
      <top style="thin">
        <color theme="0" tint="-0.249977111117893"/>
      </top>
      <bottom/>
      <diagonal/>
    </border>
    <border>
      <left style="thin">
        <color theme="2" tint="-9.9978637043366805E-2"/>
      </left>
      <right style="thin">
        <color theme="0" tint="-0.249977111117893"/>
      </right>
      <top style="thin">
        <color theme="0" tint="-0.249977111117893"/>
      </top>
      <bottom style="thin">
        <color indexed="64"/>
      </bottom>
      <diagonal/>
    </border>
    <border>
      <left style="thin">
        <color theme="0" tint="-0.249977111117893"/>
      </left>
      <right/>
      <top/>
      <bottom/>
      <diagonal/>
    </border>
    <border>
      <left/>
      <right style="thin">
        <color theme="0" tint="-0.249977111117893"/>
      </right>
      <top style="thin">
        <color indexed="64"/>
      </top>
      <bottom style="thin">
        <color indexed="64"/>
      </bottom>
      <diagonal/>
    </border>
    <border>
      <left style="thin">
        <color theme="2" tint="-9.9978637043366805E-2"/>
      </left>
      <right/>
      <top/>
      <bottom style="thin">
        <color theme="0" tint="-0.249977111117893"/>
      </bottom>
      <diagonal/>
    </border>
    <border>
      <left style="thin">
        <color theme="2" tint="-9.9978637043366805E-2"/>
      </left>
      <right style="thin">
        <color theme="0" tint="-0.249977111117893"/>
      </right>
      <top style="thin">
        <color indexed="64"/>
      </top>
      <bottom style="thin">
        <color theme="0" tint="-0.249977111117893"/>
      </bottom>
      <diagonal/>
    </border>
    <border>
      <left style="thin">
        <color theme="0" tint="-0.249977111117893"/>
      </left>
      <right/>
      <top style="thin">
        <color theme="0" tint="-4.9989318521683403E-2"/>
      </top>
      <bottom style="thin">
        <color theme="0" tint="-0.249977111117893"/>
      </bottom>
      <diagonal/>
    </border>
    <border>
      <left/>
      <right/>
      <top style="thin">
        <color theme="0" tint="-4.9989318521683403E-2"/>
      </top>
      <bottom style="thin">
        <color theme="0" tint="-0.249977111117893"/>
      </bottom>
      <diagonal/>
    </border>
    <border>
      <left/>
      <right style="thin">
        <color theme="0" tint="-0.249977111117893"/>
      </right>
      <top style="thin">
        <color theme="0" tint="-4.9989318521683403E-2"/>
      </top>
      <bottom style="thin">
        <color theme="0" tint="-0.249977111117893"/>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249977111117893"/>
      </top>
      <bottom style="thin">
        <color theme="0" tint="-0.14999847407452621"/>
      </bottom>
      <diagonal/>
    </border>
    <border>
      <left style="thin">
        <color theme="0" tint="-0.14999847407452621"/>
      </left>
      <right/>
      <top/>
      <bottom/>
      <diagonal/>
    </border>
    <border>
      <left/>
      <right style="thin">
        <color theme="0" tint="-0.14999847407452621"/>
      </right>
      <top/>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style="thin">
        <color theme="0" tint="-0.499984740745262"/>
      </left>
      <right style="thin">
        <color theme="0" tint="-0.14999847407452621"/>
      </right>
      <top style="thin">
        <color theme="0" tint="-0.499984740745262"/>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tint="-0.499984740745262"/>
      </bottom>
      <diagonal/>
    </border>
    <border>
      <left style="thin">
        <color theme="0" tint="-0.499984740745262"/>
      </left>
      <right style="thin">
        <color theme="0" tint="-0.14999847407452621"/>
      </right>
      <top style="thin">
        <color theme="0" tint="-0.14999847407452621"/>
      </top>
      <bottom style="thin">
        <color theme="0" tint="-0.499984740745262"/>
      </bottom>
      <diagonal/>
    </border>
    <border>
      <left style="thin">
        <color theme="0" tint="-0.14999847407452621"/>
      </left>
      <right style="thin">
        <color theme="0" tint="-0.14999847407452621"/>
      </right>
      <top/>
      <bottom/>
      <diagonal/>
    </border>
  </borders>
  <cellStyleXfs count="68">
    <xf numFmtId="0" fontId="0" fillId="0" borderId="0"/>
    <xf numFmtId="0" fontId="8" fillId="0" borderId="0" applyNumberFormat="0" applyFill="0" applyBorder="0" applyAlignment="0" applyProtection="0"/>
    <xf numFmtId="0" fontId="12" fillId="0" borderId="0"/>
    <xf numFmtId="9" fontId="12" fillId="0" borderId="0" applyFont="0" applyFill="0" applyBorder="0" applyAlignment="0" applyProtection="0"/>
    <xf numFmtId="0" fontId="15" fillId="0" borderId="0" applyNumberFormat="0" applyFill="0" applyBorder="0" applyAlignment="0" applyProtection="0"/>
    <xf numFmtId="0" fontId="16" fillId="0" borderId="3" applyNumberFormat="0" applyFill="0" applyAlignment="0" applyProtection="0"/>
    <xf numFmtId="0" fontId="17" fillId="0" borderId="4" applyNumberFormat="0" applyFill="0" applyAlignment="0" applyProtection="0"/>
    <xf numFmtId="0" fontId="18" fillId="0" borderId="5" applyNumberFormat="0" applyFill="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5" borderId="0" applyNumberFormat="0" applyBorder="0" applyAlignment="0" applyProtection="0"/>
    <xf numFmtId="0" fontId="21" fillId="6" borderId="0" applyNumberFormat="0" applyBorder="0" applyAlignment="0" applyProtection="0"/>
    <xf numFmtId="0" fontId="22" fillId="7" borderId="6" applyNumberFormat="0" applyAlignment="0" applyProtection="0"/>
    <xf numFmtId="0" fontId="23" fillId="8" borderId="7" applyNumberFormat="0" applyAlignment="0" applyProtection="0"/>
    <xf numFmtId="0" fontId="24" fillId="8" borderId="6" applyNumberFormat="0" applyAlignment="0" applyProtection="0"/>
    <xf numFmtId="0" fontId="25" fillId="0" borderId="8" applyNumberFormat="0" applyFill="0" applyAlignment="0" applyProtection="0"/>
    <xf numFmtId="0" fontId="26" fillId="9" borderId="9" applyNumberFormat="0" applyAlignment="0" applyProtection="0"/>
    <xf numFmtId="0" fontId="1" fillId="0" borderId="0" applyNumberFormat="0" applyFill="0" applyBorder="0" applyAlignment="0" applyProtection="0"/>
    <xf numFmtId="0" fontId="27" fillId="0" borderId="0" applyNumberFormat="0" applyFill="0" applyBorder="0" applyAlignment="0" applyProtection="0"/>
    <xf numFmtId="0" fontId="2" fillId="0" borderId="11" applyNumberFormat="0" applyFill="0" applyAlignment="0" applyProtection="0"/>
    <xf numFmtId="0" fontId="28"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28" fillId="26" borderId="0" applyNumberFormat="0" applyBorder="0" applyAlignment="0" applyProtection="0"/>
    <xf numFmtId="0" fontId="28" fillId="27"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28" fillId="30" borderId="0" applyNumberFormat="0" applyBorder="0" applyAlignment="0" applyProtection="0"/>
    <xf numFmtId="0" fontId="28" fillId="31" borderId="0" applyNumberFormat="0" applyBorder="0" applyAlignment="0" applyProtection="0"/>
    <xf numFmtId="0" fontId="14" fillId="32" borderId="0" applyNumberFormat="0" applyBorder="0" applyAlignment="0" applyProtection="0"/>
    <xf numFmtId="0" fontId="14" fillId="33" borderId="0" applyNumberFormat="0" applyBorder="0" applyAlignment="0" applyProtection="0"/>
    <xf numFmtId="0" fontId="28" fillId="34" borderId="0" applyNumberFormat="0" applyBorder="0" applyAlignment="0" applyProtection="0"/>
    <xf numFmtId="164" fontId="29" fillId="0" borderId="0" applyFont="0" applyFill="0" applyBorder="0" applyAlignment="0" applyProtection="0"/>
    <xf numFmtId="0" fontId="14" fillId="10" borderId="10" applyNumberFormat="0" applyFont="0" applyAlignment="0" applyProtection="0"/>
    <xf numFmtId="0" fontId="14" fillId="10" borderId="10" applyNumberFormat="0" applyFont="0" applyAlignment="0" applyProtection="0"/>
    <xf numFmtId="0" fontId="14" fillId="10" borderId="10" applyNumberFormat="0" applyFont="0" applyAlignment="0" applyProtection="0"/>
    <xf numFmtId="9" fontId="29" fillId="0" borderId="0" applyFont="0" applyFill="0" applyBorder="0" applyAlignment="0" applyProtection="0"/>
    <xf numFmtId="0" fontId="14" fillId="12" borderId="0" applyNumberFormat="0" applyBorder="0" applyAlignment="0" applyProtection="0"/>
    <xf numFmtId="0" fontId="14" fillId="16" borderId="0" applyNumberFormat="0" applyBorder="0" applyAlignment="0" applyProtection="0"/>
    <xf numFmtId="0" fontId="14" fillId="20" borderId="0" applyNumberFormat="0" applyBorder="0" applyAlignment="0" applyProtection="0"/>
    <xf numFmtId="0" fontId="14" fillId="24" borderId="0" applyNumberFormat="0" applyBorder="0" applyAlignment="0" applyProtection="0"/>
    <xf numFmtId="0" fontId="14" fillId="28" borderId="0" applyNumberFormat="0" applyBorder="0" applyAlignment="0" applyProtection="0"/>
    <xf numFmtId="0" fontId="14" fillId="32" borderId="0" applyNumberFormat="0" applyBorder="0" applyAlignment="0" applyProtection="0"/>
    <xf numFmtId="0" fontId="14" fillId="13" borderId="0" applyNumberFormat="0" applyBorder="0" applyAlignment="0" applyProtection="0"/>
    <xf numFmtId="0" fontId="14" fillId="17" borderId="0" applyNumberFormat="0" applyBorder="0" applyAlignment="0" applyProtection="0"/>
    <xf numFmtId="0" fontId="14" fillId="21" borderId="0" applyNumberFormat="0" applyBorder="0" applyAlignment="0" applyProtection="0"/>
    <xf numFmtId="0" fontId="14" fillId="25" borderId="0" applyNumberFormat="0" applyBorder="0" applyAlignment="0" applyProtection="0"/>
    <xf numFmtId="0" fontId="14" fillId="29" borderId="0" applyNumberFormat="0" applyBorder="0" applyAlignment="0" applyProtection="0"/>
    <xf numFmtId="0" fontId="14" fillId="33" borderId="0" applyNumberFormat="0" applyBorder="0" applyAlignment="0" applyProtection="0"/>
    <xf numFmtId="0" fontId="14" fillId="10" borderId="10" applyNumberFormat="0" applyFont="0" applyAlignment="0" applyProtection="0"/>
    <xf numFmtId="0" fontId="14" fillId="10" borderId="10" applyNumberFormat="0" applyFont="0" applyAlignment="0" applyProtection="0"/>
    <xf numFmtId="0" fontId="14" fillId="10" borderId="10" applyNumberFormat="0" applyFont="0" applyAlignment="0" applyProtection="0"/>
    <xf numFmtId="0" fontId="12" fillId="0" borderId="0"/>
    <xf numFmtId="0" fontId="12" fillId="0" borderId="0"/>
    <xf numFmtId="0" fontId="12" fillId="0" borderId="0"/>
    <xf numFmtId="9" fontId="14" fillId="0" borderId="0" applyFont="0" applyFill="0" applyBorder="0" applyAlignment="0" applyProtection="0"/>
  </cellStyleXfs>
  <cellXfs count="667">
    <xf numFmtId="0" fontId="0" fillId="0" borderId="0" xfId="0"/>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2" fillId="0" borderId="18" xfId="0" applyFont="1" applyBorder="1"/>
    <xf numFmtId="0" fontId="0" fillId="0" borderId="18" xfId="0" applyBorder="1"/>
    <xf numFmtId="0" fontId="2" fillId="0" borderId="0" xfId="0" applyFont="1" applyBorder="1"/>
    <xf numFmtId="0" fontId="0" fillId="0" borderId="0" xfId="0" applyBorder="1"/>
    <xf numFmtId="0" fontId="0" fillId="0" borderId="21" xfId="0" applyBorder="1"/>
    <xf numFmtId="165" fontId="0" fillId="0" borderId="0" xfId="0" applyNumberFormat="1" applyBorder="1" applyAlignment="1">
      <alignment horizontal="center" vertical="center"/>
    </xf>
    <xf numFmtId="165" fontId="0" fillId="0" borderId="0" xfId="0" applyNumberFormat="1" applyBorder="1"/>
    <xf numFmtId="0" fontId="0" fillId="0" borderId="24" xfId="0" applyBorder="1"/>
    <xf numFmtId="0" fontId="0" fillId="0" borderId="23" xfId="0" applyBorder="1"/>
    <xf numFmtId="1" fontId="0" fillId="0" borderId="0" xfId="0" applyNumberFormat="1" applyBorder="1" applyAlignment="1"/>
    <xf numFmtId="0" fontId="0" fillId="0" borderId="20" xfId="0" applyBorder="1"/>
    <xf numFmtId="0" fontId="0" fillId="0" borderId="19" xfId="0" applyBorder="1"/>
    <xf numFmtId="0" fontId="5" fillId="2" borderId="0" xfId="0" applyFont="1" applyFill="1" applyBorder="1" applyProtection="1"/>
    <xf numFmtId="0" fontId="5" fillId="2" borderId="0" xfId="0" applyFont="1" applyFill="1" applyProtection="1"/>
    <xf numFmtId="0" fontId="45" fillId="2" borderId="0" xfId="0" applyFont="1" applyFill="1" applyBorder="1" applyAlignment="1" applyProtection="1"/>
    <xf numFmtId="0" fontId="5" fillId="2" borderId="1" xfId="0" applyNumberFormat="1" applyFont="1" applyFill="1" applyBorder="1" applyAlignment="1" applyProtection="1">
      <alignment horizontal="center"/>
    </xf>
    <xf numFmtId="9" fontId="5" fillId="2" borderId="0" xfId="0" applyNumberFormat="1" applyFont="1" applyFill="1" applyProtection="1"/>
    <xf numFmtId="0" fontId="6" fillId="38" borderId="1" xfId="0" applyFont="1" applyFill="1" applyBorder="1" applyAlignment="1" applyProtection="1">
      <alignment horizontal="center" vertical="center" wrapText="1"/>
    </xf>
    <xf numFmtId="0" fontId="32" fillId="2" borderId="0" xfId="0" applyFont="1" applyFill="1" applyBorder="1" applyAlignment="1" applyProtection="1">
      <alignment vertical="center"/>
    </xf>
    <xf numFmtId="0" fontId="32" fillId="2" borderId="0" xfId="0" applyFont="1" applyFill="1" applyBorder="1" applyAlignment="1" applyProtection="1">
      <alignment horizontal="left" vertical="center"/>
    </xf>
    <xf numFmtId="0" fontId="5" fillId="2" borderId="1" xfId="0" applyFont="1" applyFill="1" applyBorder="1" applyProtection="1"/>
    <xf numFmtId="0" fontId="0" fillId="36" borderId="25" xfId="0" applyFill="1" applyBorder="1" applyProtection="1"/>
    <xf numFmtId="0" fontId="0" fillId="36" borderId="28" xfId="0" applyFill="1" applyBorder="1" applyProtection="1"/>
    <xf numFmtId="0" fontId="0" fillId="36" borderId="26" xfId="0" applyFill="1" applyBorder="1" applyProtection="1"/>
    <xf numFmtId="0" fontId="0" fillId="36" borderId="27" xfId="0" applyFill="1" applyBorder="1" applyProtection="1"/>
    <xf numFmtId="0" fontId="0" fillId="36" borderId="29" xfId="0" applyFill="1" applyBorder="1" applyProtection="1"/>
    <xf numFmtId="0" fontId="0" fillId="36" borderId="0" xfId="0" applyFill="1" applyProtection="1">
      <protection locked="0"/>
    </xf>
    <xf numFmtId="0" fontId="10" fillId="36" borderId="0" xfId="0" applyFont="1" applyFill="1" applyAlignment="1" applyProtection="1">
      <alignment horizontal="center" vertical="center" wrapText="1"/>
      <protection locked="0"/>
    </xf>
    <xf numFmtId="0" fontId="11" fillId="36" borderId="0" xfId="1" applyFont="1" applyFill="1" applyBorder="1" applyAlignment="1" applyProtection="1">
      <alignment horizontal="center" vertical="center" wrapText="1"/>
      <protection locked="0"/>
    </xf>
    <xf numFmtId="0" fontId="0" fillId="36" borderId="0" xfId="0" applyFill="1" applyAlignment="1" applyProtection="1">
      <alignment vertical="center"/>
      <protection locked="0"/>
    </xf>
    <xf numFmtId="0" fontId="1" fillId="36" borderId="0" xfId="0" applyFont="1" applyFill="1" applyBorder="1" applyAlignment="1" applyProtection="1">
      <alignment horizontal="center"/>
      <protection locked="0"/>
    </xf>
    <xf numFmtId="0" fontId="0" fillId="36" borderId="0" xfId="0" applyFill="1" applyBorder="1" applyProtection="1">
      <protection locked="0"/>
    </xf>
    <xf numFmtId="0" fontId="0" fillId="36" borderId="0" xfId="0" applyFill="1" applyBorder="1" applyAlignment="1" applyProtection="1">
      <alignment horizontal="center"/>
      <protection locked="0"/>
    </xf>
    <xf numFmtId="0" fontId="0" fillId="36" borderId="0" xfId="0" applyFill="1" applyBorder="1" applyProtection="1"/>
    <xf numFmtId="165" fontId="0" fillId="36" borderId="0" xfId="0" applyNumberFormat="1" applyFill="1" applyBorder="1" applyProtection="1"/>
    <xf numFmtId="0" fontId="2" fillId="36" borderId="0" xfId="0" applyFont="1" applyFill="1" applyBorder="1" applyAlignment="1" applyProtection="1">
      <alignment horizontal="center"/>
      <protection locked="0"/>
    </xf>
    <xf numFmtId="0" fontId="36" fillId="36" borderId="0" xfId="0" applyFont="1" applyFill="1" applyBorder="1"/>
    <xf numFmtId="0" fontId="37" fillId="36" borderId="0" xfId="0" applyFont="1" applyFill="1" applyBorder="1" applyAlignment="1"/>
    <xf numFmtId="0" fontId="36" fillId="36" borderId="0" xfId="0" applyFont="1" applyFill="1" applyBorder="1" applyAlignment="1">
      <alignment vertical="center" wrapText="1"/>
    </xf>
    <xf numFmtId="165" fontId="36" fillId="36" borderId="0" xfId="0" applyNumberFormat="1" applyFont="1" applyFill="1" applyBorder="1" applyAlignment="1">
      <alignment vertical="center" wrapText="1"/>
    </xf>
    <xf numFmtId="0" fontId="36" fillId="36" borderId="0" xfId="0" applyFont="1" applyFill="1" applyBorder="1" applyProtection="1">
      <protection locked="0"/>
    </xf>
    <xf numFmtId="0" fontId="5" fillId="36" borderId="0" xfId="0" applyFont="1" applyFill="1" applyProtection="1"/>
    <xf numFmtId="0" fontId="45" fillId="36" borderId="0" xfId="0" applyFont="1" applyFill="1" applyBorder="1" applyAlignment="1" applyProtection="1"/>
    <xf numFmtId="0" fontId="5" fillId="36" borderId="0" xfId="0" applyFont="1" applyFill="1" applyBorder="1" applyProtection="1"/>
    <xf numFmtId="0" fontId="5" fillId="36" borderId="0" xfId="0" applyFont="1" applyFill="1" applyAlignment="1" applyProtection="1">
      <alignment vertical="center"/>
    </xf>
    <xf numFmtId="0" fontId="5" fillId="36" borderId="0" xfId="0" applyFont="1" applyFill="1" applyBorder="1" applyAlignment="1" applyProtection="1">
      <alignment horizontal="center"/>
    </xf>
    <xf numFmtId="0" fontId="36" fillId="36" borderId="41" xfId="0" applyFont="1" applyFill="1" applyBorder="1"/>
    <xf numFmtId="0" fontId="3" fillId="36" borderId="0" xfId="0" applyFont="1" applyFill="1" applyBorder="1"/>
    <xf numFmtId="0" fontId="36" fillId="36" borderId="39" xfId="0" applyFont="1" applyFill="1" applyBorder="1"/>
    <xf numFmtId="0" fontId="0" fillId="36" borderId="0" xfId="0" applyFill="1" applyProtection="1"/>
    <xf numFmtId="0" fontId="0" fillId="36" borderId="0" xfId="0" applyFill="1" applyBorder="1" applyAlignment="1" applyProtection="1">
      <alignment horizontal="center"/>
    </xf>
    <xf numFmtId="14" fontId="0" fillId="36" borderId="0" xfId="0" applyNumberFormat="1" applyFill="1" applyBorder="1" applyAlignment="1" applyProtection="1">
      <alignment horizontal="center"/>
    </xf>
    <xf numFmtId="0" fontId="30" fillId="36" borderId="0" xfId="0" applyFont="1" applyFill="1" applyBorder="1" applyAlignment="1" applyProtection="1">
      <alignment horizontal="center" vertical="center" wrapText="1"/>
    </xf>
    <xf numFmtId="0" fontId="34" fillId="2" borderId="0" xfId="0" applyFont="1" applyFill="1" applyProtection="1"/>
    <xf numFmtId="0" fontId="35" fillId="2" borderId="0" xfId="0" applyFont="1" applyFill="1" applyAlignment="1" applyProtection="1">
      <alignment wrapText="1"/>
    </xf>
    <xf numFmtId="0" fontId="59" fillId="2" borderId="39" xfId="0" applyFont="1" applyFill="1" applyBorder="1" applyProtection="1"/>
    <xf numFmtId="0" fontId="59" fillId="2" borderId="0" xfId="0" applyFont="1" applyFill="1" applyBorder="1" applyProtection="1"/>
    <xf numFmtId="0" fontId="59" fillId="2" borderId="0" xfId="0" applyFont="1" applyFill="1" applyBorder="1" applyAlignment="1" applyProtection="1">
      <alignment vertical="top" wrapText="1"/>
    </xf>
    <xf numFmtId="0" fontId="59" fillId="2" borderId="38" xfId="0" applyFont="1" applyFill="1" applyBorder="1" applyAlignment="1" applyProtection="1">
      <alignment vertical="top" wrapText="1"/>
    </xf>
    <xf numFmtId="0" fontId="34" fillId="2" borderId="0" xfId="0" applyFont="1" applyFill="1" applyBorder="1" applyProtection="1"/>
    <xf numFmtId="0" fontId="44" fillId="2" borderId="39" xfId="0" applyFont="1" applyFill="1" applyBorder="1" applyAlignment="1" applyProtection="1">
      <alignment horizontal="left" vertical="top"/>
    </xf>
    <xf numFmtId="0" fontId="44" fillId="2" borderId="39" xfId="0" applyFont="1" applyFill="1" applyBorder="1" applyProtection="1">
      <protection locked="0"/>
    </xf>
    <xf numFmtId="0" fontId="59" fillId="2" borderId="0" xfId="0" applyFont="1" applyFill="1" applyBorder="1" applyProtection="1">
      <protection locked="0"/>
    </xf>
    <xf numFmtId="0" fontId="59" fillId="2" borderId="38" xfId="0" applyFont="1" applyFill="1" applyBorder="1" applyProtection="1">
      <protection locked="0"/>
    </xf>
    <xf numFmtId="0" fontId="34" fillId="2" borderId="0" xfId="0" applyFont="1" applyFill="1" applyBorder="1" applyProtection="1">
      <protection locked="0"/>
    </xf>
    <xf numFmtId="0" fontId="44" fillId="2" borderId="39" xfId="0" applyFont="1" applyFill="1" applyBorder="1" applyAlignment="1" applyProtection="1">
      <alignment horizontal="left"/>
      <protection locked="0"/>
    </xf>
    <xf numFmtId="0" fontId="44" fillId="2" borderId="0" xfId="0" applyFont="1" applyFill="1" applyBorder="1" applyAlignment="1" applyProtection="1">
      <alignment horizontal="left"/>
      <protection locked="0"/>
    </xf>
    <xf numFmtId="0" fontId="34" fillId="2" borderId="38" xfId="0" applyFont="1" applyFill="1" applyBorder="1" applyProtection="1">
      <protection locked="0"/>
    </xf>
    <xf numFmtId="0" fontId="34" fillId="2" borderId="33" xfId="0" applyFont="1" applyFill="1" applyBorder="1" applyProtection="1">
      <protection locked="0"/>
    </xf>
    <xf numFmtId="0" fontId="34" fillId="2" borderId="40" xfId="0" applyFont="1" applyFill="1" applyBorder="1" applyProtection="1">
      <protection locked="0"/>
    </xf>
    <xf numFmtId="14" fontId="34" fillId="2" borderId="40" xfId="0" applyNumberFormat="1" applyFont="1" applyFill="1" applyBorder="1" applyProtection="1">
      <protection locked="0"/>
    </xf>
    <xf numFmtId="0" fontId="34" fillId="2" borderId="40" xfId="0" quotePrefix="1" applyFont="1" applyFill="1" applyBorder="1" applyProtection="1">
      <protection locked="0"/>
    </xf>
    <xf numFmtId="0" fontId="34" fillId="2" borderId="34" xfId="0" applyFont="1" applyFill="1" applyBorder="1" applyProtection="1">
      <protection locked="0"/>
    </xf>
    <xf numFmtId="0" fontId="34" fillId="2" borderId="0" xfId="0" applyFont="1" applyFill="1" applyProtection="1">
      <protection locked="0"/>
    </xf>
    <xf numFmtId="0" fontId="34" fillId="2" borderId="0" xfId="0" applyFont="1" applyFill="1"/>
    <xf numFmtId="0" fontId="34" fillId="2" borderId="43" xfId="0" applyFont="1" applyFill="1" applyBorder="1" applyProtection="1">
      <protection locked="0"/>
    </xf>
    <xf numFmtId="0" fontId="34" fillId="2" borderId="19" xfId="0" applyFont="1" applyFill="1" applyBorder="1" applyProtection="1">
      <protection locked="0"/>
    </xf>
    <xf numFmtId="0" fontId="35" fillId="2" borderId="0" xfId="0" applyFont="1" applyFill="1" applyAlignment="1" applyProtection="1">
      <alignment wrapText="1"/>
      <protection locked="0"/>
    </xf>
    <xf numFmtId="0" fontId="34" fillId="2" borderId="44" xfId="0" applyFont="1" applyFill="1" applyBorder="1" applyProtection="1">
      <protection locked="0"/>
    </xf>
    <xf numFmtId="0" fontId="34" fillId="2" borderId="45" xfId="0" applyFont="1" applyFill="1" applyBorder="1" applyProtection="1">
      <protection locked="0"/>
    </xf>
    <xf numFmtId="0" fontId="34" fillId="2" borderId="23" xfId="0" applyFont="1" applyFill="1" applyBorder="1" applyProtection="1">
      <protection locked="0"/>
    </xf>
    <xf numFmtId="0" fontId="34" fillId="2" borderId="46" xfId="0" applyFont="1" applyFill="1" applyBorder="1" applyProtection="1">
      <protection locked="0"/>
    </xf>
    <xf numFmtId="0" fontId="34" fillId="2" borderId="23" xfId="0" applyFont="1" applyFill="1" applyBorder="1"/>
    <xf numFmtId="0" fontId="0" fillId="36" borderId="25" xfId="0" applyFill="1" applyBorder="1"/>
    <xf numFmtId="0" fontId="0" fillId="36" borderId="28" xfId="0" applyFill="1" applyBorder="1"/>
    <xf numFmtId="0" fontId="3" fillId="36" borderId="0" xfId="0" applyFont="1" applyFill="1" applyBorder="1" applyAlignment="1" applyProtection="1">
      <alignment horizontal="center" vertical="center" wrapText="1"/>
    </xf>
    <xf numFmtId="0" fontId="4" fillId="36" borderId="0" xfId="0" applyFont="1" applyFill="1" applyBorder="1" applyAlignment="1" applyProtection="1">
      <alignment horizontal="center" vertical="center" wrapText="1"/>
    </xf>
    <xf numFmtId="0" fontId="33" fillId="36" borderId="12" xfId="0" applyFont="1" applyFill="1" applyBorder="1" applyAlignment="1" applyProtection="1">
      <alignment horizontal="center"/>
    </xf>
    <xf numFmtId="165" fontId="0" fillId="36" borderId="0" xfId="0" applyNumberFormat="1" applyFill="1" applyBorder="1" applyAlignment="1" applyProtection="1">
      <alignment horizontal="center"/>
    </xf>
    <xf numFmtId="9" fontId="0" fillId="36" borderId="0" xfId="0" applyNumberFormat="1" applyFill="1" applyProtection="1"/>
    <xf numFmtId="0" fontId="2" fillId="36" borderId="0" xfId="0" applyFont="1" applyFill="1" applyAlignment="1" applyProtection="1"/>
    <xf numFmtId="1" fontId="0" fillId="36" borderId="0" xfId="0" applyNumberFormat="1" applyFill="1" applyBorder="1" applyAlignment="1" applyProtection="1">
      <alignment horizontal="center" vertical="center"/>
    </xf>
    <xf numFmtId="9" fontId="0" fillId="36" borderId="0" xfId="0" applyNumberFormat="1" applyFill="1" applyBorder="1" applyAlignment="1" applyProtection="1">
      <alignment horizontal="center" vertical="center"/>
    </xf>
    <xf numFmtId="0" fontId="36" fillId="36" borderId="25" xfId="0" applyFont="1" applyFill="1" applyBorder="1"/>
    <xf numFmtId="0" fontId="3" fillId="36" borderId="25" xfId="0" applyFont="1" applyFill="1" applyBorder="1"/>
    <xf numFmtId="0" fontId="36" fillId="36" borderId="25" xfId="0" applyFont="1" applyFill="1" applyBorder="1" applyProtection="1">
      <protection locked="0"/>
    </xf>
    <xf numFmtId="0" fontId="36" fillId="36" borderId="27" xfId="0" applyFont="1" applyFill="1" applyBorder="1"/>
    <xf numFmtId="0" fontId="3" fillId="36" borderId="27" xfId="0" applyFont="1" applyFill="1" applyBorder="1"/>
    <xf numFmtId="0" fontId="36" fillId="36" borderId="48" xfId="0" applyFont="1" applyFill="1" applyBorder="1"/>
    <xf numFmtId="0" fontId="37" fillId="36" borderId="48" xfId="0" applyFont="1" applyFill="1" applyBorder="1" applyAlignment="1"/>
    <xf numFmtId="0" fontId="36" fillId="36" borderId="27" xfId="0" applyFont="1" applyFill="1" applyBorder="1" applyProtection="1">
      <protection locked="0"/>
    </xf>
    <xf numFmtId="0" fontId="0" fillId="38" borderId="30" xfId="0" applyFill="1" applyBorder="1"/>
    <xf numFmtId="0" fontId="0" fillId="38" borderId="30" xfId="0" applyFill="1" applyBorder="1" applyAlignment="1">
      <alignment horizontal="center"/>
    </xf>
    <xf numFmtId="167" fontId="0" fillId="38" borderId="30" xfId="0" applyNumberFormat="1" applyFill="1" applyBorder="1" applyAlignment="1">
      <alignment horizontal="center"/>
    </xf>
    <xf numFmtId="0" fontId="0" fillId="0" borderId="30" xfId="0" applyBorder="1"/>
    <xf numFmtId="0" fontId="0" fillId="0" borderId="50" xfId="0" applyBorder="1"/>
    <xf numFmtId="0" fontId="48" fillId="38" borderId="30" xfId="0" applyFont="1" applyFill="1" applyBorder="1" applyAlignment="1">
      <alignment horizontal="center" vertical="center"/>
    </xf>
    <xf numFmtId="0" fontId="48" fillId="38" borderId="30" xfId="0" applyFont="1" applyFill="1" applyBorder="1" applyAlignment="1">
      <alignment horizontal="center" wrapText="1"/>
    </xf>
    <xf numFmtId="165" fontId="0" fillId="0" borderId="30" xfId="0" applyNumberFormat="1" applyBorder="1" applyAlignment="1">
      <alignment horizontal="center"/>
    </xf>
    <xf numFmtId="0" fontId="2" fillId="3" borderId="30" xfId="0" applyFont="1" applyFill="1" applyBorder="1" applyAlignment="1">
      <alignment horizontal="center"/>
    </xf>
    <xf numFmtId="0" fontId="58" fillId="38" borderId="30" xfId="0" applyFont="1" applyFill="1" applyBorder="1" applyAlignment="1">
      <alignment horizontal="center" vertical="center"/>
    </xf>
    <xf numFmtId="0" fontId="0" fillId="0" borderId="30" xfId="0" applyBorder="1" applyAlignment="1"/>
    <xf numFmtId="0" fontId="48" fillId="38" borderId="30" xfId="0" applyFont="1" applyFill="1" applyBorder="1"/>
    <xf numFmtId="165" fontId="0" fillId="0" borderId="30" xfId="0" applyNumberFormat="1" applyBorder="1"/>
    <xf numFmtId="9" fontId="51" fillId="0" borderId="30" xfId="67" applyFont="1" applyFill="1" applyBorder="1" applyAlignment="1">
      <alignment horizontal="center" vertical="center" wrapText="1"/>
    </xf>
    <xf numFmtId="0" fontId="0" fillId="0" borderId="51" xfId="0" applyBorder="1"/>
    <xf numFmtId="9" fontId="51" fillId="0" borderId="49" xfId="67" applyFont="1" applyFill="1" applyBorder="1" applyAlignment="1">
      <alignment horizontal="center" vertical="center" wrapText="1"/>
    </xf>
    <xf numFmtId="0" fontId="50" fillId="38" borderId="30" xfId="0" applyFont="1" applyFill="1" applyBorder="1" applyAlignment="1">
      <alignment vertical="center"/>
    </xf>
    <xf numFmtId="0" fontId="49" fillId="38" borderId="30" xfId="0" applyFont="1" applyFill="1" applyBorder="1" applyAlignment="1">
      <alignment vertical="center"/>
    </xf>
    <xf numFmtId="0" fontId="0" fillId="0" borderId="43" xfId="0" applyBorder="1"/>
    <xf numFmtId="0" fontId="0" fillId="0" borderId="49" xfId="0" applyBorder="1"/>
    <xf numFmtId="1" fontId="2" fillId="0" borderId="30" xfId="0" applyNumberFormat="1" applyFont="1" applyFill="1" applyBorder="1" applyAlignment="1" applyProtection="1">
      <alignment horizontal="center" vertical="center"/>
    </xf>
    <xf numFmtId="0" fontId="48" fillId="38" borderId="30" xfId="0" applyFont="1" applyFill="1" applyBorder="1" applyAlignment="1">
      <alignment horizontal="center" vertical="center" wrapText="1"/>
    </xf>
    <xf numFmtId="0" fontId="0" fillId="38" borderId="30" xfId="0" applyFill="1" applyBorder="1" applyAlignment="1"/>
    <xf numFmtId="0" fontId="48" fillId="37" borderId="30" xfId="0" applyFont="1" applyFill="1" applyBorder="1" applyAlignment="1">
      <alignment vertical="center" wrapText="1"/>
    </xf>
    <xf numFmtId="0" fontId="48" fillId="37" borderId="35" xfId="0" applyFont="1" applyFill="1" applyBorder="1" applyAlignment="1">
      <alignment horizontal="center" vertical="center" wrapText="1"/>
    </xf>
    <xf numFmtId="0" fontId="0" fillId="38" borderId="35" xfId="0" applyFill="1" applyBorder="1"/>
    <xf numFmtId="0" fontId="48" fillId="37" borderId="30" xfId="0" applyFont="1" applyFill="1" applyBorder="1" applyAlignment="1">
      <alignment horizontal="center" wrapText="1"/>
    </xf>
    <xf numFmtId="0" fontId="0" fillId="0" borderId="22" xfId="0" applyBorder="1"/>
    <xf numFmtId="1" fontId="0" fillId="38" borderId="30" xfId="0" applyNumberFormat="1" applyFill="1" applyBorder="1" applyAlignment="1">
      <alignment horizontal="left"/>
    </xf>
    <xf numFmtId="1" fontId="0" fillId="38" borderId="30" xfId="0" applyNumberFormat="1" applyFill="1" applyBorder="1" applyAlignment="1"/>
    <xf numFmtId="0" fontId="2" fillId="36" borderId="0" xfId="0" applyFont="1" applyFill="1" applyAlignment="1" applyProtection="1">
      <alignment vertical="top"/>
    </xf>
    <xf numFmtId="0" fontId="0" fillId="36" borderId="30" xfId="0" applyFill="1" applyBorder="1" applyAlignment="1" applyProtection="1">
      <alignment horizontal="left"/>
    </xf>
    <xf numFmtId="0" fontId="0" fillId="0" borderId="30" xfId="0" applyBorder="1" applyAlignment="1">
      <alignment horizontal="center" vertical="center"/>
    </xf>
    <xf numFmtId="0" fontId="2" fillId="38" borderId="30" xfId="0" applyFont="1" applyFill="1" applyBorder="1" applyAlignment="1">
      <alignment horizontal="center" vertical="center"/>
    </xf>
    <xf numFmtId="1" fontId="0" fillId="3" borderId="30" xfId="0" applyNumberFormat="1" applyFill="1" applyBorder="1" applyAlignment="1">
      <alignment horizontal="center"/>
    </xf>
    <xf numFmtId="0" fontId="48" fillId="37" borderId="30" xfId="0" applyFont="1" applyFill="1" applyBorder="1" applyAlignment="1">
      <alignment horizontal="center" vertical="center" wrapText="1"/>
    </xf>
    <xf numFmtId="0" fontId="0" fillId="0" borderId="30" xfId="0" applyBorder="1" applyAlignment="1">
      <alignment horizontal="center"/>
    </xf>
    <xf numFmtId="0" fontId="2" fillId="38" borderId="30" xfId="0" applyFont="1" applyFill="1" applyBorder="1" applyAlignment="1">
      <alignment horizontal="center"/>
    </xf>
    <xf numFmtId="0" fontId="2" fillId="35" borderId="30" xfId="0" applyFont="1" applyFill="1" applyBorder="1" applyAlignment="1">
      <alignment horizontal="center" vertical="center" wrapText="1"/>
    </xf>
    <xf numFmtId="0" fontId="49" fillId="0" borderId="30" xfId="0" applyFont="1" applyBorder="1" applyAlignment="1">
      <alignment horizontal="center" vertical="center"/>
    </xf>
    <xf numFmtId="0" fontId="50" fillId="38" borderId="30" xfId="0" applyFont="1" applyFill="1" applyBorder="1" applyAlignment="1">
      <alignment horizontal="center" vertical="center"/>
    </xf>
    <xf numFmtId="1" fontId="0" fillId="0" borderId="30" xfId="0" applyNumberFormat="1" applyBorder="1" applyAlignment="1">
      <alignment horizontal="center"/>
    </xf>
    <xf numFmtId="1" fontId="49" fillId="0" borderId="30" xfId="0" applyNumberFormat="1" applyFont="1" applyBorder="1" applyAlignment="1">
      <alignment horizontal="center" vertical="center"/>
    </xf>
    <xf numFmtId="0" fontId="2" fillId="35" borderId="30" xfId="0" applyFont="1" applyFill="1" applyBorder="1" applyAlignment="1">
      <alignment horizontal="center"/>
    </xf>
    <xf numFmtId="165" fontId="0" fillId="0" borderId="30" xfId="0" applyNumberFormat="1" applyBorder="1" applyAlignment="1">
      <alignment horizontal="center" vertical="center"/>
    </xf>
    <xf numFmtId="0" fontId="0" fillId="3" borderId="30" xfId="0" applyFill="1" applyBorder="1" applyAlignment="1" applyProtection="1">
      <alignment horizontal="center"/>
    </xf>
    <xf numFmtId="14" fontId="0" fillId="36" borderId="30" xfId="0" applyNumberFormat="1" applyFill="1" applyBorder="1" applyAlignment="1" applyProtection="1">
      <alignment horizontal="left"/>
    </xf>
    <xf numFmtId="0" fontId="0" fillId="3" borderId="35" xfId="0" applyFill="1" applyBorder="1" applyAlignment="1" applyProtection="1"/>
    <xf numFmtId="0" fontId="0" fillId="3" borderId="36" xfId="0" applyFill="1" applyBorder="1" applyAlignment="1" applyProtection="1"/>
    <xf numFmtId="9" fontId="0" fillId="36" borderId="30" xfId="0" applyNumberFormat="1" applyFill="1" applyBorder="1" applyAlignment="1" applyProtection="1">
      <alignment horizontal="left"/>
    </xf>
    <xf numFmtId="1" fontId="0" fillId="36" borderId="30" xfId="0" applyNumberFormat="1" applyFill="1" applyBorder="1" applyAlignment="1" applyProtection="1">
      <alignment horizontal="left"/>
    </xf>
    <xf numFmtId="0" fontId="32" fillId="2" borderId="0" xfId="0" applyFont="1" applyFill="1" applyBorder="1" applyAlignment="1" applyProtection="1">
      <alignment horizontal="center" vertical="top"/>
    </xf>
    <xf numFmtId="165" fontId="0" fillId="36" borderId="30" xfId="0" applyNumberFormat="1" applyFill="1" applyBorder="1" applyAlignment="1" applyProtection="1">
      <alignment horizontal="left"/>
    </xf>
    <xf numFmtId="0" fontId="0" fillId="36" borderId="47" xfId="0" applyFill="1" applyBorder="1" applyProtection="1"/>
    <xf numFmtId="0" fontId="0" fillId="36" borderId="25" xfId="0" applyFill="1" applyBorder="1" applyProtection="1">
      <protection locked="0"/>
    </xf>
    <xf numFmtId="0" fontId="0" fillId="36" borderId="29" xfId="0" applyFill="1" applyBorder="1" applyProtection="1">
      <protection locked="0"/>
    </xf>
    <xf numFmtId="0" fontId="0" fillId="36" borderId="26" xfId="0" applyFill="1" applyBorder="1" applyProtection="1">
      <protection locked="0"/>
    </xf>
    <xf numFmtId="0" fontId="0" fillId="0" borderId="0" xfId="0" pivotButton="1" applyAlignment="1" applyProtection="1">
      <alignment horizontal="left"/>
      <protection locked="0"/>
    </xf>
    <xf numFmtId="0" fontId="0" fillId="0" borderId="0" xfId="0" applyAlignment="1" applyProtection="1">
      <alignment horizontal="left"/>
      <protection locked="0"/>
    </xf>
    <xf numFmtId="0" fontId="0" fillId="36" borderId="0" xfId="0" applyFill="1"/>
    <xf numFmtId="0" fontId="6" fillId="37" borderId="37" xfId="0" applyFont="1" applyFill="1" applyBorder="1" applyAlignment="1"/>
    <xf numFmtId="0" fontId="48" fillId="37" borderId="30" xfId="0" applyFont="1" applyFill="1" applyBorder="1" applyAlignment="1">
      <alignment horizontal="center"/>
    </xf>
    <xf numFmtId="0" fontId="0" fillId="36" borderId="0" xfId="0" applyFill="1" applyAlignment="1" applyProtection="1">
      <protection locked="0"/>
    </xf>
    <xf numFmtId="0" fontId="0" fillId="36" borderId="0" xfId="0" applyFont="1" applyFill="1" applyBorder="1" applyAlignment="1" applyProtection="1">
      <alignment horizontal="left" vertical="center"/>
    </xf>
    <xf numFmtId="0" fontId="0" fillId="36" borderId="0" xfId="0" applyFill="1" applyBorder="1" applyAlignment="1" applyProtection="1"/>
    <xf numFmtId="0" fontId="59" fillId="2" borderId="39" xfId="0" applyFont="1" applyFill="1" applyBorder="1" applyAlignment="1" applyProtection="1">
      <alignment horizontal="left"/>
      <protection locked="0"/>
    </xf>
    <xf numFmtId="0" fontId="59" fillId="2" borderId="0" xfId="0" applyFont="1" applyFill="1" applyBorder="1" applyAlignment="1" applyProtection="1">
      <alignment horizontal="left"/>
      <protection locked="0"/>
    </xf>
    <xf numFmtId="0" fontId="59" fillId="2" borderId="38" xfId="0" applyFont="1" applyFill="1" applyBorder="1" applyAlignment="1" applyProtection="1">
      <alignment horizontal="left"/>
      <protection locked="0"/>
    </xf>
    <xf numFmtId="0" fontId="2" fillId="36" borderId="0" xfId="0" applyFont="1" applyFill="1" applyAlignment="1" applyProtection="1">
      <alignment horizontal="center"/>
    </xf>
    <xf numFmtId="0" fontId="0" fillId="0" borderId="30" xfId="0" applyBorder="1" applyAlignment="1">
      <alignment horizontal="center" vertical="center"/>
    </xf>
    <xf numFmtId="0" fontId="0" fillId="0" borderId="30" xfId="0" applyBorder="1" applyAlignment="1">
      <alignment horizontal="center"/>
    </xf>
    <xf numFmtId="1" fontId="0" fillId="0" borderId="30" xfId="0" applyNumberFormat="1" applyBorder="1" applyAlignment="1">
      <alignment horizontal="center"/>
    </xf>
    <xf numFmtId="1" fontId="0" fillId="41" borderId="30" xfId="0" applyNumberFormat="1" applyFill="1" applyBorder="1" applyAlignment="1">
      <alignment horizontal="center"/>
    </xf>
    <xf numFmtId="1" fontId="0" fillId="41" borderId="30" xfId="0" applyNumberFormat="1" applyFill="1" applyBorder="1" applyAlignment="1">
      <alignment horizontal="center"/>
    </xf>
    <xf numFmtId="22" fontId="5" fillId="2" borderId="0" xfId="0" applyNumberFormat="1" applyFont="1" applyFill="1" applyProtection="1"/>
    <xf numFmtId="0" fontId="0" fillId="36" borderId="26" xfId="0" applyFill="1" applyBorder="1"/>
    <xf numFmtId="0" fontId="0" fillId="36" borderId="27" xfId="0" applyFill="1" applyBorder="1"/>
    <xf numFmtId="0" fontId="0" fillId="36" borderId="29" xfId="0" applyFill="1" applyBorder="1"/>
    <xf numFmtId="0" fontId="0" fillId="36" borderId="0" xfId="0" applyFill="1" applyBorder="1"/>
    <xf numFmtId="0" fontId="0" fillId="36" borderId="52" xfId="0" applyFill="1" applyBorder="1"/>
    <xf numFmtId="0" fontId="0" fillId="36" borderId="53" xfId="0" applyFill="1" applyBorder="1"/>
    <xf numFmtId="0" fontId="68" fillId="36" borderId="48" xfId="0" applyFont="1" applyFill="1" applyBorder="1"/>
    <xf numFmtId="0" fontId="6" fillId="40" borderId="54" xfId="0" applyFont="1" applyFill="1" applyBorder="1" applyAlignment="1" applyProtection="1">
      <alignment horizontal="center" vertical="center" wrapText="1"/>
    </xf>
    <xf numFmtId="0" fontId="2" fillId="40" borderId="54" xfId="0" applyFont="1" applyFill="1" applyBorder="1" applyAlignment="1" applyProtection="1">
      <alignment horizontal="center" vertical="center" wrapText="1"/>
    </xf>
    <xf numFmtId="165" fontId="2" fillId="40" borderId="54" xfId="0" applyNumberFormat="1" applyFont="1" applyFill="1" applyBorder="1" applyAlignment="1" applyProtection="1">
      <alignment horizontal="left" vertical="center"/>
    </xf>
    <xf numFmtId="167" fontId="0" fillId="0" borderId="54" xfId="0" applyNumberFormat="1" applyFill="1" applyBorder="1" applyAlignment="1" applyProtection="1">
      <alignment horizontal="center" vertical="center"/>
    </xf>
    <xf numFmtId="0" fontId="2" fillId="40" borderId="54" xfId="0" applyFont="1" applyFill="1" applyBorder="1" applyAlignment="1" applyProtection="1">
      <alignment horizontal="center" vertical="center"/>
    </xf>
    <xf numFmtId="165" fontId="2" fillId="40" borderId="54" xfId="0" applyNumberFormat="1" applyFont="1" applyFill="1" applyBorder="1" applyAlignment="1" applyProtection="1">
      <alignment horizontal="center" vertical="center"/>
    </xf>
    <xf numFmtId="165" fontId="56" fillId="40" borderId="54" xfId="0" applyNumberFormat="1" applyFont="1" applyFill="1" applyBorder="1" applyAlignment="1" applyProtection="1">
      <alignment horizontal="center" vertical="center"/>
    </xf>
    <xf numFmtId="0" fontId="2" fillId="40" borderId="54" xfId="0" applyFont="1" applyFill="1" applyBorder="1" applyAlignment="1" applyProtection="1">
      <alignment vertical="center"/>
    </xf>
    <xf numFmtId="165" fontId="2" fillId="40" borderId="54" xfId="0" applyNumberFormat="1" applyFont="1" applyFill="1" applyBorder="1" applyAlignment="1" applyProtection="1">
      <alignment vertical="center"/>
    </xf>
    <xf numFmtId="1" fontId="2" fillId="40" borderId="54" xfId="0" applyNumberFormat="1" applyFont="1" applyFill="1" applyBorder="1" applyAlignment="1" applyProtection="1">
      <alignment horizontal="center" vertical="center"/>
    </xf>
    <xf numFmtId="1" fontId="2" fillId="40" borderId="54" xfId="0" applyNumberFormat="1" applyFont="1" applyFill="1" applyBorder="1" applyAlignment="1" applyProtection="1">
      <alignment horizontal="center"/>
    </xf>
    <xf numFmtId="0" fontId="38" fillId="40" borderId="54" xfId="0" applyFont="1" applyFill="1" applyBorder="1" applyAlignment="1" applyProtection="1">
      <alignment horizontal="center" vertical="center" wrapText="1"/>
    </xf>
    <xf numFmtId="0" fontId="13" fillId="40" borderId="54" xfId="0" applyFont="1" applyFill="1" applyBorder="1" applyAlignment="1" applyProtection="1">
      <alignment horizontal="center" vertical="center" wrapText="1"/>
    </xf>
    <xf numFmtId="0" fontId="2" fillId="40" borderId="54" xfId="0" applyFont="1" applyFill="1" applyBorder="1" applyAlignment="1" applyProtection="1">
      <alignment horizontal="left"/>
    </xf>
    <xf numFmtId="9" fontId="5" fillId="36" borderId="54" xfId="0" applyNumberFormat="1" applyFont="1" applyFill="1" applyBorder="1" applyAlignment="1" applyProtection="1">
      <alignment horizontal="center" vertical="center"/>
    </xf>
    <xf numFmtId="0" fontId="0" fillId="36" borderId="54" xfId="0" applyFill="1" applyBorder="1" applyAlignment="1" applyProtection="1">
      <alignment horizontal="center" vertical="center"/>
    </xf>
    <xf numFmtId="0" fontId="43" fillId="40" borderId="54" xfId="0" applyFont="1" applyFill="1" applyBorder="1" applyAlignment="1" applyProtection="1">
      <alignment horizontal="center" vertical="center" wrapText="1"/>
    </xf>
    <xf numFmtId="0" fontId="37" fillId="40" borderId="54" xfId="0" applyFont="1" applyFill="1" applyBorder="1" applyAlignment="1" applyProtection="1">
      <alignment horizontal="center" vertical="center"/>
    </xf>
    <xf numFmtId="0" fontId="6" fillId="2" borderId="54" xfId="0" applyFont="1" applyFill="1" applyBorder="1" applyAlignment="1" applyProtection="1">
      <alignment horizontal="center" vertical="center" wrapText="1"/>
    </xf>
    <xf numFmtId="0" fontId="6" fillId="41" borderId="54" xfId="0" applyFont="1" applyFill="1" applyBorder="1" applyAlignment="1" applyProtection="1">
      <alignment vertical="center" wrapText="1"/>
    </xf>
    <xf numFmtId="0" fontId="2" fillId="39" borderId="54" xfId="0" applyFont="1" applyFill="1" applyBorder="1" applyAlignment="1" applyProtection="1">
      <alignment horizontal="center" vertical="center"/>
    </xf>
    <xf numFmtId="0" fontId="2" fillId="39" borderId="54" xfId="0" applyFont="1" applyFill="1" applyBorder="1" applyAlignment="1" applyProtection="1">
      <alignment horizontal="center" vertical="center" wrapText="1"/>
    </xf>
    <xf numFmtId="0" fontId="44" fillId="41" borderId="54" xfId="0" applyFont="1" applyFill="1" applyBorder="1" applyAlignment="1" applyProtection="1">
      <alignment horizontal="center" vertical="center" wrapText="1"/>
    </xf>
    <xf numFmtId="0" fontId="48" fillId="41" borderId="54" xfId="0" applyFont="1" applyFill="1" applyBorder="1" applyAlignment="1" applyProtection="1">
      <alignment vertical="center" wrapText="1"/>
    </xf>
    <xf numFmtId="165" fontId="5" fillId="2" borderId="54" xfId="0" applyNumberFormat="1" applyFont="1" applyFill="1" applyBorder="1" applyAlignment="1" applyProtection="1">
      <alignment horizontal="center" vertical="center"/>
    </xf>
    <xf numFmtId="2" fontId="5" fillId="2" borderId="54" xfId="0" applyNumberFormat="1" applyFont="1" applyFill="1" applyBorder="1" applyAlignment="1" applyProtection="1">
      <alignment horizontal="center"/>
    </xf>
    <xf numFmtId="0" fontId="6" fillId="39" borderId="54" xfId="0" applyFont="1" applyFill="1" applyBorder="1" applyAlignment="1" applyProtection="1">
      <alignment horizontal="center" vertical="center" wrapText="1"/>
    </xf>
    <xf numFmtId="0" fontId="5" fillId="2" borderId="54" xfId="0" applyFont="1" applyFill="1" applyBorder="1" applyAlignment="1" applyProtection="1">
      <alignment horizontal="center"/>
      <protection locked="0"/>
    </xf>
    <xf numFmtId="0" fontId="5" fillId="2" borderId="54" xfId="0" applyNumberFormat="1" applyFont="1" applyFill="1" applyBorder="1" applyAlignment="1" applyProtection="1">
      <alignment horizontal="center"/>
    </xf>
    <xf numFmtId="0" fontId="3" fillId="41" borderId="54" xfId="0" applyFont="1" applyFill="1" applyBorder="1" applyAlignment="1" applyProtection="1">
      <alignment horizontal="center" vertical="center" wrapText="1"/>
    </xf>
    <xf numFmtId="0" fontId="5" fillId="2" borderId="54" xfId="0" applyFont="1" applyFill="1" applyBorder="1" applyAlignment="1" applyProtection="1">
      <alignment horizontal="center" vertical="center"/>
      <protection locked="0"/>
    </xf>
    <xf numFmtId="0" fontId="5" fillId="2" borderId="54" xfId="0" applyFont="1" applyFill="1" applyBorder="1" applyProtection="1">
      <protection locked="0"/>
    </xf>
    <xf numFmtId="22" fontId="5" fillId="2" borderId="54" xfId="0" applyNumberFormat="1" applyFont="1" applyFill="1" applyBorder="1" applyAlignment="1" applyProtection="1">
      <alignment horizontal="center"/>
      <protection locked="0"/>
    </xf>
    <xf numFmtId="0" fontId="36" fillId="2" borderId="54" xfId="0" applyFont="1" applyFill="1" applyBorder="1" applyProtection="1">
      <protection locked="0"/>
    </xf>
    <xf numFmtId="0" fontId="40" fillId="2" borderId="54" xfId="0" applyFont="1" applyFill="1" applyBorder="1" applyAlignment="1" applyProtection="1">
      <alignment horizontal="center"/>
      <protection locked="0"/>
    </xf>
    <xf numFmtId="0" fontId="40" fillId="2" borderId="54" xfId="0" applyFont="1" applyFill="1" applyBorder="1" applyProtection="1">
      <protection locked="0"/>
    </xf>
    <xf numFmtId="0" fontId="40" fillId="2" borderId="54" xfId="0" applyFont="1" applyFill="1" applyBorder="1" applyAlignment="1" applyProtection="1">
      <alignment horizontal="left" vertical="top"/>
      <protection locked="0"/>
    </xf>
    <xf numFmtId="0" fontId="36" fillId="2" borderId="54" xfId="0" applyFont="1" applyFill="1" applyBorder="1" applyAlignment="1" applyProtection="1">
      <alignment horizontal="left" vertical="top"/>
      <protection locked="0"/>
    </xf>
    <xf numFmtId="0" fontId="40" fillId="2" borderId="54" xfId="0" applyFont="1" applyFill="1" applyBorder="1" applyAlignment="1" applyProtection="1">
      <alignment horizontal="left" vertical="top" wrapText="1"/>
      <protection locked="0"/>
    </xf>
    <xf numFmtId="0" fontId="68" fillId="39" borderId="54" xfId="0" applyFont="1" applyFill="1" applyBorder="1" applyAlignment="1" applyProtection="1">
      <alignment horizontal="center"/>
      <protection locked="0"/>
    </xf>
    <xf numFmtId="0" fontId="70" fillId="39" borderId="54" xfId="0" applyFont="1" applyFill="1" applyBorder="1" applyAlignment="1" applyProtection="1">
      <alignment horizontal="center" vertical="center"/>
      <protection locked="0"/>
    </xf>
    <xf numFmtId="0" fontId="71" fillId="40" borderId="54" xfId="0" applyFont="1" applyFill="1" applyBorder="1" applyAlignment="1" applyProtection="1">
      <alignment horizontal="center" vertical="center" wrapText="1"/>
    </xf>
    <xf numFmtId="165" fontId="71" fillId="2" borderId="54" xfId="0" applyNumberFormat="1" applyFont="1" applyFill="1" applyBorder="1" applyAlignment="1" applyProtection="1">
      <alignment horizontal="center" vertical="center"/>
      <protection locked="0"/>
    </xf>
    <xf numFmtId="165" fontId="71" fillId="2" borderId="54" xfId="0" applyNumberFormat="1" applyFont="1" applyFill="1" applyBorder="1" applyAlignment="1" applyProtection="1">
      <alignment horizontal="center" vertical="center"/>
    </xf>
    <xf numFmtId="166" fontId="68" fillId="2" borderId="54" xfId="0" applyNumberFormat="1" applyFont="1" applyFill="1" applyBorder="1" applyAlignment="1" applyProtection="1">
      <alignment horizontal="center" vertical="center"/>
      <protection locked="0"/>
    </xf>
    <xf numFmtId="1" fontId="68" fillId="2" borderId="54" xfId="0" applyNumberFormat="1" applyFont="1" applyFill="1" applyBorder="1" applyAlignment="1" applyProtection="1">
      <alignment horizontal="center" vertical="center"/>
    </xf>
    <xf numFmtId="0" fontId="40" fillId="2" borderId="54" xfId="0" applyFont="1" applyFill="1" applyBorder="1" applyAlignment="1" applyProtection="1">
      <alignment horizontal="center" vertical="center"/>
      <protection locked="0"/>
    </xf>
    <xf numFmtId="0" fontId="37" fillId="40" borderId="60" xfId="0" applyFont="1" applyFill="1" applyBorder="1" applyAlignment="1" applyProtection="1">
      <alignment horizontal="center" vertical="center"/>
    </xf>
    <xf numFmtId="0" fontId="36" fillId="40" borderId="54" xfId="0" applyFont="1" applyFill="1" applyBorder="1" applyAlignment="1" applyProtection="1">
      <alignment horizontal="center" vertical="center"/>
    </xf>
    <xf numFmtId="0" fontId="39" fillId="40" borderId="54" xfId="0" applyFont="1" applyFill="1" applyBorder="1" applyAlignment="1" applyProtection="1">
      <alignment horizontal="center" vertical="center" wrapText="1"/>
    </xf>
    <xf numFmtId="0" fontId="39" fillId="40" borderId="54" xfId="0" applyFont="1" applyFill="1" applyBorder="1" applyAlignment="1" applyProtection="1">
      <alignment horizontal="center" vertical="center"/>
    </xf>
    <xf numFmtId="0" fontId="36" fillId="2" borderId="54" xfId="0" applyFont="1" applyFill="1" applyBorder="1" applyAlignment="1" applyProtection="1">
      <alignment horizontal="center" vertical="center"/>
    </xf>
    <xf numFmtId="0" fontId="36" fillId="2" borderId="54" xfId="0" applyFont="1" applyFill="1" applyBorder="1" applyAlignment="1" applyProtection="1">
      <alignment horizontal="center"/>
    </xf>
    <xf numFmtId="166" fontId="68" fillId="2" borderId="54" xfId="0" applyNumberFormat="1" applyFont="1" applyFill="1" applyBorder="1" applyAlignment="1" applyProtection="1">
      <alignment horizontal="center" vertical="center"/>
    </xf>
    <xf numFmtId="0" fontId="50" fillId="41" borderId="54" xfId="0" applyFont="1" applyFill="1" applyBorder="1" applyAlignment="1" applyProtection="1">
      <alignment horizontal="center" vertical="center"/>
    </xf>
    <xf numFmtId="0" fontId="50" fillId="41" borderId="54" xfId="0" applyFont="1" applyFill="1" applyBorder="1" applyAlignment="1" applyProtection="1">
      <alignment horizontal="left" vertical="center"/>
    </xf>
    <xf numFmtId="1" fontId="49" fillId="2" borderId="54" xfId="0" applyNumberFormat="1" applyFont="1" applyFill="1" applyBorder="1" applyAlignment="1" applyProtection="1">
      <alignment horizontal="center" vertical="center"/>
      <protection locked="0"/>
    </xf>
    <xf numFmtId="1" fontId="49" fillId="41" borderId="54" xfId="0" applyNumberFormat="1" applyFont="1" applyFill="1" applyBorder="1" applyAlignment="1" applyProtection="1">
      <alignment horizontal="center" vertical="center"/>
    </xf>
    <xf numFmtId="0" fontId="71" fillId="45" borderId="54" xfId="0" applyFont="1" applyFill="1" applyBorder="1" applyAlignment="1" applyProtection="1">
      <alignment horizontal="center" vertical="center" wrapText="1"/>
    </xf>
    <xf numFmtId="0" fontId="71" fillId="40" borderId="54" xfId="0" applyFont="1" applyFill="1" applyBorder="1" applyAlignment="1" applyProtection="1">
      <alignment horizontal="center" vertical="center"/>
      <protection locked="0"/>
    </xf>
    <xf numFmtId="0" fontId="51" fillId="45" borderId="54" xfId="0" applyFont="1" applyFill="1" applyBorder="1" applyAlignment="1" applyProtection="1">
      <alignment horizontal="center" vertical="center" wrapText="1"/>
      <protection locked="0"/>
    </xf>
    <xf numFmtId="0" fontId="68" fillId="2" borderId="70" xfId="0" applyFont="1" applyFill="1" applyBorder="1" applyAlignment="1" applyProtection="1">
      <alignment horizontal="left" vertical="center"/>
      <protection locked="0"/>
    </xf>
    <xf numFmtId="0" fontId="68" fillId="2" borderId="70" xfId="0" applyFont="1" applyFill="1" applyBorder="1" applyAlignment="1" applyProtection="1">
      <alignment horizontal="center" vertical="center"/>
      <protection locked="0"/>
    </xf>
    <xf numFmtId="1" fontId="68" fillId="2" borderId="70" xfId="0" applyNumberFormat="1" applyFont="1" applyFill="1" applyBorder="1" applyAlignment="1" applyProtection="1">
      <alignment horizontal="center" vertical="center"/>
      <protection locked="0"/>
    </xf>
    <xf numFmtId="166" fontId="68" fillId="2" borderId="70" xfId="0" applyNumberFormat="1" applyFont="1" applyFill="1" applyBorder="1" applyAlignment="1" applyProtection="1">
      <alignment horizontal="left" vertical="center"/>
      <protection locked="0"/>
    </xf>
    <xf numFmtId="165" fontId="68" fillId="2" borderId="70" xfId="0" applyNumberFormat="1" applyFont="1" applyFill="1" applyBorder="1" applyAlignment="1" applyProtection="1">
      <alignment horizontal="center" vertical="center"/>
      <protection locked="0"/>
    </xf>
    <xf numFmtId="165" fontId="71" fillId="2" borderId="70" xfId="0" applyNumberFormat="1" applyFont="1" applyFill="1" applyBorder="1" applyAlignment="1" applyProtection="1">
      <alignment horizontal="center" vertical="center"/>
      <protection locked="0"/>
    </xf>
    <xf numFmtId="1" fontId="68" fillId="2" borderId="70" xfId="0" applyNumberFormat="1" applyFont="1" applyFill="1" applyBorder="1" applyAlignment="1" applyProtection="1">
      <alignment horizontal="center" vertical="center"/>
    </xf>
    <xf numFmtId="1" fontId="68" fillId="2" borderId="70" xfId="0" applyNumberFormat="1" applyFont="1" applyFill="1" applyBorder="1" applyAlignment="1" applyProtection="1">
      <alignment horizontal="left" vertical="center"/>
      <protection locked="0"/>
    </xf>
    <xf numFmtId="0" fontId="68" fillId="2" borderId="70" xfId="0" applyFont="1" applyFill="1" applyBorder="1" applyAlignment="1" applyProtection="1">
      <alignment horizontal="center" vertical="center"/>
    </xf>
    <xf numFmtId="0" fontId="71" fillId="40" borderId="70" xfId="0" applyFont="1" applyFill="1" applyBorder="1" applyAlignment="1" applyProtection="1">
      <alignment horizontal="center" vertical="center"/>
      <protection locked="0"/>
    </xf>
    <xf numFmtId="0" fontId="2" fillId="46" borderId="70" xfId="0" applyFont="1" applyFill="1" applyBorder="1" applyAlignment="1" applyProtection="1">
      <alignment horizontal="center" vertical="center" wrapText="1"/>
    </xf>
    <xf numFmtId="0" fontId="2" fillId="40" borderId="70" xfId="0" applyFont="1" applyFill="1" applyBorder="1" applyAlignment="1" applyProtection="1">
      <alignment horizontal="center" vertical="center" wrapText="1"/>
    </xf>
    <xf numFmtId="165" fontId="2" fillId="36" borderId="70" xfId="0" applyNumberFormat="1" applyFont="1" applyFill="1" applyBorder="1" applyAlignment="1" applyProtection="1">
      <alignment horizontal="center" vertical="center"/>
    </xf>
    <xf numFmtId="166" fontId="0" fillId="36" borderId="70" xfId="0" applyNumberFormat="1" applyFill="1" applyBorder="1" applyAlignment="1" applyProtection="1">
      <alignment horizontal="center" vertical="center"/>
    </xf>
    <xf numFmtId="1" fontId="0" fillId="36" borderId="70" xfId="0" applyNumberFormat="1" applyFill="1" applyBorder="1" applyAlignment="1" applyProtection="1">
      <alignment horizontal="center" vertical="center"/>
    </xf>
    <xf numFmtId="165" fontId="2" fillId="40" borderId="84" xfId="0" applyNumberFormat="1" applyFont="1" applyFill="1" applyBorder="1" applyAlignment="1" applyProtection="1">
      <alignment horizontal="center" vertical="center"/>
      <protection locked="0"/>
    </xf>
    <xf numFmtId="165" fontId="2" fillId="40" borderId="85" xfId="0" applyNumberFormat="1" applyFont="1" applyFill="1" applyBorder="1" applyAlignment="1" applyProtection="1">
      <alignment horizontal="center" vertical="center"/>
    </xf>
    <xf numFmtId="165" fontId="2" fillId="36" borderId="73" xfId="0" applyNumberFormat="1" applyFont="1" applyFill="1" applyBorder="1" applyAlignment="1" applyProtection="1">
      <alignment horizontal="center" vertical="center"/>
    </xf>
    <xf numFmtId="0" fontId="0" fillId="36" borderId="87" xfId="0" applyFill="1" applyBorder="1" applyProtection="1"/>
    <xf numFmtId="0" fontId="0" fillId="36" borderId="76" xfId="0" applyFill="1" applyBorder="1" applyProtection="1"/>
    <xf numFmtId="0" fontId="0" fillId="36" borderId="88" xfId="0" applyFill="1" applyBorder="1" applyProtection="1"/>
    <xf numFmtId="0" fontId="0" fillId="36" borderId="77" xfId="0" applyFill="1" applyBorder="1" applyProtection="1"/>
    <xf numFmtId="0" fontId="0" fillId="36" borderId="84" xfId="0" applyFill="1" applyBorder="1" applyProtection="1"/>
    <xf numFmtId="0" fontId="0" fillId="36" borderId="78" xfId="0" applyFill="1" applyBorder="1" applyProtection="1"/>
    <xf numFmtId="0" fontId="0" fillId="39" borderId="89" xfId="0" applyFill="1" applyBorder="1" applyAlignment="1" applyProtection="1">
      <alignment horizontal="center"/>
      <protection locked="0"/>
    </xf>
    <xf numFmtId="0" fontId="32" fillId="39" borderId="87" xfId="0" applyFont="1" applyFill="1" applyBorder="1" applyAlignment="1" applyProtection="1">
      <alignment horizontal="center" vertical="center"/>
      <protection locked="0"/>
    </xf>
    <xf numFmtId="0" fontId="0" fillId="39" borderId="93" xfId="0" applyFill="1" applyBorder="1" applyAlignment="1" applyProtection="1">
      <alignment horizontal="center"/>
      <protection locked="0"/>
    </xf>
    <xf numFmtId="0" fontId="0" fillId="39" borderId="84" xfId="0" applyFill="1" applyBorder="1" applyAlignment="1" applyProtection="1">
      <alignment horizontal="center"/>
      <protection locked="0"/>
    </xf>
    <xf numFmtId="166" fontId="0" fillId="41" borderId="70" xfId="0" applyNumberFormat="1" applyFill="1" applyBorder="1" applyAlignment="1" applyProtection="1">
      <alignment horizontal="center" vertical="center"/>
      <protection locked="0"/>
    </xf>
    <xf numFmtId="165" fontId="2" fillId="41" borderId="70" xfId="0" applyNumberFormat="1" applyFont="1" applyFill="1" applyBorder="1" applyAlignment="1" applyProtection="1">
      <alignment horizontal="center" vertical="center"/>
      <protection locked="0"/>
    </xf>
    <xf numFmtId="0" fontId="0" fillId="2" borderId="70" xfId="0" applyFill="1" applyBorder="1" applyAlignment="1" applyProtection="1">
      <alignment horizontal="left" vertical="center"/>
      <protection locked="0"/>
    </xf>
    <xf numFmtId="0" fontId="71" fillId="40" borderId="85" xfId="0" applyFont="1" applyFill="1" applyBorder="1" applyAlignment="1" applyProtection="1">
      <alignment horizontal="center" vertical="center"/>
      <protection locked="0"/>
    </xf>
    <xf numFmtId="0" fontId="75" fillId="40" borderId="91" xfId="0" applyFont="1" applyFill="1" applyBorder="1" applyAlignment="1" applyProtection="1">
      <alignment horizontal="center" vertical="center"/>
      <protection locked="0"/>
    </xf>
    <xf numFmtId="0" fontId="75" fillId="40" borderId="0" xfId="0" applyFont="1" applyFill="1" applyBorder="1" applyAlignment="1" applyProtection="1">
      <alignment horizontal="center" vertical="center"/>
      <protection locked="0"/>
    </xf>
    <xf numFmtId="0" fontId="75" fillId="40" borderId="88" xfId="0" applyFont="1" applyFill="1" applyBorder="1" applyAlignment="1" applyProtection="1">
      <alignment horizontal="center" vertical="center"/>
      <protection locked="0"/>
    </xf>
    <xf numFmtId="0" fontId="44" fillId="2" borderId="0" xfId="0" applyFont="1" applyFill="1" applyBorder="1" applyAlignment="1" applyProtection="1">
      <alignment horizontal="left" vertical="top"/>
    </xf>
    <xf numFmtId="0" fontId="35" fillId="2" borderId="39" xfId="0" applyFont="1" applyFill="1" applyBorder="1" applyAlignment="1" applyProtection="1">
      <alignment vertical="top"/>
      <protection locked="0"/>
    </xf>
    <xf numFmtId="0" fontId="35" fillId="2" borderId="0" xfId="0" applyFont="1" applyFill="1" applyBorder="1" applyAlignment="1" applyProtection="1">
      <alignment vertical="top"/>
      <protection locked="0"/>
    </xf>
    <xf numFmtId="0" fontId="79" fillId="2" borderId="70" xfId="0" applyFont="1" applyFill="1" applyBorder="1" applyAlignment="1" applyProtection="1">
      <alignment horizontal="left" vertical="center"/>
      <protection locked="0"/>
    </xf>
    <xf numFmtId="1" fontId="0" fillId="2" borderId="54" xfId="0" applyNumberFormat="1" applyFill="1" applyBorder="1" applyAlignment="1" applyProtection="1">
      <alignment horizontal="center" vertical="center"/>
    </xf>
    <xf numFmtId="165" fontId="0" fillId="2" borderId="54" xfId="0" applyNumberFormat="1" applyFill="1" applyBorder="1" applyAlignment="1" applyProtection="1">
      <alignment horizontal="center" vertical="center"/>
    </xf>
    <xf numFmtId="166" fontId="0" fillId="2" borderId="54" xfId="0" applyNumberFormat="1" applyFill="1" applyBorder="1" applyAlignment="1" applyProtection="1">
      <alignment horizontal="center" vertical="center"/>
    </xf>
    <xf numFmtId="9" fontId="0" fillId="2" borderId="54" xfId="0" applyNumberFormat="1" applyFill="1" applyBorder="1" applyAlignment="1" applyProtection="1">
      <alignment horizontal="center" vertical="center"/>
    </xf>
    <xf numFmtId="165" fontId="2" fillId="2" borderId="54" xfId="0" applyNumberFormat="1" applyFont="1" applyFill="1" applyBorder="1" applyAlignment="1" applyProtection="1">
      <alignment horizontal="center" vertical="center"/>
    </xf>
    <xf numFmtId="1" fontId="2" fillId="2" borderId="54" xfId="0" applyNumberFormat="1" applyFont="1" applyFill="1" applyBorder="1" applyAlignment="1" applyProtection="1">
      <alignment horizontal="center" vertical="center"/>
    </xf>
    <xf numFmtId="9" fontId="2" fillId="2" borderId="54" xfId="0" applyNumberFormat="1" applyFont="1" applyFill="1" applyBorder="1" applyAlignment="1" applyProtection="1">
      <alignment horizontal="center" vertical="center"/>
    </xf>
    <xf numFmtId="1" fontId="0" fillId="2" borderId="54" xfId="0" applyNumberFormat="1" applyFill="1" applyBorder="1" applyAlignment="1" applyProtection="1">
      <alignment horizontal="center"/>
    </xf>
    <xf numFmtId="1" fontId="0" fillId="2" borderId="54" xfId="0" applyNumberFormat="1" applyFill="1" applyBorder="1" applyAlignment="1" applyProtection="1">
      <alignment horizontal="center" vertical="center" wrapText="1"/>
    </xf>
    <xf numFmtId="9" fontId="0" fillId="2" borderId="54" xfId="0" applyNumberFormat="1" applyFill="1" applyBorder="1" applyAlignment="1" applyProtection="1">
      <alignment horizontal="center"/>
    </xf>
    <xf numFmtId="1" fontId="5" fillId="2" borderId="54" xfId="0" applyNumberFormat="1" applyFont="1" applyFill="1" applyBorder="1" applyAlignment="1" applyProtection="1">
      <alignment horizontal="center" vertical="center"/>
    </xf>
    <xf numFmtId="0" fontId="0" fillId="2" borderId="54" xfId="0" applyFill="1" applyBorder="1" applyAlignment="1" applyProtection="1">
      <alignment horizontal="center" vertical="center"/>
    </xf>
    <xf numFmtId="0" fontId="5" fillId="2" borderId="54" xfId="0" applyFont="1" applyFill="1" applyBorder="1" applyAlignment="1" applyProtection="1">
      <alignment horizontal="center" vertical="center"/>
    </xf>
    <xf numFmtId="0" fontId="5" fillId="45" borderId="54" xfId="0" applyFont="1" applyFill="1" applyBorder="1" applyAlignment="1" applyProtection="1">
      <alignment horizontal="center" vertical="center"/>
      <protection locked="0"/>
    </xf>
    <xf numFmtId="0" fontId="74" fillId="2" borderId="70" xfId="0" applyFont="1" applyFill="1" applyBorder="1" applyAlignment="1" applyProtection="1">
      <alignment horizontal="center" vertical="center"/>
      <protection locked="0"/>
    </xf>
    <xf numFmtId="1" fontId="0" fillId="41" borderId="30" xfId="0" applyNumberFormat="1" applyFill="1" applyBorder="1" applyAlignment="1">
      <alignment horizontal="center"/>
    </xf>
    <xf numFmtId="0" fontId="0" fillId="0" borderId="30" xfId="0" applyBorder="1" applyAlignment="1">
      <alignment horizontal="center" vertical="center"/>
    </xf>
    <xf numFmtId="1" fontId="0" fillId="3" borderId="30" xfId="0" applyNumberFormat="1" applyFill="1" applyBorder="1" applyAlignment="1">
      <alignment horizontal="center"/>
    </xf>
    <xf numFmtId="0" fontId="48" fillId="37" borderId="30" xfId="0" applyFont="1" applyFill="1" applyBorder="1" applyAlignment="1">
      <alignment horizontal="center" vertical="center" wrapText="1"/>
    </xf>
    <xf numFmtId="0" fontId="2" fillId="38" borderId="30" xfId="0" applyFont="1" applyFill="1" applyBorder="1" applyAlignment="1">
      <alignment horizontal="center"/>
    </xf>
    <xf numFmtId="0" fontId="26" fillId="43" borderId="13" xfId="0" applyFont="1" applyFill="1" applyBorder="1" applyAlignment="1">
      <alignment horizontal="center" vertical="center"/>
    </xf>
    <xf numFmtId="0" fontId="80" fillId="43" borderId="54" xfId="0" applyFont="1" applyFill="1" applyBorder="1" applyAlignment="1" applyProtection="1">
      <alignment horizontal="center" vertical="center"/>
    </xf>
    <xf numFmtId="0" fontId="5" fillId="0" borderId="30" xfId="0" applyFont="1" applyBorder="1" applyAlignment="1">
      <alignment horizontal="center"/>
    </xf>
    <xf numFmtId="0" fontId="6" fillId="38" borderId="30" xfId="0" applyFont="1" applyFill="1" applyBorder="1" applyAlignment="1">
      <alignment horizontal="center" vertical="center"/>
    </xf>
    <xf numFmtId="0" fontId="2" fillId="40" borderId="54" xfId="0" applyFont="1" applyFill="1" applyBorder="1" applyAlignment="1" applyProtection="1">
      <alignment horizontal="center"/>
    </xf>
    <xf numFmtId="0" fontId="2" fillId="39" borderId="54" xfId="0" applyFont="1" applyFill="1" applyBorder="1" applyAlignment="1" applyProtection="1">
      <alignment horizontal="center"/>
    </xf>
    <xf numFmtId="10" fontId="2" fillId="40" borderId="54" xfId="0" applyNumberFormat="1" applyFont="1" applyFill="1" applyBorder="1" applyAlignment="1" applyProtection="1">
      <alignment horizontal="center"/>
    </xf>
    <xf numFmtId="165" fontId="5" fillId="2" borderId="54" xfId="0" applyNumberFormat="1" applyFont="1" applyFill="1" applyBorder="1" applyAlignment="1" applyProtection="1">
      <alignment horizontal="center"/>
    </xf>
    <xf numFmtId="0" fontId="5" fillId="2" borderId="54" xfId="0" applyFont="1" applyFill="1" applyBorder="1" applyAlignment="1" applyProtection="1">
      <alignment horizontal="center"/>
    </xf>
    <xf numFmtId="0" fontId="2" fillId="40" borderId="54" xfId="0" applyFont="1" applyFill="1" applyBorder="1" applyAlignment="1" applyProtection="1">
      <alignment horizontal="left"/>
    </xf>
    <xf numFmtId="9" fontId="0" fillId="2" borderId="54" xfId="0" applyNumberFormat="1" applyFill="1" applyBorder="1" applyAlignment="1" applyProtection="1">
      <alignment horizontal="center"/>
    </xf>
    <xf numFmtId="1" fontId="0" fillId="2" borderId="54" xfId="0" applyNumberFormat="1" applyFill="1" applyBorder="1" applyAlignment="1" applyProtection="1">
      <alignment horizontal="center" vertical="center"/>
    </xf>
    <xf numFmtId="0" fontId="38" fillId="40" borderId="54" xfId="0" applyFont="1" applyFill="1" applyBorder="1" applyAlignment="1" applyProtection="1">
      <alignment horizontal="center" vertical="center" wrapText="1"/>
    </xf>
    <xf numFmtId="0" fontId="5" fillId="2" borderId="54" xfId="0" applyFont="1" applyFill="1" applyBorder="1" applyAlignment="1" applyProtection="1">
      <alignment horizontal="center" vertical="center"/>
    </xf>
    <xf numFmtId="0" fontId="0" fillId="2" borderId="54" xfId="0" applyFill="1" applyBorder="1" applyAlignment="1" applyProtection="1">
      <alignment horizontal="center" vertical="center"/>
    </xf>
    <xf numFmtId="0" fontId="13" fillId="40" borderId="54" xfId="0" applyFont="1" applyFill="1" applyBorder="1" applyAlignment="1" applyProtection="1">
      <alignment horizontal="center" vertical="center" wrapText="1"/>
    </xf>
    <xf numFmtId="0" fontId="2" fillId="40" borderId="54" xfId="0" applyFont="1" applyFill="1" applyBorder="1" applyAlignment="1" applyProtection="1">
      <alignment horizontal="center" vertical="center"/>
    </xf>
    <xf numFmtId="0" fontId="2" fillId="36" borderId="0" xfId="0" applyFont="1" applyFill="1" applyAlignment="1" applyProtection="1">
      <alignment horizontal="center"/>
    </xf>
    <xf numFmtId="0" fontId="81" fillId="2" borderId="54" xfId="0" applyFont="1" applyFill="1" applyBorder="1" applyAlignment="1" applyProtection="1">
      <alignment horizontal="center" vertical="center"/>
      <protection locked="0"/>
    </xf>
    <xf numFmtId="0" fontId="2" fillId="36" borderId="65" xfId="0" applyFont="1" applyFill="1" applyBorder="1" applyAlignment="1" applyProtection="1"/>
    <xf numFmtId="0" fontId="0" fillId="36" borderId="27" xfId="0" applyFill="1" applyBorder="1" applyProtection="1">
      <protection locked="0"/>
    </xf>
    <xf numFmtId="0" fontId="0" fillId="36" borderId="48" xfId="0" applyFill="1" applyBorder="1" applyProtection="1">
      <protection locked="0"/>
    </xf>
    <xf numFmtId="0" fontId="0" fillId="36" borderId="28" xfId="0" applyFill="1" applyBorder="1" applyProtection="1">
      <protection locked="0"/>
    </xf>
    <xf numFmtId="0" fontId="74" fillId="36" borderId="26" xfId="0" applyFont="1" applyFill="1" applyBorder="1" applyProtection="1">
      <protection locked="0"/>
    </xf>
    <xf numFmtId="0" fontId="74" fillId="36" borderId="25" xfId="0" applyFont="1" applyFill="1" applyBorder="1" applyAlignment="1" applyProtection="1">
      <protection locked="0"/>
    </xf>
    <xf numFmtId="0" fontId="36" fillId="2" borderId="60" xfId="0" applyFont="1" applyFill="1" applyBorder="1" applyAlignment="1" applyProtection="1">
      <alignment horizontal="center" vertical="center"/>
    </xf>
    <xf numFmtId="0" fontId="36" fillId="2" borderId="64" xfId="0" applyFont="1" applyFill="1" applyBorder="1" applyAlignment="1" applyProtection="1">
      <alignment horizontal="center" vertical="center"/>
    </xf>
    <xf numFmtId="0" fontId="37" fillId="36" borderId="54" xfId="0" applyFont="1" applyFill="1" applyBorder="1" applyAlignment="1" applyProtection="1">
      <alignment horizontal="center" vertical="center"/>
    </xf>
    <xf numFmtId="0" fontId="37" fillId="40" borderId="54" xfId="0" applyFont="1" applyFill="1" applyBorder="1" applyAlignment="1" applyProtection="1">
      <alignment vertical="center"/>
    </xf>
    <xf numFmtId="1" fontId="36" fillId="36" borderId="54" xfId="0" applyNumberFormat="1" applyFont="1" applyFill="1" applyBorder="1" applyAlignment="1" applyProtection="1">
      <alignment horizontal="center" vertical="center"/>
    </xf>
    <xf numFmtId="0" fontId="0" fillId="2" borderId="73" xfId="0" applyFill="1" applyBorder="1" applyAlignment="1" applyProtection="1">
      <alignment horizontal="left" vertical="top"/>
      <protection locked="0"/>
    </xf>
    <xf numFmtId="0" fontId="0" fillId="2" borderId="74" xfId="0" applyFill="1" applyBorder="1" applyAlignment="1" applyProtection="1">
      <alignment horizontal="left" vertical="top"/>
      <protection locked="0"/>
    </xf>
    <xf numFmtId="0" fontId="0" fillId="2" borderId="63" xfId="0" applyFill="1" applyBorder="1" applyAlignment="1" applyProtection="1">
      <alignment horizontal="left" vertical="top"/>
      <protection locked="0"/>
    </xf>
    <xf numFmtId="0" fontId="36" fillId="36" borderId="25" xfId="0" applyFont="1" applyFill="1" applyBorder="1" applyAlignment="1">
      <alignment horizontal="left" vertical="top" wrapText="1"/>
    </xf>
    <xf numFmtId="0" fontId="36" fillId="36" borderId="25" xfId="0" applyFont="1" applyFill="1" applyBorder="1" applyAlignment="1">
      <alignment horizontal="left" wrapText="1"/>
    </xf>
    <xf numFmtId="0" fontId="40" fillId="2" borderId="54" xfId="0" applyFont="1" applyFill="1" applyBorder="1" applyAlignment="1" applyProtection="1">
      <alignment horizontal="left" wrapText="1"/>
      <protection locked="0"/>
    </xf>
    <xf numFmtId="0" fontId="36" fillId="36" borderId="25" xfId="0" applyFont="1" applyFill="1" applyBorder="1" applyAlignment="1">
      <alignment vertical="center"/>
    </xf>
    <xf numFmtId="0" fontId="40" fillId="2" borderId="54" xfId="0" applyFont="1" applyFill="1" applyBorder="1" applyAlignment="1" applyProtection="1">
      <alignment horizontal="center" vertical="center" wrapText="1"/>
      <protection locked="0"/>
    </xf>
    <xf numFmtId="0" fontId="59" fillId="2" borderId="39" xfId="0" applyFont="1" applyFill="1" applyBorder="1" applyAlignment="1" applyProtection="1">
      <alignment horizontal="left" vertical="top"/>
    </xf>
    <xf numFmtId="0" fontId="59" fillId="2" borderId="0" xfId="0" applyFont="1" applyFill="1" applyBorder="1" applyAlignment="1" applyProtection="1">
      <alignment horizontal="left" vertical="top"/>
    </xf>
    <xf numFmtId="0" fontId="37" fillId="40" borderId="54" xfId="0" applyFont="1" applyFill="1" applyBorder="1" applyAlignment="1" applyProtection="1">
      <alignment horizontal="center" vertical="center"/>
    </xf>
    <xf numFmtId="0" fontId="40" fillId="2" borderId="54" xfId="0" applyFont="1" applyFill="1" applyBorder="1" applyAlignment="1" applyProtection="1">
      <alignment horizontal="left" vertical="center" wrapText="1"/>
      <protection locked="0"/>
    </xf>
    <xf numFmtId="0" fontId="36" fillId="36" borderId="48" xfId="0" applyFont="1" applyFill="1" applyBorder="1" applyAlignment="1">
      <alignment vertical="center"/>
    </xf>
    <xf numFmtId="0" fontId="36" fillId="2" borderId="58" xfId="0" applyFont="1" applyFill="1" applyBorder="1" applyAlignment="1" applyProtection="1">
      <alignment horizontal="center" vertical="center"/>
    </xf>
    <xf numFmtId="1" fontId="3" fillId="36" borderId="54" xfId="0" applyNumberFormat="1" applyFont="1" applyFill="1" applyBorder="1" applyAlignment="1" applyProtection="1">
      <alignment horizontal="center" vertical="center"/>
    </xf>
    <xf numFmtId="0" fontId="36" fillId="36" borderId="25" xfId="0" applyFont="1" applyFill="1" applyBorder="1" applyAlignment="1">
      <alignment horizontal="left" vertical="center" wrapText="1"/>
    </xf>
    <xf numFmtId="0" fontId="2" fillId="44" borderId="54" xfId="0" applyFont="1" applyFill="1" applyBorder="1" applyAlignment="1" applyProtection="1">
      <alignment horizontal="center"/>
    </xf>
    <xf numFmtId="0" fontId="0" fillId="36" borderId="73" xfId="0" applyFill="1" applyBorder="1" applyAlignment="1" applyProtection="1">
      <alignment horizontal="center"/>
    </xf>
    <xf numFmtId="0" fontId="0" fillId="36" borderId="63" xfId="0" applyFill="1" applyBorder="1" applyAlignment="1" applyProtection="1">
      <alignment horizontal="center"/>
    </xf>
    <xf numFmtId="0" fontId="2" fillId="40" borderId="70" xfId="0" applyFont="1" applyFill="1" applyBorder="1" applyAlignment="1" applyProtection="1">
      <alignment horizontal="left"/>
      <protection locked="0"/>
    </xf>
    <xf numFmtId="0" fontId="2" fillId="40" borderId="70" xfId="0" applyFont="1" applyFill="1" applyBorder="1" applyAlignment="1" applyProtection="1">
      <alignment horizontal="center" vertical="center" wrapText="1"/>
    </xf>
    <xf numFmtId="0" fontId="2" fillId="41" borderId="70" xfId="0" applyFont="1" applyFill="1" applyBorder="1" applyAlignment="1" applyProtection="1">
      <alignment horizontal="left" vertical="center"/>
    </xf>
    <xf numFmtId="0" fontId="2" fillId="41" borderId="79" xfId="0" applyFont="1" applyFill="1" applyBorder="1" applyAlignment="1" applyProtection="1">
      <alignment horizontal="left" vertical="center"/>
    </xf>
    <xf numFmtId="0" fontId="2" fillId="41" borderId="83" xfId="0" applyFont="1" applyFill="1" applyBorder="1" applyAlignment="1" applyProtection="1">
      <alignment horizontal="left" vertical="center"/>
    </xf>
    <xf numFmtId="0" fontId="0" fillId="2" borderId="70" xfId="0" applyFill="1" applyBorder="1" applyAlignment="1" applyProtection="1">
      <alignment horizontal="left"/>
      <protection locked="0"/>
    </xf>
    <xf numFmtId="0" fontId="64" fillId="39" borderId="70" xfId="0" applyFont="1" applyFill="1" applyBorder="1" applyAlignment="1" applyProtection="1">
      <alignment horizontal="left" vertical="center"/>
    </xf>
    <xf numFmtId="0" fontId="55" fillId="39" borderId="70" xfId="0" applyFont="1" applyFill="1" applyBorder="1" applyAlignment="1" applyProtection="1">
      <alignment horizontal="center" vertical="center"/>
    </xf>
    <xf numFmtId="0" fontId="0" fillId="40" borderId="80" xfId="0" applyFont="1" applyFill="1" applyBorder="1" applyAlignment="1" applyProtection="1">
      <alignment horizontal="center" vertical="center"/>
    </xf>
    <xf numFmtId="0" fontId="0" fillId="40" borderId="81" xfId="0" applyFont="1" applyFill="1" applyBorder="1" applyAlignment="1" applyProtection="1">
      <alignment horizontal="center" vertical="center"/>
    </xf>
    <xf numFmtId="0" fontId="2" fillId="40" borderId="70" xfId="0" applyFont="1" applyFill="1" applyBorder="1" applyAlignment="1" applyProtection="1">
      <alignment horizontal="center" vertical="center"/>
    </xf>
    <xf numFmtId="166" fontId="0" fillId="36" borderId="70" xfId="0" applyNumberFormat="1" applyFill="1" applyBorder="1" applyAlignment="1" applyProtection="1">
      <alignment horizontal="center" vertical="center"/>
    </xf>
    <xf numFmtId="0" fontId="2" fillId="40" borderId="82" xfId="0" applyFont="1" applyFill="1" applyBorder="1" applyAlignment="1" applyProtection="1">
      <alignment horizontal="center" vertical="center"/>
    </xf>
    <xf numFmtId="0" fontId="2" fillId="40" borderId="86" xfId="0" applyFont="1" applyFill="1" applyBorder="1" applyAlignment="1" applyProtection="1">
      <alignment horizontal="center" vertical="center"/>
    </xf>
    <xf numFmtId="0" fontId="2" fillId="41" borderId="70" xfId="0" applyFont="1" applyFill="1" applyBorder="1" applyAlignment="1" applyProtection="1">
      <alignment horizontal="center"/>
    </xf>
    <xf numFmtId="0" fontId="0" fillId="2" borderId="70" xfId="0" applyFill="1" applyBorder="1" applyAlignment="1" applyProtection="1">
      <alignment horizontal="center" vertical="center"/>
      <protection locked="0"/>
    </xf>
    <xf numFmtId="0" fontId="0" fillId="36" borderId="70" xfId="0" applyFill="1" applyBorder="1" applyAlignment="1" applyProtection="1">
      <alignment horizontal="center"/>
      <protection locked="0"/>
    </xf>
    <xf numFmtId="0" fontId="0" fillId="2" borderId="70" xfId="0" applyFill="1" applyBorder="1" applyAlignment="1" applyProtection="1">
      <alignment horizontal="left" vertical="top"/>
      <protection locked="0"/>
    </xf>
    <xf numFmtId="0" fontId="2" fillId="40" borderId="70" xfId="0" applyFont="1" applyFill="1" applyBorder="1" applyAlignment="1" applyProtection="1">
      <alignment horizontal="left" wrapText="1"/>
      <protection locked="0"/>
    </xf>
    <xf numFmtId="0" fontId="0" fillId="39" borderId="84" xfId="0" applyFill="1" applyBorder="1" applyAlignment="1" applyProtection="1">
      <alignment horizontal="center"/>
      <protection locked="0"/>
    </xf>
    <xf numFmtId="0" fontId="0" fillId="36" borderId="70" xfId="0" applyFont="1" applyFill="1" applyBorder="1" applyAlignment="1" applyProtection="1">
      <alignment horizontal="left" vertical="center"/>
    </xf>
    <xf numFmtId="0" fontId="7" fillId="39" borderId="87" xfId="0" applyFont="1" applyFill="1" applyBorder="1" applyAlignment="1" applyProtection="1">
      <alignment horizontal="center" vertical="center"/>
      <protection locked="0"/>
    </xf>
    <xf numFmtId="0" fontId="32" fillId="39" borderId="87" xfId="0" applyFont="1" applyFill="1" applyBorder="1" applyAlignment="1" applyProtection="1">
      <alignment horizontal="center" vertical="center"/>
      <protection locked="0"/>
    </xf>
    <xf numFmtId="0" fontId="67" fillId="39" borderId="70" xfId="0" applyFont="1" applyFill="1" applyBorder="1" applyAlignment="1" applyProtection="1">
      <alignment horizontal="left" vertical="center"/>
      <protection locked="0"/>
    </xf>
    <xf numFmtId="0" fontId="55" fillId="39" borderId="70" xfId="0" applyFont="1" applyFill="1" applyBorder="1" applyAlignment="1" applyProtection="1">
      <alignment horizontal="center" vertical="center"/>
      <protection locked="0"/>
    </xf>
    <xf numFmtId="0" fontId="0" fillId="39" borderId="75" xfId="0" applyFill="1" applyBorder="1" applyAlignment="1" applyProtection="1">
      <alignment horizontal="center"/>
      <protection locked="0"/>
    </xf>
    <xf numFmtId="0" fontId="0" fillId="39" borderId="91" xfId="0" applyFill="1" applyBorder="1" applyAlignment="1" applyProtection="1">
      <alignment horizontal="center"/>
      <protection locked="0"/>
    </xf>
    <xf numFmtId="0" fontId="0" fillId="39" borderId="77" xfId="0" applyFill="1" applyBorder="1" applyAlignment="1" applyProtection="1">
      <alignment horizontal="center"/>
      <protection locked="0"/>
    </xf>
    <xf numFmtId="0" fontId="0" fillId="39" borderId="90" xfId="0" applyFill="1" applyBorder="1" applyAlignment="1" applyProtection="1">
      <alignment horizontal="center"/>
      <protection locked="0"/>
    </xf>
    <xf numFmtId="0" fontId="0" fillId="39" borderId="92" xfId="0" applyFill="1" applyBorder="1" applyAlignment="1" applyProtection="1">
      <alignment horizontal="center"/>
      <protection locked="0"/>
    </xf>
    <xf numFmtId="0" fontId="0" fillId="39" borderId="94" xfId="0" applyFill="1" applyBorder="1" applyAlignment="1" applyProtection="1">
      <alignment horizontal="center"/>
      <protection locked="0"/>
    </xf>
    <xf numFmtId="0" fontId="71" fillId="40" borderId="70" xfId="0" applyFont="1" applyFill="1" applyBorder="1" applyAlignment="1" applyProtection="1">
      <alignment horizontal="left" vertical="center"/>
      <protection locked="0"/>
    </xf>
    <xf numFmtId="0" fontId="71" fillId="2" borderId="85" xfId="0" applyFont="1" applyFill="1" applyBorder="1" applyAlignment="1" applyProtection="1">
      <alignment horizontal="center" vertical="center"/>
    </xf>
    <xf numFmtId="0" fontId="71" fillId="2" borderId="70" xfId="0" applyFont="1" applyFill="1" applyBorder="1" applyAlignment="1" applyProtection="1">
      <alignment horizontal="center" vertical="center"/>
    </xf>
    <xf numFmtId="0" fontId="0" fillId="2" borderId="70" xfId="0" applyFill="1" applyBorder="1" applyAlignment="1" applyProtection="1">
      <alignment horizontal="center"/>
      <protection locked="0"/>
    </xf>
    <xf numFmtId="0" fontId="71" fillId="40" borderId="73" xfId="0" applyFont="1" applyFill="1" applyBorder="1" applyAlignment="1" applyProtection="1">
      <alignment horizontal="left" vertical="center"/>
      <protection locked="0"/>
    </xf>
    <xf numFmtId="0" fontId="11" fillId="36" borderId="0" xfId="1" applyFont="1" applyFill="1" applyBorder="1" applyAlignment="1" applyProtection="1">
      <alignment horizontal="center" vertical="center" wrapText="1"/>
      <protection locked="0"/>
    </xf>
    <xf numFmtId="0" fontId="0" fillId="2" borderId="71" xfId="0" applyFill="1" applyBorder="1" applyAlignment="1" applyProtection="1">
      <alignment horizontal="left" vertical="center"/>
      <protection locked="0"/>
    </xf>
    <xf numFmtId="0" fontId="31" fillId="36" borderId="0" xfId="0" applyFont="1" applyFill="1" applyBorder="1" applyAlignment="1" applyProtection="1">
      <alignment horizontal="center"/>
      <protection locked="0"/>
    </xf>
    <xf numFmtId="0" fontId="9" fillId="36" borderId="0" xfId="0" applyFont="1" applyFill="1" applyBorder="1" applyAlignment="1" applyProtection="1">
      <alignment horizontal="center" vertical="center"/>
      <protection locked="0"/>
    </xf>
    <xf numFmtId="14" fontId="0" fillId="2" borderId="70" xfId="0" applyNumberFormat="1" applyFill="1" applyBorder="1" applyAlignment="1" applyProtection="1">
      <alignment horizontal="left" vertical="center"/>
      <protection locked="0"/>
    </xf>
    <xf numFmtId="0" fontId="0" fillId="2" borderId="70" xfId="0" applyFill="1" applyBorder="1" applyAlignment="1" applyProtection="1">
      <alignment vertical="center"/>
      <protection locked="0"/>
    </xf>
    <xf numFmtId="0" fontId="0" fillId="2" borderId="70" xfId="0" applyFill="1" applyBorder="1" applyAlignment="1" applyProtection="1">
      <alignment horizontal="left" vertical="center"/>
      <protection locked="0"/>
    </xf>
    <xf numFmtId="0" fontId="4" fillId="36" borderId="70" xfId="0" applyFont="1" applyFill="1" applyBorder="1" applyAlignment="1" applyProtection="1">
      <alignment horizontal="center" vertical="center" wrapText="1"/>
      <protection locked="0"/>
    </xf>
    <xf numFmtId="0" fontId="71" fillId="40" borderId="70" xfId="0" applyFont="1" applyFill="1" applyBorder="1" applyAlignment="1" applyProtection="1">
      <alignment horizontal="left" vertical="center" wrapText="1"/>
      <protection locked="0"/>
    </xf>
    <xf numFmtId="0" fontId="3" fillId="36" borderId="70" xfId="0" applyFont="1" applyFill="1" applyBorder="1" applyAlignment="1" applyProtection="1">
      <alignment horizontal="center" vertical="center" wrapText="1"/>
      <protection locked="0"/>
    </xf>
    <xf numFmtId="0" fontId="2" fillId="39" borderId="70" xfId="0" applyFont="1" applyFill="1" applyBorder="1" applyAlignment="1" applyProtection="1">
      <alignment horizontal="center"/>
      <protection locked="0"/>
    </xf>
    <xf numFmtId="0" fontId="2" fillId="40" borderId="70" xfId="0" applyFont="1" applyFill="1" applyBorder="1" applyAlignment="1" applyProtection="1">
      <alignment horizontal="center"/>
      <protection locked="0"/>
    </xf>
    <xf numFmtId="0" fontId="75" fillId="40" borderId="72" xfId="0" applyFont="1" applyFill="1" applyBorder="1" applyAlignment="1" applyProtection="1">
      <alignment horizontal="center" vertical="center"/>
      <protection locked="0"/>
    </xf>
    <xf numFmtId="0" fontId="75" fillId="40" borderId="71" xfId="0" applyFont="1" applyFill="1" applyBorder="1" applyAlignment="1" applyProtection="1">
      <alignment horizontal="center" vertical="center"/>
      <protection locked="0"/>
    </xf>
    <xf numFmtId="165" fontId="71" fillId="41" borderId="70" xfId="0" applyNumberFormat="1" applyFont="1" applyFill="1" applyBorder="1" applyAlignment="1" applyProtection="1">
      <alignment horizontal="left" vertical="center"/>
      <protection locked="0"/>
    </xf>
    <xf numFmtId="14" fontId="74" fillId="2" borderId="70" xfId="0" applyNumberFormat="1" applyFont="1" applyFill="1" applyBorder="1" applyAlignment="1" applyProtection="1">
      <alignment horizontal="center"/>
      <protection locked="0"/>
    </xf>
    <xf numFmtId="165" fontId="71" fillId="41" borderId="63" xfId="0" applyNumberFormat="1" applyFont="1" applyFill="1" applyBorder="1" applyAlignment="1" applyProtection="1">
      <alignment horizontal="left" vertical="center"/>
      <protection locked="0"/>
    </xf>
    <xf numFmtId="0" fontId="74" fillId="36" borderId="48" xfId="0" applyFont="1" applyFill="1" applyBorder="1" applyAlignment="1" applyProtection="1">
      <alignment horizontal="center"/>
      <protection locked="0"/>
    </xf>
    <xf numFmtId="0" fontId="0" fillId="2" borderId="73" xfId="0" applyFill="1" applyBorder="1" applyAlignment="1" applyProtection="1">
      <alignment horizontal="left" vertical="top"/>
      <protection locked="0"/>
    </xf>
    <xf numFmtId="0" fontId="0" fillId="2" borderId="74" xfId="0" applyFill="1" applyBorder="1" applyAlignment="1" applyProtection="1">
      <alignment horizontal="left" vertical="top"/>
      <protection locked="0"/>
    </xf>
    <xf numFmtId="0" fontId="0" fillId="2" borderId="63" xfId="0" applyFill="1" applyBorder="1" applyAlignment="1" applyProtection="1">
      <alignment horizontal="left" vertical="top"/>
      <protection locked="0"/>
    </xf>
    <xf numFmtId="0" fontId="75" fillId="44" borderId="72" xfId="0" applyFont="1" applyFill="1" applyBorder="1" applyAlignment="1" applyProtection="1">
      <alignment horizontal="center" vertical="center"/>
      <protection locked="0"/>
    </xf>
    <xf numFmtId="0" fontId="0" fillId="2" borderId="73" xfId="0" quotePrefix="1" applyFill="1" applyBorder="1" applyAlignment="1" applyProtection="1">
      <alignment horizontal="left" vertical="top" wrapText="1"/>
      <protection locked="0"/>
    </xf>
    <xf numFmtId="0" fontId="0" fillId="2" borderId="73" xfId="0" applyFill="1" applyBorder="1" applyAlignment="1" applyProtection="1">
      <alignment horizontal="left" vertical="top" wrapText="1"/>
      <protection locked="0"/>
    </xf>
    <xf numFmtId="165" fontId="71" fillId="41" borderId="73" xfId="0" applyNumberFormat="1" applyFont="1" applyFill="1" applyBorder="1" applyAlignment="1" applyProtection="1">
      <alignment horizontal="left" vertical="center"/>
      <protection locked="0"/>
    </xf>
    <xf numFmtId="0" fontId="74" fillId="2" borderId="73" xfId="0" applyFont="1" applyFill="1" applyBorder="1" applyAlignment="1" applyProtection="1">
      <alignment horizontal="center"/>
      <protection locked="0"/>
    </xf>
    <xf numFmtId="0" fontId="74" fillId="2" borderId="74" xfId="0" applyFont="1" applyFill="1" applyBorder="1" applyAlignment="1" applyProtection="1">
      <alignment horizontal="center"/>
      <protection locked="0"/>
    </xf>
    <xf numFmtId="0" fontId="74" fillId="2" borderId="63" xfId="0" applyFont="1" applyFill="1" applyBorder="1" applyAlignment="1" applyProtection="1">
      <alignment horizontal="center"/>
      <protection locked="0"/>
    </xf>
    <xf numFmtId="165" fontId="71" fillId="41" borderId="74" xfId="0" applyNumberFormat="1" applyFont="1" applyFill="1" applyBorder="1" applyAlignment="1" applyProtection="1">
      <alignment horizontal="left" vertical="center"/>
      <protection locked="0"/>
    </xf>
    <xf numFmtId="1" fontId="74" fillId="2" borderId="70" xfId="0" applyNumberFormat="1" applyFont="1" applyFill="1" applyBorder="1" applyAlignment="1" applyProtection="1">
      <alignment horizontal="center" vertical="center"/>
      <protection locked="0"/>
    </xf>
    <xf numFmtId="0" fontId="30" fillId="36" borderId="75" xfId="0" quotePrefix="1" applyFont="1" applyFill="1" applyBorder="1" applyAlignment="1" applyProtection="1">
      <alignment horizontal="center" vertical="center" wrapText="1"/>
    </xf>
    <xf numFmtId="0" fontId="30" fillId="36" borderId="76" xfId="0" applyFont="1" applyFill="1" applyBorder="1" applyAlignment="1" applyProtection="1">
      <alignment horizontal="center" vertical="center" wrapText="1"/>
    </xf>
    <xf numFmtId="0" fontId="30" fillId="36" borderId="77" xfId="0" applyFont="1" applyFill="1" applyBorder="1" applyAlignment="1" applyProtection="1">
      <alignment horizontal="center" vertical="center" wrapText="1"/>
    </xf>
    <xf numFmtId="0" fontId="30" fillId="36" borderId="78" xfId="0" applyFont="1" applyFill="1" applyBorder="1" applyAlignment="1" applyProtection="1">
      <alignment horizontal="center" vertical="center" wrapText="1"/>
    </xf>
    <xf numFmtId="14" fontId="74" fillId="2" borderId="70" xfId="0" applyNumberFormat="1" applyFont="1" applyFill="1" applyBorder="1" applyAlignment="1" applyProtection="1">
      <alignment horizontal="center" vertical="center"/>
      <protection locked="0"/>
    </xf>
    <xf numFmtId="0" fontId="77" fillId="36" borderId="98" xfId="0" applyFont="1" applyFill="1" applyBorder="1" applyAlignment="1" applyProtection="1">
      <alignment horizontal="left" vertical="center"/>
      <protection locked="0"/>
    </xf>
    <xf numFmtId="0" fontId="77" fillId="36" borderId="99" xfId="0" applyFont="1" applyFill="1" applyBorder="1" applyAlignment="1" applyProtection="1">
      <alignment horizontal="left" vertical="center"/>
      <protection locked="0"/>
    </xf>
    <xf numFmtId="0" fontId="77" fillId="36" borderId="100" xfId="0" applyFont="1" applyFill="1" applyBorder="1" applyAlignment="1" applyProtection="1">
      <alignment horizontal="left" vertical="center"/>
      <protection locked="0"/>
    </xf>
    <xf numFmtId="0" fontId="76" fillId="36" borderId="70" xfId="0" applyFont="1" applyFill="1" applyBorder="1" applyAlignment="1" applyProtection="1">
      <alignment horizontal="center" vertical="center" wrapText="1"/>
    </xf>
    <xf numFmtId="0" fontId="76" fillId="36" borderId="73" xfId="0" applyFont="1" applyFill="1" applyBorder="1" applyAlignment="1" applyProtection="1">
      <alignment horizontal="center" vertical="center" wrapText="1"/>
    </xf>
    <xf numFmtId="0" fontId="0" fillId="36" borderId="70" xfId="0" applyFill="1" applyBorder="1" applyAlignment="1" applyProtection="1">
      <alignment horizontal="center"/>
    </xf>
    <xf numFmtId="14" fontId="74" fillId="2" borderId="73" xfId="0" applyNumberFormat="1" applyFont="1" applyFill="1" applyBorder="1" applyAlignment="1" applyProtection="1">
      <alignment horizontal="center" vertical="center"/>
      <protection locked="0"/>
    </xf>
    <xf numFmtId="14" fontId="74" fillId="2" borderId="63" xfId="0" applyNumberFormat="1" applyFont="1" applyFill="1" applyBorder="1" applyAlignment="1" applyProtection="1">
      <alignment horizontal="center" vertical="center"/>
      <protection locked="0"/>
    </xf>
    <xf numFmtId="0" fontId="75" fillId="40" borderId="95" xfId="0" applyFont="1" applyFill="1" applyBorder="1" applyAlignment="1" applyProtection="1">
      <alignment horizontal="center" vertical="center"/>
      <protection locked="0"/>
    </xf>
    <xf numFmtId="0" fontId="75" fillId="40" borderId="96" xfId="0" applyFont="1" applyFill="1" applyBorder="1" applyAlignment="1" applyProtection="1">
      <alignment horizontal="center" vertical="center"/>
      <protection locked="0"/>
    </xf>
    <xf numFmtId="0" fontId="75" fillId="40" borderId="97" xfId="0" applyFont="1" applyFill="1" applyBorder="1" applyAlignment="1" applyProtection="1">
      <alignment horizontal="center" vertical="center"/>
      <protection locked="0"/>
    </xf>
    <xf numFmtId="0" fontId="74" fillId="2" borderId="70" xfId="0" applyNumberFormat="1" applyFont="1" applyFill="1" applyBorder="1" applyAlignment="1" applyProtection="1">
      <alignment horizontal="center" vertical="center"/>
      <protection locked="0"/>
    </xf>
    <xf numFmtId="0" fontId="56" fillId="40" borderId="62" xfId="0" applyFont="1" applyFill="1" applyBorder="1" applyAlignment="1" applyProtection="1">
      <alignment horizontal="center" vertical="center"/>
    </xf>
    <xf numFmtId="0" fontId="56" fillId="40" borderId="54" xfId="0" applyFont="1" applyFill="1" applyBorder="1" applyAlignment="1" applyProtection="1">
      <alignment horizontal="center" vertical="center"/>
    </xf>
    <xf numFmtId="0" fontId="43" fillId="40" borderId="54" xfId="0" applyFont="1" applyFill="1" applyBorder="1" applyAlignment="1" applyProtection="1">
      <alignment horizontal="center" vertical="center" wrapText="1"/>
    </xf>
    <xf numFmtId="0" fontId="37" fillId="40" borderId="54" xfId="0" applyFont="1" applyFill="1" applyBorder="1" applyAlignment="1" applyProtection="1">
      <alignment horizontal="center" vertical="center"/>
    </xf>
    <xf numFmtId="0" fontId="36" fillId="2" borderId="58" xfId="0" applyFont="1" applyFill="1" applyBorder="1" applyAlignment="1" applyProtection="1">
      <alignment horizontal="center"/>
    </xf>
    <xf numFmtId="0" fontId="37" fillId="40" borderId="54" xfId="0" applyFont="1" applyFill="1" applyBorder="1" applyAlignment="1" applyProtection="1">
      <alignment horizontal="left" vertical="center"/>
    </xf>
    <xf numFmtId="0" fontId="63" fillId="36" borderId="70" xfId="0" applyFont="1" applyFill="1" applyBorder="1" applyAlignment="1" applyProtection="1">
      <alignment horizontal="center" vertical="center" wrapText="1"/>
    </xf>
    <xf numFmtId="0" fontId="3" fillId="36" borderId="70" xfId="0" applyFont="1" applyFill="1" applyBorder="1" applyAlignment="1" applyProtection="1">
      <alignment horizontal="center" vertical="center" wrapText="1"/>
    </xf>
    <xf numFmtId="0" fontId="3" fillId="40" borderId="54" xfId="0" applyFont="1" applyFill="1" applyBorder="1" applyAlignment="1" applyProtection="1">
      <alignment horizontal="center" vertical="center" wrapText="1"/>
    </xf>
    <xf numFmtId="0" fontId="43" fillId="40" borderId="54" xfId="2" applyFont="1" applyFill="1" applyBorder="1" applyAlignment="1" applyProtection="1">
      <alignment horizontal="center" vertical="center"/>
    </xf>
    <xf numFmtId="0" fontId="3" fillId="40" borderId="58" xfId="0" applyFont="1" applyFill="1" applyBorder="1" applyAlignment="1" applyProtection="1">
      <alignment horizontal="left" wrapText="1"/>
    </xf>
    <xf numFmtId="0" fontId="3" fillId="40" borderId="54" xfId="0" applyFont="1" applyFill="1" applyBorder="1" applyAlignment="1" applyProtection="1">
      <alignment horizontal="left" wrapText="1"/>
    </xf>
    <xf numFmtId="0" fontId="53" fillId="36" borderId="107" xfId="0" applyFont="1" applyFill="1" applyBorder="1" applyAlignment="1">
      <alignment horizontal="left" vertical="center"/>
    </xf>
    <xf numFmtId="0" fontId="53" fillId="36" borderId="108" xfId="0" applyFont="1" applyFill="1" applyBorder="1" applyAlignment="1">
      <alignment horizontal="left" vertical="center"/>
    </xf>
    <xf numFmtId="0" fontId="53" fillId="36" borderId="105" xfId="0" applyFont="1" applyFill="1" applyBorder="1" applyAlignment="1">
      <alignment horizontal="left" vertical="center"/>
    </xf>
    <xf numFmtId="0" fontId="53" fillId="36" borderId="106" xfId="0" applyFont="1" applyFill="1" applyBorder="1" applyAlignment="1">
      <alignment horizontal="left" vertical="center"/>
    </xf>
    <xf numFmtId="0" fontId="41" fillId="2" borderId="58" xfId="0" quotePrefix="1" applyFont="1" applyFill="1" applyBorder="1" applyAlignment="1" applyProtection="1">
      <alignment horizontal="center" vertical="center" wrapText="1"/>
      <protection locked="0"/>
    </xf>
    <xf numFmtId="0" fontId="41" fillId="2" borderId="109" xfId="0" applyFont="1" applyFill="1" applyBorder="1" applyAlignment="1" applyProtection="1">
      <alignment horizontal="center" vertical="center" wrapText="1"/>
      <protection locked="0"/>
    </xf>
    <xf numFmtId="0" fontId="62" fillId="36" borderId="70" xfId="0" applyFont="1" applyFill="1" applyBorder="1" applyAlignment="1" applyProtection="1">
      <alignment horizontal="center" vertical="center" wrapText="1"/>
    </xf>
    <xf numFmtId="0" fontId="5" fillId="2" borderId="54" xfId="0" applyFont="1" applyFill="1" applyBorder="1" applyAlignment="1" applyProtection="1">
      <alignment horizontal="center" wrapText="1"/>
      <protection locked="0"/>
    </xf>
    <xf numFmtId="0" fontId="6" fillId="39" borderId="54" xfId="0" applyFont="1" applyFill="1" applyBorder="1" applyAlignment="1" applyProtection="1">
      <alignment horizontal="center" vertical="center" wrapText="1"/>
    </xf>
    <xf numFmtId="0" fontId="2" fillId="40" borderId="54" xfId="0" applyFont="1" applyFill="1" applyBorder="1" applyAlignment="1" applyProtection="1">
      <alignment horizontal="center"/>
    </xf>
    <xf numFmtId="165" fontId="2" fillId="40" borderId="54" xfId="0" applyNumberFormat="1" applyFont="1" applyFill="1" applyBorder="1" applyAlignment="1" applyProtection="1">
      <alignment horizontal="center"/>
    </xf>
    <xf numFmtId="0" fontId="2" fillId="39" borderId="54" xfId="0" applyFont="1" applyFill="1" applyBorder="1" applyAlignment="1" applyProtection="1">
      <alignment horizontal="center" wrapText="1"/>
    </xf>
    <xf numFmtId="165" fontId="5" fillId="2" borderId="54" xfId="0" applyNumberFormat="1" applyFont="1" applyFill="1" applyBorder="1" applyAlignment="1" applyProtection="1">
      <alignment horizontal="center" wrapText="1"/>
    </xf>
    <xf numFmtId="10" fontId="2" fillId="40" borderId="54" xfId="0" applyNumberFormat="1" applyFont="1" applyFill="1" applyBorder="1" applyAlignment="1" applyProtection="1">
      <alignment horizontal="center"/>
    </xf>
    <xf numFmtId="0" fontId="55" fillId="40" borderId="54" xfId="0" applyFont="1" applyFill="1" applyBorder="1" applyAlignment="1" applyProtection="1">
      <alignment horizontal="center"/>
    </xf>
    <xf numFmtId="165" fontId="5" fillId="2" borderId="54" xfId="0" applyNumberFormat="1" applyFont="1" applyFill="1" applyBorder="1" applyAlignment="1" applyProtection="1">
      <alignment horizontal="center"/>
    </xf>
    <xf numFmtId="0" fontId="5" fillId="2" borderId="54" xfId="0" applyFont="1" applyFill="1" applyBorder="1" applyAlignment="1" applyProtection="1">
      <alignment horizontal="center"/>
    </xf>
    <xf numFmtId="0" fontId="3" fillId="2" borderId="30" xfId="0" applyFont="1" applyFill="1" applyBorder="1" applyAlignment="1" applyProtection="1">
      <alignment horizontal="center" vertical="center" wrapText="1"/>
    </xf>
    <xf numFmtId="0" fontId="5" fillId="2" borderId="30" xfId="0" applyFont="1" applyFill="1" applyBorder="1" applyAlignment="1" applyProtection="1">
      <alignment horizontal="center"/>
    </xf>
    <xf numFmtId="0" fontId="2" fillId="39" borderId="54" xfId="0" applyFont="1" applyFill="1" applyBorder="1" applyAlignment="1" applyProtection="1">
      <alignment horizontal="center"/>
    </xf>
    <xf numFmtId="0" fontId="6" fillId="41" borderId="54" xfId="0" applyFont="1" applyFill="1" applyBorder="1" applyAlignment="1" applyProtection="1">
      <alignment horizontal="left" vertical="center" wrapText="1"/>
    </xf>
    <xf numFmtId="0" fontId="2" fillId="40" borderId="54" xfId="0" applyFont="1" applyFill="1" applyBorder="1" applyAlignment="1" applyProtection="1">
      <alignment horizontal="center" vertical="center" wrapText="1"/>
    </xf>
    <xf numFmtId="0" fontId="31" fillId="40" borderId="54" xfId="0" applyFont="1" applyFill="1" applyBorder="1" applyAlignment="1" applyProtection="1">
      <alignment horizontal="center" vertical="center" wrapText="1"/>
    </xf>
    <xf numFmtId="0" fontId="4" fillId="2" borderId="30" xfId="0" applyFont="1" applyFill="1" applyBorder="1" applyAlignment="1" applyProtection="1">
      <alignment horizontal="center" vertical="center" wrapText="1"/>
    </xf>
    <xf numFmtId="0" fontId="0" fillId="36" borderId="54" xfId="0" applyFill="1" applyBorder="1" applyAlignment="1" applyProtection="1">
      <alignment horizontal="center"/>
    </xf>
    <xf numFmtId="0" fontId="3" fillId="36" borderId="54" xfId="0" applyFont="1" applyFill="1" applyBorder="1" applyAlignment="1" applyProtection="1">
      <alignment horizontal="center" vertical="center" wrapText="1"/>
    </xf>
    <xf numFmtId="0" fontId="63" fillId="36" borderId="54" xfId="0" applyFont="1" applyFill="1" applyBorder="1" applyAlignment="1" applyProtection="1">
      <alignment horizontal="center" vertical="center" wrapText="1"/>
    </xf>
    <xf numFmtId="0" fontId="55" fillId="36" borderId="0" xfId="0" applyFont="1" applyFill="1" applyBorder="1" applyAlignment="1" applyProtection="1">
      <alignment horizontal="left" vertical="center"/>
    </xf>
    <xf numFmtId="0" fontId="0" fillId="36" borderId="0" xfId="0" applyFill="1" applyBorder="1" applyAlignment="1" applyProtection="1">
      <alignment horizontal="left" vertical="center"/>
    </xf>
    <xf numFmtId="0" fontId="33" fillId="43" borderId="54" xfId="0" applyFont="1" applyFill="1" applyBorder="1" applyAlignment="1" applyProtection="1">
      <alignment horizontal="center"/>
    </xf>
    <xf numFmtId="0" fontId="33" fillId="43" borderId="12" xfId="0" applyFont="1" applyFill="1" applyBorder="1" applyAlignment="1" applyProtection="1">
      <alignment horizontal="center"/>
    </xf>
    <xf numFmtId="0" fontId="33" fillId="43" borderId="0" xfId="0" applyFont="1" applyFill="1" applyBorder="1" applyAlignment="1" applyProtection="1">
      <alignment horizontal="center"/>
    </xf>
    <xf numFmtId="0" fontId="13" fillId="40" borderId="54" xfId="0" applyFont="1" applyFill="1" applyBorder="1" applyAlignment="1" applyProtection="1">
      <alignment horizontal="center" vertical="center" wrapText="1"/>
    </xf>
    <xf numFmtId="9" fontId="0" fillId="2" borderId="54" xfId="0" applyNumberFormat="1" applyFill="1" applyBorder="1" applyAlignment="1" applyProtection="1">
      <alignment horizontal="center" vertical="center"/>
    </xf>
    <xf numFmtId="0" fontId="38" fillId="36" borderId="54" xfId="0" applyFont="1" applyFill="1" applyBorder="1" applyAlignment="1" applyProtection="1">
      <alignment horizontal="center" vertical="center"/>
    </xf>
    <xf numFmtId="0" fontId="38" fillId="40" borderId="54" xfId="0" applyFont="1" applyFill="1" applyBorder="1" applyAlignment="1" applyProtection="1">
      <alignment horizontal="center" vertical="center" wrapText="1"/>
    </xf>
    <xf numFmtId="0" fontId="38" fillId="40" borderId="54" xfId="0" applyNumberFormat="1" applyFont="1" applyFill="1" applyBorder="1" applyAlignment="1" applyProtection="1">
      <alignment horizontal="center" vertical="center" wrapText="1"/>
    </xf>
    <xf numFmtId="0" fontId="0" fillId="2" borderId="54" xfId="0" applyFill="1" applyBorder="1" applyAlignment="1" applyProtection="1">
      <alignment horizontal="center" vertical="center"/>
    </xf>
    <xf numFmtId="0" fontId="31" fillId="41" borderId="68" xfId="0" applyFont="1" applyFill="1" applyBorder="1" applyAlignment="1" applyProtection="1">
      <alignment horizontal="center" vertical="center"/>
    </xf>
    <xf numFmtId="0" fontId="6" fillId="40" borderId="64" xfId="0" applyFont="1" applyFill="1" applyBorder="1" applyAlignment="1" applyProtection="1">
      <alignment horizontal="center" vertical="center" wrapText="1"/>
    </xf>
    <xf numFmtId="0" fontId="6" fillId="40" borderId="66" xfId="0" applyFont="1" applyFill="1" applyBorder="1" applyAlignment="1" applyProtection="1">
      <alignment horizontal="center" vertical="center" wrapText="1"/>
    </xf>
    <xf numFmtId="0" fontId="6" fillId="40" borderId="103" xfId="0" applyFont="1" applyFill="1" applyBorder="1" applyAlignment="1" applyProtection="1">
      <alignment horizontal="center" vertical="center" wrapText="1"/>
    </xf>
    <xf numFmtId="0" fontId="6" fillId="40" borderId="104" xfId="0" applyFont="1" applyFill="1" applyBorder="1" applyAlignment="1" applyProtection="1">
      <alignment horizontal="center" vertical="center" wrapText="1"/>
    </xf>
    <xf numFmtId="1" fontId="0" fillId="2" borderId="54" xfId="0" applyNumberFormat="1" applyFill="1" applyBorder="1" applyAlignment="1" applyProtection="1">
      <alignment horizontal="center" vertical="center"/>
    </xf>
    <xf numFmtId="0" fontId="6" fillId="40" borderId="54" xfId="0" applyFont="1" applyFill="1" applyBorder="1" applyAlignment="1" applyProtection="1">
      <alignment horizontal="center"/>
    </xf>
    <xf numFmtId="9" fontId="0" fillId="2" borderId="54" xfId="0" applyNumberFormat="1" applyFill="1" applyBorder="1" applyAlignment="1" applyProtection="1">
      <alignment horizontal="center"/>
    </xf>
    <xf numFmtId="0" fontId="0" fillId="2" borderId="54" xfId="0" applyFill="1" applyBorder="1" applyAlignment="1" applyProtection="1">
      <alignment horizontal="center"/>
    </xf>
    <xf numFmtId="0" fontId="5" fillId="2" borderId="54" xfId="0" applyFont="1" applyFill="1" applyBorder="1" applyAlignment="1" applyProtection="1">
      <alignment horizontal="center" vertical="center"/>
    </xf>
    <xf numFmtId="0" fontId="37" fillId="41" borderId="60" xfId="0" applyFont="1" applyFill="1" applyBorder="1" applyAlignment="1" applyProtection="1">
      <alignment horizontal="center" vertical="center"/>
    </xf>
    <xf numFmtId="0" fontId="37" fillId="41" borderId="61" xfId="0" applyFont="1" applyFill="1" applyBorder="1" applyAlignment="1" applyProtection="1">
      <alignment horizontal="center" vertical="center"/>
    </xf>
    <xf numFmtId="0" fontId="38" fillId="36" borderId="54" xfId="0" applyFont="1" applyFill="1" applyBorder="1" applyAlignment="1" applyProtection="1">
      <alignment horizontal="center" vertical="center" wrapText="1"/>
    </xf>
    <xf numFmtId="0" fontId="2" fillId="40" borderId="54" xfId="0" applyFont="1" applyFill="1" applyBorder="1" applyAlignment="1" applyProtection="1">
      <alignment horizontal="center" vertical="center"/>
    </xf>
    <xf numFmtId="0" fontId="31" fillId="40" borderId="54" xfId="0" applyFont="1" applyFill="1" applyBorder="1" applyAlignment="1" applyProtection="1">
      <alignment horizontal="center" vertical="center"/>
    </xf>
    <xf numFmtId="0" fontId="6" fillId="40" borderId="54" xfId="0" applyFont="1" applyFill="1" applyBorder="1" applyAlignment="1" applyProtection="1">
      <alignment horizontal="center" vertical="center" wrapText="1"/>
    </xf>
    <xf numFmtId="0" fontId="6" fillId="40" borderId="58" xfId="0" applyFont="1" applyFill="1" applyBorder="1" applyAlignment="1" applyProtection="1">
      <alignment horizontal="center" vertical="center" wrapText="1"/>
    </xf>
    <xf numFmtId="0" fontId="6" fillId="40" borderId="59" xfId="0" applyFont="1" applyFill="1" applyBorder="1" applyAlignment="1" applyProtection="1">
      <alignment horizontal="center" vertical="center" wrapText="1"/>
    </xf>
    <xf numFmtId="0" fontId="37" fillId="41" borderId="68" xfId="0" applyFont="1" applyFill="1" applyBorder="1" applyAlignment="1" applyProtection="1">
      <alignment horizontal="center" vertical="center"/>
    </xf>
    <xf numFmtId="0" fontId="37" fillId="41" borderId="69" xfId="0" applyFont="1" applyFill="1" applyBorder="1" applyAlignment="1" applyProtection="1">
      <alignment horizontal="center" vertical="center"/>
    </xf>
    <xf numFmtId="0" fontId="31" fillId="41" borderId="69" xfId="0" applyFont="1" applyFill="1" applyBorder="1" applyAlignment="1" applyProtection="1">
      <alignment horizontal="center" vertical="center"/>
    </xf>
    <xf numFmtId="0" fontId="2" fillId="36" borderId="0" xfId="0" applyFont="1" applyFill="1" applyAlignment="1" applyProtection="1">
      <alignment horizontal="center"/>
    </xf>
    <xf numFmtId="0" fontId="2" fillId="36" borderId="65" xfId="0" applyFont="1" applyFill="1" applyBorder="1" applyAlignment="1" applyProtection="1">
      <alignment horizontal="center"/>
    </xf>
    <xf numFmtId="0" fontId="2" fillId="40" borderId="58" xfId="0" applyFont="1" applyFill="1" applyBorder="1" applyAlignment="1" applyProtection="1">
      <alignment horizontal="center" vertical="center"/>
    </xf>
    <xf numFmtId="0" fontId="2" fillId="40" borderId="103" xfId="0" applyFont="1" applyFill="1" applyBorder="1" applyAlignment="1" applyProtection="1">
      <alignment horizontal="center" vertical="center"/>
    </xf>
    <xf numFmtId="0" fontId="2" fillId="40" borderId="0" xfId="0" applyFont="1" applyFill="1" applyBorder="1" applyAlignment="1" applyProtection="1">
      <alignment horizontal="center" vertical="center"/>
    </xf>
    <xf numFmtId="0" fontId="5" fillId="36" borderId="35" xfId="0" applyFont="1" applyFill="1" applyBorder="1" applyAlignment="1" applyProtection="1">
      <alignment horizontal="left" vertical="top"/>
      <protection locked="0"/>
    </xf>
    <xf numFmtId="0" fontId="5" fillId="36" borderId="36" xfId="0" applyFont="1" applyFill="1" applyBorder="1" applyAlignment="1" applyProtection="1">
      <alignment horizontal="left" vertical="top"/>
      <protection locked="0"/>
    </xf>
    <xf numFmtId="0" fontId="5" fillId="36" borderId="37" xfId="0" applyFont="1" applyFill="1" applyBorder="1" applyAlignment="1" applyProtection="1">
      <alignment horizontal="left" vertical="top"/>
      <protection locked="0"/>
    </xf>
    <xf numFmtId="0" fontId="54" fillId="36" borderId="30" xfId="0" applyFont="1" applyFill="1" applyBorder="1" applyAlignment="1" applyProtection="1">
      <alignment horizontal="center" vertical="center"/>
    </xf>
    <xf numFmtId="0" fontId="0" fillId="36" borderId="30" xfId="0" applyFill="1" applyBorder="1" applyAlignment="1" applyProtection="1">
      <alignment horizontal="center"/>
    </xf>
    <xf numFmtId="0" fontId="3" fillId="36" borderId="30" xfId="0" applyFont="1" applyFill="1" applyBorder="1" applyAlignment="1" applyProtection="1">
      <alignment horizontal="center" vertical="center" wrapText="1"/>
    </xf>
    <xf numFmtId="0" fontId="4" fillId="36" borderId="30" xfId="0" applyFont="1" applyFill="1" applyBorder="1" applyAlignment="1" applyProtection="1">
      <alignment horizontal="center" vertical="center" wrapText="1"/>
    </xf>
    <xf numFmtId="0" fontId="33" fillId="43" borderId="55" xfId="0" applyFont="1" applyFill="1" applyBorder="1" applyAlignment="1" applyProtection="1">
      <alignment horizontal="center" vertical="center"/>
    </xf>
    <xf numFmtId="0" fontId="33" fillId="43" borderId="56" xfId="0" applyFont="1" applyFill="1" applyBorder="1" applyAlignment="1" applyProtection="1">
      <alignment horizontal="center" vertical="center"/>
    </xf>
    <xf numFmtId="0" fontId="33" fillId="43" borderId="57" xfId="0" applyFont="1" applyFill="1" applyBorder="1" applyAlignment="1" applyProtection="1">
      <alignment horizontal="center" vertical="center"/>
    </xf>
    <xf numFmtId="0" fontId="32" fillId="36" borderId="0" xfId="0" applyFont="1" applyFill="1" applyBorder="1" applyAlignment="1" applyProtection="1">
      <alignment horizontal="left" vertical="center"/>
    </xf>
    <xf numFmtId="0" fontId="0" fillId="2" borderId="54" xfId="0" applyFill="1" applyBorder="1" applyAlignment="1" applyProtection="1">
      <alignment horizontal="left" vertical="top" wrapText="1"/>
      <protection locked="0"/>
    </xf>
    <xf numFmtId="0" fontId="33" fillId="43" borderId="54" xfId="0" applyFont="1" applyFill="1" applyBorder="1" applyAlignment="1" applyProtection="1">
      <alignment horizontal="center" vertical="center"/>
    </xf>
    <xf numFmtId="0" fontId="0" fillId="2" borderId="64" xfId="0" applyFill="1" applyBorder="1" applyAlignment="1" applyProtection="1">
      <alignment horizontal="left" vertical="top" wrapText="1"/>
      <protection locked="0"/>
    </xf>
    <xf numFmtId="0" fontId="0" fillId="2" borderId="65" xfId="0" applyFill="1" applyBorder="1" applyAlignment="1" applyProtection="1">
      <alignment horizontal="left" vertical="top" wrapText="1"/>
      <protection locked="0"/>
    </xf>
    <xf numFmtId="0" fontId="0" fillId="2" borderId="66" xfId="0" applyFill="1" applyBorder="1" applyAlignment="1" applyProtection="1">
      <alignment horizontal="left" vertical="top" wrapText="1"/>
      <protection locked="0"/>
    </xf>
    <xf numFmtId="0" fontId="0" fillId="2" borderId="67" xfId="0" applyFill="1" applyBorder="1" applyAlignment="1" applyProtection="1">
      <alignment horizontal="left" vertical="top" wrapText="1"/>
      <protection locked="0"/>
    </xf>
    <xf numFmtId="0" fontId="0" fillId="2" borderId="68" xfId="0" applyFill="1" applyBorder="1" applyAlignment="1" applyProtection="1">
      <alignment horizontal="left" vertical="top" wrapText="1"/>
      <protection locked="0"/>
    </xf>
    <xf numFmtId="0" fontId="0" fillId="2" borderId="69" xfId="0" applyFill="1" applyBorder="1" applyAlignment="1" applyProtection="1">
      <alignment horizontal="left" vertical="top" wrapText="1"/>
      <protection locked="0"/>
    </xf>
    <xf numFmtId="9" fontId="2" fillId="40" borderId="54" xfId="0" applyNumberFormat="1" applyFont="1" applyFill="1" applyBorder="1" applyAlignment="1" applyProtection="1">
      <alignment horizontal="center" vertical="center"/>
    </xf>
    <xf numFmtId="0" fontId="2" fillId="2" borderId="54" xfId="0" applyNumberFormat="1" applyFont="1" applyFill="1" applyBorder="1" applyAlignment="1" applyProtection="1">
      <alignment horizontal="center" vertical="center"/>
    </xf>
    <xf numFmtId="0" fontId="2" fillId="36" borderId="0" xfId="0" applyFont="1" applyFill="1" applyAlignment="1" applyProtection="1">
      <alignment horizontal="left"/>
    </xf>
    <xf numFmtId="0" fontId="37" fillId="41" borderId="54" xfId="0" applyFont="1" applyFill="1" applyBorder="1" applyAlignment="1" applyProtection="1">
      <alignment horizontal="center" vertical="center"/>
    </xf>
    <xf numFmtId="0" fontId="31" fillId="41" borderId="54" xfId="0" applyFont="1" applyFill="1" applyBorder="1" applyAlignment="1" applyProtection="1">
      <alignment horizontal="center" vertical="center"/>
    </xf>
    <xf numFmtId="165" fontId="0" fillId="2" borderId="54" xfId="0" applyNumberFormat="1" applyFill="1" applyBorder="1" applyAlignment="1" applyProtection="1">
      <alignment horizontal="left" vertical="top"/>
      <protection locked="0"/>
    </xf>
    <xf numFmtId="0" fontId="2" fillId="40" borderId="54" xfId="0" applyFont="1" applyFill="1" applyBorder="1" applyAlignment="1" applyProtection="1">
      <alignment horizontal="left"/>
    </xf>
    <xf numFmtId="0" fontId="48" fillId="40" borderId="54" xfId="0" applyFont="1" applyFill="1" applyBorder="1" applyAlignment="1" applyProtection="1">
      <alignment horizontal="left"/>
    </xf>
    <xf numFmtId="0" fontId="2" fillId="2" borderId="54" xfId="0" applyFont="1" applyFill="1" applyBorder="1" applyAlignment="1" applyProtection="1">
      <alignment horizontal="left"/>
    </xf>
    <xf numFmtId="0" fontId="48" fillId="40" borderId="54" xfId="0" applyFont="1" applyFill="1" applyBorder="1" applyAlignment="1" applyProtection="1">
      <alignment horizontal="left" vertical="center"/>
    </xf>
    <xf numFmtId="0" fontId="37" fillId="41" borderId="62" xfId="0" applyFont="1" applyFill="1" applyBorder="1" applyAlignment="1" applyProtection="1">
      <alignment horizontal="center" vertical="center"/>
    </xf>
    <xf numFmtId="0" fontId="43" fillId="36" borderId="54" xfId="0" applyFont="1" applyFill="1" applyBorder="1" applyAlignment="1" applyProtection="1">
      <alignment horizontal="center" vertical="center"/>
    </xf>
    <xf numFmtId="166" fontId="0" fillId="2" borderId="54" xfId="0" applyNumberFormat="1" applyFill="1" applyBorder="1" applyAlignment="1" applyProtection="1">
      <alignment horizontal="center" vertical="center"/>
    </xf>
    <xf numFmtId="0" fontId="6" fillId="40" borderId="54" xfId="0" applyFont="1" applyFill="1" applyBorder="1" applyAlignment="1" applyProtection="1">
      <alignment horizontal="left"/>
    </xf>
    <xf numFmtId="0" fontId="31" fillId="41" borderId="60" xfId="0" applyFont="1" applyFill="1" applyBorder="1" applyAlignment="1" applyProtection="1">
      <alignment horizontal="center" vertical="center"/>
    </xf>
    <xf numFmtId="0" fontId="31" fillId="41" borderId="61" xfId="0" applyFont="1" applyFill="1" applyBorder="1" applyAlignment="1" applyProtection="1">
      <alignment horizontal="center" vertical="center"/>
    </xf>
    <xf numFmtId="0" fontId="31" fillId="41" borderId="62" xfId="0" applyFont="1" applyFill="1" applyBorder="1" applyAlignment="1" applyProtection="1">
      <alignment horizontal="center" vertical="center"/>
    </xf>
    <xf numFmtId="0" fontId="43" fillId="40" borderId="54" xfId="0" applyFont="1" applyFill="1" applyBorder="1" applyAlignment="1" applyProtection="1">
      <alignment horizontal="left" vertical="center"/>
    </xf>
    <xf numFmtId="0" fontId="43" fillId="40" borderId="54" xfId="0" applyFont="1" applyFill="1" applyBorder="1" applyAlignment="1" applyProtection="1">
      <alignment horizontal="center" vertical="center"/>
    </xf>
    <xf numFmtId="165" fontId="56" fillId="40" borderId="54" xfId="0" applyNumberFormat="1" applyFont="1" applyFill="1" applyBorder="1" applyAlignment="1" applyProtection="1">
      <alignment horizontal="center" vertical="center" wrapText="1"/>
    </xf>
    <xf numFmtId="9" fontId="2" fillId="2" borderId="54" xfId="0" applyNumberFormat="1" applyFont="1" applyFill="1" applyBorder="1" applyAlignment="1" applyProtection="1">
      <alignment horizontal="center" vertical="center"/>
    </xf>
    <xf numFmtId="0" fontId="2" fillId="36" borderId="0" xfId="0" applyFont="1" applyFill="1" applyAlignment="1" applyProtection="1">
      <alignment horizontal="center" vertical="top"/>
    </xf>
    <xf numFmtId="0" fontId="59" fillId="2" borderId="39" xfId="0" applyFont="1" applyFill="1" applyBorder="1" applyAlignment="1" applyProtection="1">
      <alignment horizontal="left" vertical="top"/>
    </xf>
    <xf numFmtId="0" fontId="59" fillId="2" borderId="0" xfId="0" applyFont="1" applyFill="1" applyBorder="1" applyAlignment="1" applyProtection="1">
      <alignment horizontal="left" vertical="top"/>
    </xf>
    <xf numFmtId="14" fontId="59" fillId="2" borderId="42" xfId="0" applyNumberFormat="1" applyFont="1" applyFill="1" applyBorder="1" applyAlignment="1" applyProtection="1">
      <alignment horizontal="center"/>
      <protection locked="0"/>
    </xf>
    <xf numFmtId="0" fontId="59" fillId="2" borderId="2" xfId="0" applyFont="1" applyFill="1" applyBorder="1" applyAlignment="1" applyProtection="1">
      <alignment horizontal="center"/>
      <protection locked="0"/>
    </xf>
    <xf numFmtId="0" fontId="59" fillId="2" borderId="39" xfId="0" applyFont="1" applyFill="1" applyBorder="1" applyAlignment="1" applyProtection="1">
      <alignment horizontal="left" vertical="top" wrapText="1"/>
    </xf>
    <xf numFmtId="0" fontId="59" fillId="2" borderId="0" xfId="0" applyFont="1" applyFill="1" applyBorder="1" applyAlignment="1" applyProtection="1">
      <alignment horizontal="left" vertical="top" wrapText="1"/>
    </xf>
    <xf numFmtId="0" fontId="59" fillId="2" borderId="38" xfId="0" applyFont="1" applyFill="1" applyBorder="1" applyAlignment="1" applyProtection="1">
      <alignment horizontal="left" vertical="top" wrapText="1"/>
    </xf>
    <xf numFmtId="0" fontId="59" fillId="2" borderId="39" xfId="0" applyFont="1" applyFill="1" applyBorder="1" applyAlignment="1" applyProtection="1">
      <alignment horizontal="left" vertical="center" wrapText="1"/>
      <protection locked="0"/>
    </xf>
    <xf numFmtId="0" fontId="59" fillId="2" borderId="0"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0" fontId="44" fillId="2" borderId="0" xfId="0" applyFont="1" applyFill="1" applyBorder="1" applyAlignment="1" applyProtection="1">
      <alignment horizontal="left" vertical="top"/>
    </xf>
    <xf numFmtId="0" fontId="44" fillId="2" borderId="38" xfId="0" applyFont="1" applyFill="1" applyBorder="1" applyAlignment="1" applyProtection="1">
      <alignment horizontal="left" vertical="top"/>
    </xf>
    <xf numFmtId="0" fontId="59" fillId="2" borderId="39" xfId="0" applyFont="1" applyFill="1" applyBorder="1" applyAlignment="1" applyProtection="1">
      <alignment horizontal="left" vertical="top" wrapText="1"/>
      <protection locked="0"/>
    </xf>
    <xf numFmtId="0" fontId="59" fillId="2" borderId="0" xfId="0" applyFont="1" applyFill="1" applyBorder="1" applyAlignment="1" applyProtection="1">
      <alignment horizontal="left" vertical="top" wrapText="1"/>
      <protection locked="0"/>
    </xf>
    <xf numFmtId="0" fontId="59" fillId="2" borderId="38" xfId="0" applyFont="1" applyFill="1" applyBorder="1" applyAlignment="1" applyProtection="1">
      <alignment horizontal="left" vertical="top" wrapText="1"/>
      <protection locked="0"/>
    </xf>
    <xf numFmtId="0" fontId="78" fillId="44" borderId="31" xfId="0" applyFont="1" applyFill="1" applyBorder="1" applyAlignment="1" applyProtection="1">
      <alignment horizontal="center" vertical="top"/>
    </xf>
    <xf numFmtId="0" fontId="78" fillId="44" borderId="41" xfId="0" applyFont="1" applyFill="1" applyBorder="1" applyAlignment="1" applyProtection="1">
      <alignment horizontal="center" vertical="top"/>
    </xf>
    <xf numFmtId="0" fontId="78" fillId="44" borderId="32" xfId="0" applyFont="1" applyFill="1" applyBorder="1" applyAlignment="1" applyProtection="1">
      <alignment horizontal="center" vertical="top"/>
    </xf>
    <xf numFmtId="0" fontId="0" fillId="2" borderId="30" xfId="0" applyFill="1" applyBorder="1" applyAlignment="1" applyProtection="1">
      <alignment horizontal="center"/>
    </xf>
    <xf numFmtId="0" fontId="56" fillId="2" borderId="30" xfId="0" applyFont="1" applyFill="1" applyBorder="1" applyAlignment="1" applyProtection="1">
      <alignment horizontal="center" vertical="center" wrapText="1"/>
    </xf>
    <xf numFmtId="0" fontId="4" fillId="2" borderId="30" xfId="0" quotePrefix="1" applyFont="1" applyFill="1" applyBorder="1" applyAlignment="1" applyProtection="1">
      <alignment horizontal="center" vertical="center" wrapText="1"/>
    </xf>
    <xf numFmtId="0" fontId="26" fillId="42" borderId="26" xfId="0" applyFont="1" applyFill="1" applyBorder="1" applyAlignment="1" applyProtection="1">
      <alignment horizontal="center" vertical="center"/>
      <protection locked="0"/>
    </xf>
    <xf numFmtId="0" fontId="26" fillId="42" borderId="47" xfId="0" applyFont="1" applyFill="1" applyBorder="1" applyAlignment="1" applyProtection="1">
      <alignment horizontal="center" vertical="center"/>
      <protection locked="0"/>
    </xf>
    <xf numFmtId="0" fontId="26" fillId="42" borderId="27" xfId="0" applyFont="1" applyFill="1" applyBorder="1" applyAlignment="1" applyProtection="1">
      <alignment horizontal="center" vertical="center"/>
      <protection locked="0"/>
    </xf>
    <xf numFmtId="0" fontId="2" fillId="36" borderId="30" xfId="0" applyFont="1" applyFill="1" applyBorder="1" applyAlignment="1">
      <alignment horizontal="center" vertical="center"/>
    </xf>
    <xf numFmtId="0" fontId="0" fillId="3" borderId="30" xfId="0" applyFill="1" applyBorder="1" applyAlignment="1" applyProtection="1">
      <alignment horizontal="left"/>
    </xf>
    <xf numFmtId="0" fontId="0" fillId="3" borderId="35" xfId="0" applyFill="1" applyBorder="1" applyAlignment="1" applyProtection="1">
      <alignment horizontal="left"/>
    </xf>
    <xf numFmtId="0" fontId="0" fillId="3" borderId="36" xfId="0" applyFill="1" applyBorder="1" applyAlignment="1" applyProtection="1">
      <alignment horizontal="left"/>
    </xf>
    <xf numFmtId="0" fontId="0" fillId="3" borderId="37" xfId="0" applyFill="1" applyBorder="1" applyAlignment="1" applyProtection="1">
      <alignment horizontal="left"/>
    </xf>
    <xf numFmtId="0" fontId="33" fillId="43" borderId="28" xfId="0" applyFont="1" applyFill="1" applyBorder="1" applyAlignment="1" applyProtection="1">
      <alignment horizontal="center"/>
    </xf>
    <xf numFmtId="0" fontId="0" fillId="2" borderId="54" xfId="0" applyFill="1" applyBorder="1" applyAlignment="1">
      <alignment horizontal="left" vertical="top"/>
    </xf>
    <xf numFmtId="0" fontId="0" fillId="2" borderId="54" xfId="0" applyFill="1" applyBorder="1" applyAlignment="1">
      <alignment horizontal="left" vertical="center"/>
    </xf>
    <xf numFmtId="0" fontId="65" fillId="41" borderId="54" xfId="0" applyFont="1" applyFill="1" applyBorder="1" applyAlignment="1">
      <alignment horizontal="left" vertical="center"/>
    </xf>
    <xf numFmtId="0" fontId="48" fillId="37" borderId="30" xfId="0" applyFont="1" applyFill="1" applyBorder="1" applyAlignment="1">
      <alignment horizontal="center" vertical="center" wrapText="1"/>
    </xf>
    <xf numFmtId="0" fontId="48" fillId="37" borderId="30" xfId="0" applyFont="1" applyFill="1" applyBorder="1" applyAlignment="1">
      <alignment horizontal="center" vertical="center"/>
    </xf>
    <xf numFmtId="0" fontId="0" fillId="0" borderId="30" xfId="0" applyBorder="1" applyAlignment="1">
      <alignment horizontal="center"/>
    </xf>
    <xf numFmtId="1" fontId="0" fillId="0" borderId="30" xfId="0" applyNumberFormat="1" applyBorder="1" applyAlignment="1">
      <alignment horizontal="center"/>
    </xf>
    <xf numFmtId="9" fontId="0" fillId="0" borderId="30" xfId="0" applyNumberFormat="1" applyBorder="1" applyAlignment="1">
      <alignment horizontal="center"/>
    </xf>
    <xf numFmtId="0" fontId="0" fillId="0" borderId="30" xfId="0" applyBorder="1" applyAlignment="1">
      <alignment horizontal="center" vertical="center"/>
    </xf>
    <xf numFmtId="0" fontId="2" fillId="35" borderId="30" xfId="0" applyFont="1" applyFill="1" applyBorder="1" applyAlignment="1">
      <alignment horizontal="center" vertical="center" wrapText="1"/>
    </xf>
    <xf numFmtId="0" fontId="47" fillId="0" borderId="23" xfId="0" applyFont="1" applyBorder="1" applyAlignment="1">
      <alignment horizontal="center" vertical="center" wrapText="1"/>
    </xf>
    <xf numFmtId="0" fontId="47" fillId="0" borderId="0" xfId="0" applyFont="1" applyBorder="1" applyAlignment="1">
      <alignment horizontal="center" vertical="center" wrapText="1"/>
    </xf>
    <xf numFmtId="0" fontId="47" fillId="0" borderId="22" xfId="0" applyFont="1" applyBorder="1" applyAlignment="1">
      <alignment horizontal="center" vertical="center" wrapText="1"/>
    </xf>
    <xf numFmtId="0" fontId="49" fillId="38" borderId="30" xfId="0" applyFont="1" applyFill="1" applyBorder="1" applyAlignment="1">
      <alignment horizontal="center" vertical="center"/>
    </xf>
    <xf numFmtId="0" fontId="2" fillId="37" borderId="30" xfId="0" applyFont="1" applyFill="1" applyBorder="1" applyAlignment="1">
      <alignment horizontal="center"/>
    </xf>
    <xf numFmtId="165" fontId="0" fillId="0" borderId="30" xfId="0" applyNumberFormat="1" applyBorder="1" applyAlignment="1">
      <alignment horizontal="center" vertical="center"/>
    </xf>
    <xf numFmtId="0" fontId="48" fillId="35" borderId="30" xfId="0" applyFont="1" applyFill="1" applyBorder="1" applyAlignment="1">
      <alignment horizontal="center" wrapText="1"/>
    </xf>
    <xf numFmtId="0" fontId="50" fillId="38" borderId="30" xfId="0" applyFont="1" applyFill="1" applyBorder="1" applyAlignment="1">
      <alignment horizontal="center" vertical="center"/>
    </xf>
    <xf numFmtId="165" fontId="49" fillId="0" borderId="30" xfId="0" applyNumberFormat="1" applyFont="1" applyBorder="1" applyAlignment="1">
      <alignment horizontal="center" vertical="center"/>
    </xf>
    <xf numFmtId="0" fontId="0" fillId="38" borderId="30" xfId="0" applyFill="1" applyBorder="1" applyAlignment="1">
      <alignment horizontal="left"/>
    </xf>
    <xf numFmtId="0" fontId="2" fillId="35" borderId="30" xfId="0" applyFont="1" applyFill="1" applyBorder="1" applyAlignment="1">
      <alignment horizontal="center"/>
    </xf>
    <xf numFmtId="0" fontId="2" fillId="37" borderId="30" xfId="0" applyFont="1" applyFill="1" applyBorder="1" applyAlignment="1">
      <alignment horizontal="center" wrapText="1"/>
    </xf>
    <xf numFmtId="1" fontId="49" fillId="0" borderId="30" xfId="0" applyNumberFormat="1" applyFont="1" applyBorder="1" applyAlignment="1">
      <alignment horizontal="center" vertical="center"/>
    </xf>
    <xf numFmtId="0" fontId="49" fillId="0" borderId="30" xfId="0" applyFont="1" applyBorder="1" applyAlignment="1">
      <alignment horizontal="center" vertical="center"/>
    </xf>
    <xf numFmtId="0" fontId="6" fillId="37" borderId="30" xfId="0" applyFont="1" applyFill="1" applyBorder="1" applyAlignment="1">
      <alignment horizontal="center"/>
    </xf>
    <xf numFmtId="14" fontId="0" fillId="0" borderId="30" xfId="0" applyNumberFormat="1" applyBorder="1" applyAlignment="1">
      <alignment horizontal="center"/>
    </xf>
    <xf numFmtId="0" fontId="0" fillId="37" borderId="30" xfId="0" applyFill="1" applyBorder="1" applyAlignment="1">
      <alignment horizontal="center"/>
    </xf>
    <xf numFmtId="0" fontId="0" fillId="2" borderId="30" xfId="0" applyFill="1" applyBorder="1" applyAlignment="1">
      <alignment horizontal="center" vertical="center" wrapText="1"/>
    </xf>
    <xf numFmtId="0" fontId="0" fillId="38" borderId="30" xfId="0" applyFill="1" applyBorder="1" applyAlignment="1">
      <alignment horizontal="center" vertical="center" wrapText="1"/>
    </xf>
    <xf numFmtId="1" fontId="0" fillId="2" borderId="30" xfId="0" applyNumberFormat="1" applyFill="1" applyBorder="1" applyAlignment="1">
      <alignment horizontal="center" vertical="center" wrapText="1"/>
    </xf>
    <xf numFmtId="0" fontId="2" fillId="38" borderId="30" xfId="0" applyFont="1" applyFill="1" applyBorder="1" applyAlignment="1">
      <alignment horizontal="center"/>
    </xf>
    <xf numFmtId="0" fontId="60" fillId="38" borderId="30" xfId="0" applyFont="1" applyFill="1" applyBorder="1" applyAlignment="1">
      <alignment horizontal="center" vertical="center" wrapText="1"/>
    </xf>
    <xf numFmtId="0" fontId="6" fillId="37" borderId="30" xfId="0" applyFont="1" applyFill="1" applyBorder="1" applyAlignment="1" applyProtection="1">
      <alignment horizontal="center" vertical="center"/>
    </xf>
    <xf numFmtId="0" fontId="2" fillId="0" borderId="30" xfId="0" applyFont="1" applyBorder="1" applyAlignment="1">
      <alignment horizontal="center"/>
    </xf>
    <xf numFmtId="1" fontId="2" fillId="0" borderId="30" xfId="0" applyNumberFormat="1" applyFont="1" applyFill="1" applyBorder="1" applyAlignment="1" applyProtection="1">
      <alignment horizontal="center"/>
    </xf>
    <xf numFmtId="165" fontId="2" fillId="38" borderId="30" xfId="0" applyNumberFormat="1" applyFont="1" applyFill="1" applyBorder="1" applyAlignment="1" applyProtection="1">
      <alignment horizontal="left" vertical="center"/>
    </xf>
    <xf numFmtId="0" fontId="0" fillId="0" borderId="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1" fontId="0" fillId="3" borderId="30" xfId="0" applyNumberFormat="1" applyFill="1" applyBorder="1" applyAlignment="1">
      <alignment horizontal="center"/>
    </xf>
    <xf numFmtId="1" fontId="0" fillId="41" borderId="30" xfId="0" applyNumberFormat="1" applyFill="1" applyBorder="1" applyAlignment="1">
      <alignment horizontal="center"/>
    </xf>
    <xf numFmtId="0" fontId="2" fillId="38" borderId="30" xfId="0" applyFont="1" applyFill="1" applyBorder="1" applyAlignment="1">
      <alignment horizontal="center" vertical="center"/>
    </xf>
    <xf numFmtId="0" fontId="68" fillId="36" borderId="60" xfId="0" applyFont="1" applyFill="1" applyBorder="1" applyAlignment="1">
      <alignment horizontal="center"/>
    </xf>
    <xf numFmtId="0" fontId="68" fillId="36" borderId="61" xfId="0" applyFont="1" applyFill="1" applyBorder="1" applyAlignment="1">
      <alignment horizontal="center"/>
    </xf>
    <xf numFmtId="0" fontId="68" fillId="36" borderId="68" xfId="0" applyFont="1" applyFill="1" applyBorder="1" applyAlignment="1">
      <alignment horizontal="center"/>
    </xf>
    <xf numFmtId="0" fontId="68" fillId="36" borderId="62" xfId="0" applyFont="1" applyFill="1" applyBorder="1" applyAlignment="1">
      <alignment horizontal="center"/>
    </xf>
    <xf numFmtId="0" fontId="0" fillId="36" borderId="64" xfId="0" applyFill="1" applyBorder="1" applyAlignment="1">
      <alignment horizontal="center"/>
    </xf>
    <xf numFmtId="0" fontId="0" fillId="36" borderId="65" xfId="0" applyFill="1" applyBorder="1" applyAlignment="1">
      <alignment horizontal="center"/>
    </xf>
    <xf numFmtId="0" fontId="0" fillId="36" borderId="66" xfId="0" applyFill="1" applyBorder="1" applyAlignment="1">
      <alignment horizontal="center"/>
    </xf>
    <xf numFmtId="0" fontId="0" fillId="36" borderId="67" xfId="0" applyFill="1" applyBorder="1" applyAlignment="1">
      <alignment horizontal="center"/>
    </xf>
    <xf numFmtId="0" fontId="0" fillId="36" borderId="68" xfId="0" applyFill="1" applyBorder="1" applyAlignment="1">
      <alignment horizontal="center"/>
    </xf>
    <xf numFmtId="0" fontId="0" fillId="36" borderId="69" xfId="0" applyFill="1" applyBorder="1" applyAlignment="1">
      <alignment horizontal="center"/>
    </xf>
    <xf numFmtId="0" fontId="68" fillId="36" borderId="64" xfId="0" applyFont="1" applyFill="1" applyBorder="1" applyAlignment="1" applyProtection="1">
      <alignment horizontal="center"/>
    </xf>
    <xf numFmtId="0" fontId="68" fillId="36" borderId="65" xfId="0" applyFont="1" applyFill="1" applyBorder="1" applyAlignment="1" applyProtection="1">
      <alignment horizontal="center"/>
    </xf>
    <xf numFmtId="0" fontId="68" fillId="36" borderId="66" xfId="0" applyFont="1" applyFill="1" applyBorder="1" applyAlignment="1" applyProtection="1">
      <alignment horizontal="center"/>
    </xf>
    <xf numFmtId="0" fontId="68" fillId="36" borderId="67" xfId="0" applyFont="1" applyFill="1" applyBorder="1" applyAlignment="1" applyProtection="1">
      <alignment horizontal="center"/>
    </xf>
    <xf numFmtId="0" fontId="68" fillId="36" borderId="68" xfId="0" applyFont="1" applyFill="1" applyBorder="1" applyAlignment="1" applyProtection="1">
      <alignment horizontal="center"/>
    </xf>
    <xf numFmtId="0" fontId="68" fillId="36" borderId="69" xfId="0" applyFont="1" applyFill="1" applyBorder="1" applyAlignment="1" applyProtection="1">
      <alignment horizontal="center"/>
    </xf>
    <xf numFmtId="14" fontId="68" fillId="2" borderId="54" xfId="0" applyNumberFormat="1" applyFont="1" applyFill="1" applyBorder="1" applyAlignment="1" applyProtection="1">
      <alignment horizontal="center" vertical="center"/>
      <protection locked="0"/>
    </xf>
    <xf numFmtId="0" fontId="68" fillId="2" borderId="54" xfId="0" applyNumberFormat="1" applyFont="1" applyFill="1" applyBorder="1" applyAlignment="1" applyProtection="1">
      <alignment horizontal="center" vertical="center"/>
      <protection locked="0"/>
    </xf>
    <xf numFmtId="14" fontId="71" fillId="40" borderId="54" xfId="0" applyNumberFormat="1" applyFont="1" applyFill="1" applyBorder="1" applyAlignment="1" applyProtection="1">
      <alignment vertical="center"/>
      <protection locked="0"/>
    </xf>
    <xf numFmtId="0" fontId="71" fillId="40" borderId="54" xfId="0" applyFont="1" applyFill="1" applyBorder="1" applyAlignment="1" applyProtection="1">
      <alignment horizontal="left" vertical="center"/>
      <protection locked="0"/>
    </xf>
    <xf numFmtId="0" fontId="68" fillId="39" borderId="54" xfId="0" applyFont="1" applyFill="1" applyBorder="1" applyAlignment="1" applyProtection="1">
      <alignment horizontal="center"/>
      <protection locked="0"/>
    </xf>
    <xf numFmtId="0" fontId="71" fillId="40" borderId="54" xfId="0" applyFont="1" applyFill="1" applyBorder="1" applyAlignment="1" applyProtection="1">
      <alignment horizontal="left" vertical="center" wrapText="1"/>
      <protection locked="0"/>
    </xf>
    <xf numFmtId="0" fontId="68" fillId="2" borderId="102" xfId="0" applyFont="1" applyFill="1" applyBorder="1" applyAlignment="1" applyProtection="1">
      <alignment horizontal="center" vertical="center"/>
    </xf>
    <xf numFmtId="0" fontId="68" fillId="2" borderId="58" xfId="0" applyFont="1" applyFill="1" applyBorder="1" applyAlignment="1" applyProtection="1">
      <alignment horizontal="center" vertical="center"/>
    </xf>
    <xf numFmtId="0" fontId="68" fillId="2" borderId="101" xfId="0" applyFont="1" applyFill="1" applyBorder="1" applyAlignment="1" applyProtection="1">
      <alignment horizontal="center" vertical="center"/>
    </xf>
    <xf numFmtId="0" fontId="68" fillId="2" borderId="54" xfId="0" applyFont="1" applyFill="1" applyBorder="1" applyAlignment="1" applyProtection="1">
      <alignment horizontal="left" vertical="center"/>
      <protection locked="0"/>
    </xf>
    <xf numFmtId="0" fontId="73" fillId="36" borderId="30" xfId="0" applyFont="1" applyFill="1" applyBorder="1" applyAlignment="1" applyProtection="1">
      <alignment horizontal="center" vertical="center" wrapText="1"/>
      <protection locked="0"/>
    </xf>
    <xf numFmtId="0" fontId="71" fillId="40" borderId="54" xfId="0" applyFont="1" applyFill="1" applyBorder="1" applyAlignment="1" applyProtection="1">
      <alignment horizontal="left" vertical="center"/>
    </xf>
    <xf numFmtId="166" fontId="68" fillId="2" borderId="54" xfId="0" applyNumberFormat="1" applyFont="1" applyFill="1" applyBorder="1" applyAlignment="1" applyProtection="1">
      <alignment horizontal="center" vertical="center"/>
      <protection locked="0"/>
    </xf>
    <xf numFmtId="0" fontId="68" fillId="36" borderId="30" xfId="0" applyFont="1" applyFill="1" applyBorder="1" applyAlignment="1" applyProtection="1">
      <alignment horizontal="center"/>
      <protection locked="0"/>
    </xf>
    <xf numFmtId="0" fontId="72" fillId="36" borderId="30" xfId="0" applyFont="1" applyFill="1" applyBorder="1" applyAlignment="1" applyProtection="1">
      <alignment horizontal="center" vertical="center" wrapText="1"/>
      <protection locked="0"/>
    </xf>
    <xf numFmtId="0" fontId="69" fillId="39" borderId="54" xfId="0" applyFont="1" applyFill="1" applyBorder="1" applyAlignment="1" applyProtection="1">
      <alignment horizontal="center" vertical="center"/>
      <protection locked="0"/>
    </xf>
    <xf numFmtId="0" fontId="70" fillId="39" borderId="54" xfId="0" applyFont="1" applyFill="1" applyBorder="1" applyAlignment="1" applyProtection="1">
      <alignment horizontal="center" vertical="center"/>
      <protection locked="0"/>
    </xf>
    <xf numFmtId="0" fontId="71" fillId="40" borderId="54" xfId="0" applyFont="1" applyFill="1" applyBorder="1" applyAlignment="1" applyProtection="1">
      <alignment horizontal="center" vertical="center"/>
    </xf>
    <xf numFmtId="0" fontId="71" fillId="40" borderId="54" xfId="0" applyFont="1" applyFill="1" applyBorder="1" applyAlignment="1" applyProtection="1">
      <alignment horizontal="center" vertical="center" wrapText="1"/>
    </xf>
    <xf numFmtId="0" fontId="71" fillId="35" borderId="54" xfId="0" applyFont="1" applyFill="1" applyBorder="1" applyAlignment="1" applyProtection="1">
      <alignment horizontal="center"/>
    </xf>
    <xf numFmtId="0" fontId="71" fillId="35" borderId="54" xfId="0" applyFont="1" applyFill="1" applyBorder="1" applyAlignment="1" applyProtection="1">
      <alignment horizontal="center" vertical="center"/>
    </xf>
  </cellXfs>
  <cellStyles count="68">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20% - Énfasis1 2" xfId="49"/>
    <cellStyle name="20% - Énfasis2 2" xfId="50"/>
    <cellStyle name="20% - Énfasis3 2" xfId="51"/>
    <cellStyle name="20% - Énfasis4 2" xfId="52"/>
    <cellStyle name="20% - Énfasis5 2" xfId="53"/>
    <cellStyle name="20% - Énfasis6 2" xfId="54"/>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40% - Énfasis1 2" xfId="55"/>
    <cellStyle name="40% - Énfasis2 2" xfId="56"/>
    <cellStyle name="40% - Énfasis3 2" xfId="57"/>
    <cellStyle name="40% - Énfasis4 2" xfId="58"/>
    <cellStyle name="40% - Énfasis5 2" xfId="59"/>
    <cellStyle name="40% - Énfasis6 2" xfId="60"/>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1" builtinId="8"/>
    <cellStyle name="Input" xfId="12" builtinId="20" customBuiltin="1"/>
    <cellStyle name="Linked Cell" xfId="15" builtinId="24" customBuiltin="1"/>
    <cellStyle name="Millares 2" xfId="44"/>
    <cellStyle name="Neutral" xfId="11" builtinId="28" customBuiltin="1"/>
    <cellStyle name="Normal" xfId="0" builtinId="0"/>
    <cellStyle name="Normal 2" xfId="2"/>
    <cellStyle name="Normal 2 2" xfId="64"/>
    <cellStyle name="Normal 2 2 2" xfId="65"/>
    <cellStyle name="Normal 3" xfId="66"/>
    <cellStyle name="Notas 2" xfId="45"/>
    <cellStyle name="Notas 2 2" xfId="61"/>
    <cellStyle name="Notas 3" xfId="46"/>
    <cellStyle name="Notas 3 2" xfId="62"/>
    <cellStyle name="Notas 4" xfId="47"/>
    <cellStyle name="Notas 4 2" xfId="63"/>
    <cellStyle name="Output" xfId="13" builtinId="21" customBuiltin="1"/>
    <cellStyle name="Percent" xfId="67" builtinId="5"/>
    <cellStyle name="Porcentaje 2" xfId="3"/>
    <cellStyle name="Porcentaje 3" xfId="48"/>
    <cellStyle name="Title" xfId="4" builtinId="15" customBuiltin="1"/>
    <cellStyle name="Total" xfId="19" builtinId="25" customBuiltin="1"/>
    <cellStyle name="Warning Text" xfId="17" builtinId="11" customBuiltin="1"/>
  </cellStyles>
  <dxfs count="10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0"/>
    </dxf>
    <dxf>
      <alignment horizontal="left"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3300"/>
        </patternFill>
      </fill>
    </dxf>
    <dxf>
      <fill>
        <patternFill>
          <bgColor rgb="FF92D050"/>
        </patternFill>
      </fill>
    </dxf>
    <dxf>
      <fill>
        <patternFill>
          <bgColor rgb="FFFFFF00"/>
        </patternFill>
      </fill>
    </dxf>
    <dxf>
      <fill>
        <patternFill>
          <bgColor rgb="FFFF3300"/>
        </patternFill>
      </fill>
    </dxf>
    <dxf>
      <fill>
        <patternFill>
          <bgColor rgb="FF92D050"/>
        </patternFill>
      </fill>
    </dxf>
    <dxf>
      <fill>
        <patternFill>
          <bgColor rgb="FFFFFF00"/>
        </patternFill>
      </fill>
    </dxf>
    <dxf>
      <fill>
        <patternFill>
          <bgColor rgb="FFFFFF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3300"/>
        </patternFill>
      </fill>
    </dxf>
    <dxf>
      <fill>
        <patternFill>
          <bgColor rgb="FF92D050"/>
        </patternFill>
      </fill>
    </dxf>
    <dxf>
      <fill>
        <patternFill>
          <bgColor rgb="FFFFFF00"/>
        </patternFill>
      </fill>
    </dxf>
    <dxf>
      <fill>
        <patternFill>
          <bgColor rgb="FFFF3300"/>
        </patternFill>
      </fill>
    </dxf>
    <dxf>
      <fill>
        <patternFill>
          <bgColor rgb="FF92D050"/>
        </patternFill>
      </fill>
    </dxf>
    <dxf>
      <fill>
        <patternFill>
          <bgColor rgb="FFFFFF00"/>
        </patternFill>
      </fill>
    </dxf>
    <dxf>
      <font>
        <strike/>
        <color rgb="FFFF0000"/>
      </font>
    </dxf>
    <dxf>
      <font>
        <color theme="0"/>
      </font>
      <fill>
        <patternFill>
          <bgColor rgb="FF00B050"/>
        </patternFill>
      </fill>
    </dxf>
    <dxf>
      <font>
        <color rgb="FFFFC000"/>
      </font>
    </dxf>
    <dxf>
      <font>
        <color rgb="FF9C0006"/>
      </font>
      <fill>
        <patternFill>
          <bgColor rgb="FFFFC7CE"/>
        </patternFill>
      </fill>
    </dxf>
    <dxf>
      <font>
        <b/>
        <i val="0"/>
        <color theme="0"/>
      </font>
      <fill>
        <patternFill>
          <bgColor rgb="FF00B050"/>
        </patternFill>
      </fill>
    </dxf>
    <dxf>
      <font>
        <color rgb="FFFFC000"/>
      </font>
    </dxf>
    <dxf>
      <font>
        <strike/>
        <color rgb="FFFF0000"/>
      </font>
    </dxf>
    <dxf>
      <font>
        <color theme="0"/>
      </font>
      <fill>
        <patternFill>
          <bgColor rgb="FF00B050"/>
        </patternFill>
      </fill>
    </dxf>
    <dxf>
      <font>
        <color rgb="FF9C0006"/>
      </font>
      <fill>
        <patternFill>
          <bgColor rgb="FFFFC7CE"/>
        </patternFill>
      </fill>
    </dxf>
    <dxf>
      <font>
        <b/>
        <i val="0"/>
        <color theme="0"/>
      </font>
      <fill>
        <patternFill>
          <bgColor rgb="FF00B050"/>
        </patternFill>
      </fill>
    </dxf>
    <dxf>
      <font>
        <color theme="0"/>
      </font>
      <fill>
        <patternFill>
          <bgColor rgb="FF00B050"/>
        </patternFill>
      </fill>
    </dxf>
    <dxf>
      <font>
        <strike/>
        <color rgb="FFFF0000"/>
      </font>
    </dxf>
    <dxf>
      <font>
        <color theme="0"/>
      </font>
      <fill>
        <patternFill>
          <bgColor rgb="FF00B050"/>
        </patternFill>
      </fill>
    </dxf>
    <dxf>
      <font>
        <color rgb="FFFFC000"/>
      </font>
    </dxf>
    <dxf>
      <font>
        <strike/>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F3BF"/>
      <color rgb="FF777777"/>
      <color rgb="FF808080"/>
      <color rgb="FFECF2F8"/>
      <color rgb="FFE9F4FB"/>
      <color rgb="FFE6E6E6"/>
      <color rgb="FF29BD15"/>
      <color rgb="FF5BEB47"/>
      <color rgb="FFFF3300"/>
      <color rgb="FF5BD6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7535776802953178E-2"/>
          <c:y val="5.7985521097383037E-2"/>
          <c:w val="0.92738037545330931"/>
          <c:h val="0.6323042214505552"/>
        </c:manualLayout>
      </c:layout>
      <c:bar3DChart>
        <c:barDir val="col"/>
        <c:grouping val="clustered"/>
        <c:varyColors val="0"/>
        <c:ser>
          <c:idx val="0"/>
          <c:order val="0"/>
          <c:tx>
            <c:strRef>
              <c:f>'Avance Agil'!$H$16</c:f>
              <c:strCache>
                <c:ptCount val="1"/>
                <c:pt idx="0">
                  <c:v>Ambiente</c:v>
                </c:pt>
              </c:strCache>
            </c:strRef>
          </c:tx>
          <c:invertIfNegative val="0"/>
          <c:dLbls>
            <c:dLbl>
              <c:idx val="0"/>
              <c:layout>
                <c:manualLayout>
                  <c:x val="1.6267948916932479E-2"/>
                  <c:y val="-1.44836302561642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731-4B25-9009-91C4F9D11D6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Agil'!$H$21</c:f>
              <c:numCache>
                <c:formatCode>0</c:formatCode>
                <c:ptCount val="1"/>
                <c:pt idx="0">
                  <c:v>0</c:v>
                </c:pt>
              </c:numCache>
            </c:numRef>
          </c:val>
          <c:extLst>
            <c:ext xmlns:c16="http://schemas.microsoft.com/office/drawing/2014/chart" uri="{C3380CC4-5D6E-409C-BE32-E72D297353CC}">
              <c16:uniqueId val="{00000001-5731-4B25-9009-91C4F9D11D63}"/>
            </c:ext>
          </c:extLst>
        </c:ser>
        <c:ser>
          <c:idx val="1"/>
          <c:order val="1"/>
          <c:tx>
            <c:strRef>
              <c:f>'Avance Agil'!$I$16</c:f>
              <c:strCache>
                <c:ptCount val="1"/>
                <c:pt idx="0">
                  <c:v>Datos</c:v>
                </c:pt>
              </c:strCache>
            </c:strRef>
          </c:tx>
          <c:invertIfNegative val="0"/>
          <c:dLbls>
            <c:dLbl>
              <c:idx val="0"/>
              <c:layout>
                <c:manualLayout>
                  <c:x val="1.0845299277954986E-2"/>
                  <c:y val="-1.0863079073647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731-4B25-9009-91C4F9D11D6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Agil'!$I$21</c:f>
              <c:numCache>
                <c:formatCode>0</c:formatCode>
                <c:ptCount val="1"/>
                <c:pt idx="0">
                  <c:v>0</c:v>
                </c:pt>
              </c:numCache>
            </c:numRef>
          </c:val>
          <c:extLst>
            <c:ext xmlns:c16="http://schemas.microsoft.com/office/drawing/2014/chart" uri="{C3380CC4-5D6E-409C-BE32-E72D297353CC}">
              <c16:uniqueId val="{00000003-5731-4B25-9009-91C4F9D11D63}"/>
            </c:ext>
          </c:extLst>
        </c:ser>
        <c:ser>
          <c:idx val="2"/>
          <c:order val="2"/>
          <c:tx>
            <c:strRef>
              <c:f>'Avance Agil'!$J$16</c:f>
              <c:strCache>
                <c:ptCount val="1"/>
                <c:pt idx="0">
                  <c:v>Funcionalidad</c:v>
                </c:pt>
              </c:strCache>
            </c:strRef>
          </c:tx>
          <c:invertIfNegative val="0"/>
          <c:dLbls>
            <c:dLbl>
              <c:idx val="0"/>
              <c:layout>
                <c:manualLayout>
                  <c:x val="8.1339744584661908E-3"/>
                  <c:y val="-1.08625088632085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731-4B25-9009-91C4F9D11D6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Agil'!$J$21</c:f>
              <c:numCache>
                <c:formatCode>0</c:formatCode>
                <c:ptCount val="1"/>
                <c:pt idx="0">
                  <c:v>0</c:v>
                </c:pt>
              </c:numCache>
            </c:numRef>
          </c:val>
          <c:extLst>
            <c:ext xmlns:c16="http://schemas.microsoft.com/office/drawing/2014/chart" uri="{C3380CC4-5D6E-409C-BE32-E72D297353CC}">
              <c16:uniqueId val="{00000005-5731-4B25-9009-91C4F9D11D63}"/>
            </c:ext>
          </c:extLst>
        </c:ser>
        <c:ser>
          <c:idx val="3"/>
          <c:order val="3"/>
          <c:tx>
            <c:strRef>
              <c:f>'Avance Agil'!$K$16</c:f>
              <c:strCache>
                <c:ptCount val="1"/>
                <c:pt idx="0">
                  <c:v>Documentación</c:v>
                </c:pt>
              </c:strCache>
            </c:strRef>
          </c:tx>
          <c:invertIfNegative val="0"/>
          <c:dLbls>
            <c:dLbl>
              <c:idx val="0"/>
              <c:layout>
                <c:manualLayout>
                  <c:x val="1.0845299277954986E-2"/>
                  <c:y val="-2.17250177264170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731-4B25-9009-91C4F9D11D6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Agil'!$K$21</c:f>
              <c:numCache>
                <c:formatCode>0</c:formatCode>
                <c:ptCount val="1"/>
                <c:pt idx="0">
                  <c:v>0</c:v>
                </c:pt>
              </c:numCache>
            </c:numRef>
          </c:val>
          <c:extLst>
            <c:ext xmlns:c16="http://schemas.microsoft.com/office/drawing/2014/chart" uri="{C3380CC4-5D6E-409C-BE32-E72D297353CC}">
              <c16:uniqueId val="{00000007-5731-4B25-9009-91C4F9D11D63}"/>
            </c:ext>
          </c:extLst>
        </c:ser>
        <c:ser>
          <c:idx val="4"/>
          <c:order val="4"/>
          <c:tx>
            <c:strRef>
              <c:f>'Avance Agil'!$L$16</c:f>
              <c:strCache>
                <c:ptCount val="1"/>
                <c:pt idx="0">
                  <c:v>Presentación</c:v>
                </c:pt>
              </c:strCache>
            </c:strRef>
          </c:tx>
          <c:invertIfNegative val="0"/>
          <c:dLbls>
            <c:dLbl>
              <c:idx val="0"/>
              <c:layout>
                <c:manualLayout>
                  <c:x val="1.3556624097443733E-2"/>
                  <c:y val="-1.08625088632085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731-4B25-9009-91C4F9D11D6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Agil'!$L$21</c:f>
              <c:numCache>
                <c:formatCode>0</c:formatCode>
                <c:ptCount val="1"/>
                <c:pt idx="0">
                  <c:v>0</c:v>
                </c:pt>
              </c:numCache>
            </c:numRef>
          </c:val>
          <c:extLst>
            <c:ext xmlns:c16="http://schemas.microsoft.com/office/drawing/2014/chart" uri="{C3380CC4-5D6E-409C-BE32-E72D297353CC}">
              <c16:uniqueId val="{00000009-5731-4B25-9009-91C4F9D11D63}"/>
            </c:ext>
          </c:extLst>
        </c:ser>
        <c:ser>
          <c:idx val="5"/>
          <c:order val="5"/>
          <c:tx>
            <c:strRef>
              <c:f>'Avance Agil'!$M$16</c:f>
              <c:strCache>
                <c:ptCount val="1"/>
                <c:pt idx="0">
                  <c:v>Rendimiento</c:v>
                </c:pt>
              </c:strCache>
            </c:strRef>
          </c:tx>
          <c:invertIfNegative val="0"/>
          <c:dLbls>
            <c:dLbl>
              <c:idx val="0"/>
              <c:layout>
                <c:manualLayout>
                  <c:x val="8.1339744584661405E-3"/>
                  <c:y val="-1.44833451509448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731-4B25-9009-91C4F9D11D6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Agil'!$M$21</c:f>
              <c:numCache>
                <c:formatCode>0</c:formatCode>
                <c:ptCount val="1"/>
                <c:pt idx="0">
                  <c:v>0</c:v>
                </c:pt>
              </c:numCache>
            </c:numRef>
          </c:val>
          <c:extLst>
            <c:ext xmlns:c16="http://schemas.microsoft.com/office/drawing/2014/chart" uri="{C3380CC4-5D6E-409C-BE32-E72D297353CC}">
              <c16:uniqueId val="{0000000B-5731-4B25-9009-91C4F9D11D63}"/>
            </c:ext>
          </c:extLst>
        </c:ser>
        <c:ser>
          <c:idx val="6"/>
          <c:order val="6"/>
          <c:tx>
            <c:strRef>
              <c:f>'Avance Agil'!$N$16</c:f>
              <c:strCache>
                <c:ptCount val="1"/>
                <c:pt idx="0">
                  <c:v>Seguridad</c:v>
                </c:pt>
              </c:strCache>
            </c:strRef>
          </c:tx>
          <c:invertIfNegative val="0"/>
          <c:dLbls>
            <c:dLbl>
              <c:idx val="0"/>
              <c:layout>
                <c:manualLayout>
                  <c:x val="8.1339744584661405E-3"/>
                  <c:y val="-1.08625088632085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731-4B25-9009-91C4F9D11D6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Agil'!$N$21</c:f>
              <c:numCache>
                <c:formatCode>0</c:formatCode>
                <c:ptCount val="1"/>
                <c:pt idx="0">
                  <c:v>0</c:v>
                </c:pt>
              </c:numCache>
            </c:numRef>
          </c:val>
          <c:extLst>
            <c:ext xmlns:c16="http://schemas.microsoft.com/office/drawing/2014/chart" uri="{C3380CC4-5D6E-409C-BE32-E72D297353CC}">
              <c16:uniqueId val="{0000000D-5731-4B25-9009-91C4F9D11D63}"/>
            </c:ext>
          </c:extLst>
        </c:ser>
        <c:dLbls>
          <c:showLegendKey val="0"/>
          <c:showVal val="0"/>
          <c:showCatName val="0"/>
          <c:showSerName val="0"/>
          <c:showPercent val="0"/>
          <c:showBubbleSize val="0"/>
        </c:dLbls>
        <c:gapWidth val="150"/>
        <c:shape val="box"/>
        <c:axId val="195239488"/>
        <c:axId val="195240272"/>
        <c:axId val="0"/>
      </c:bar3DChart>
      <c:catAx>
        <c:axId val="195239488"/>
        <c:scaling>
          <c:orientation val="minMax"/>
        </c:scaling>
        <c:delete val="0"/>
        <c:axPos val="b"/>
        <c:numFmt formatCode="General" sourceLinked="0"/>
        <c:majorTickMark val="out"/>
        <c:minorTickMark val="none"/>
        <c:tickLblPos val="nextTo"/>
        <c:crossAx val="195240272"/>
        <c:crosses val="autoZero"/>
        <c:auto val="1"/>
        <c:lblAlgn val="ctr"/>
        <c:lblOffset val="100"/>
        <c:noMultiLvlLbl val="0"/>
      </c:catAx>
      <c:valAx>
        <c:axId val="195240272"/>
        <c:scaling>
          <c:orientation val="minMax"/>
        </c:scaling>
        <c:delete val="0"/>
        <c:axPos val="l"/>
        <c:majorGridlines/>
        <c:minorGridlines/>
        <c:numFmt formatCode="0" sourceLinked="1"/>
        <c:majorTickMark val="out"/>
        <c:minorTickMark val="none"/>
        <c:tickLblPos val="nextTo"/>
        <c:crossAx val="195239488"/>
        <c:crosses val="autoZero"/>
        <c:crossBetween val="between"/>
      </c:valAx>
    </c:plotArea>
    <c:legend>
      <c:legendPos val="b"/>
      <c:layout>
        <c:manualLayout>
          <c:xMode val="edge"/>
          <c:yMode val="edge"/>
          <c:x val="5.3363955857455514E-2"/>
          <c:y val="0.74278686798734694"/>
          <c:w val="0.81675692674107081"/>
          <c:h val="0.12551928351917918"/>
        </c:manualLayout>
      </c:layout>
      <c:overlay val="0"/>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7535776802953178E-2"/>
          <c:y val="5.7985521097383037E-2"/>
          <c:w val="0.92738037545330931"/>
          <c:h val="0.6323042214505552"/>
        </c:manualLayout>
      </c:layout>
      <c:bar3DChart>
        <c:barDir val="col"/>
        <c:grouping val="clustered"/>
        <c:varyColors val="0"/>
        <c:ser>
          <c:idx val="2"/>
          <c:order val="0"/>
          <c:tx>
            <c:strRef>
              <c:f>'Avance Agil'!$C$17:$G$17</c:f>
              <c:strCache>
                <c:ptCount val="5"/>
                <c:pt idx="0">
                  <c:v>Stopper</c:v>
                </c:pt>
              </c:strCache>
            </c:strRef>
          </c:tx>
          <c:invertIfNegative val="0"/>
          <c:dLbls>
            <c:dLbl>
              <c:idx val="0"/>
              <c:layout>
                <c:manualLayout>
                  <c:x val="2.0523148153967063E-2"/>
                  <c:y val="-3.6559146860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79-44C1-A892-59E4815604EC}"/>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Agil'!$P$17</c:f>
              <c:numCache>
                <c:formatCode>0</c:formatCode>
                <c:ptCount val="1"/>
                <c:pt idx="0">
                  <c:v>0</c:v>
                </c:pt>
              </c:numCache>
            </c:numRef>
          </c:val>
          <c:extLst>
            <c:ext xmlns:c16="http://schemas.microsoft.com/office/drawing/2014/chart" uri="{C3380CC4-5D6E-409C-BE32-E72D297353CC}">
              <c16:uniqueId val="{00000001-FF79-44C1-A892-59E4815604EC}"/>
            </c:ext>
          </c:extLst>
        </c:ser>
        <c:ser>
          <c:idx val="0"/>
          <c:order val="1"/>
          <c:tx>
            <c:strRef>
              <c:f>'Avance Agil'!$C$18:$G$18</c:f>
              <c:strCache>
                <c:ptCount val="5"/>
                <c:pt idx="0">
                  <c:v>Alta</c:v>
                </c:pt>
              </c:strCache>
            </c:strRef>
          </c:tx>
          <c:invertIfNegative val="0"/>
          <c:dLbls>
            <c:dLbl>
              <c:idx val="0"/>
              <c:layout>
                <c:manualLayout>
                  <c:x val="5.8721928779547402E-3"/>
                  <c:y val="-2.5346114161293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79-44C1-A892-59E4815604EC}"/>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Agil'!$P$18</c:f>
              <c:numCache>
                <c:formatCode>0</c:formatCode>
                <c:ptCount val="1"/>
                <c:pt idx="0">
                  <c:v>0</c:v>
                </c:pt>
              </c:numCache>
            </c:numRef>
          </c:val>
          <c:extLst>
            <c:ext xmlns:c16="http://schemas.microsoft.com/office/drawing/2014/chart" uri="{C3380CC4-5D6E-409C-BE32-E72D297353CC}">
              <c16:uniqueId val="{00000003-FF79-44C1-A892-59E4815604EC}"/>
            </c:ext>
          </c:extLst>
        </c:ser>
        <c:ser>
          <c:idx val="1"/>
          <c:order val="2"/>
          <c:tx>
            <c:strRef>
              <c:f>'Avance Agil'!$C$19:$G$19</c:f>
              <c:strCache>
                <c:ptCount val="5"/>
                <c:pt idx="0">
                  <c:v>Media</c:v>
                </c:pt>
              </c:strCache>
            </c:strRef>
          </c:tx>
          <c:invertIfNegative val="0"/>
          <c:dLbls>
            <c:dLbl>
              <c:idx val="0"/>
              <c:layout>
                <c:manualLayout>
                  <c:x val="2.936096438977397E-3"/>
                  <c:y val="-2.5346114161293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79-44C1-A892-59E4815604EC}"/>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'Avance Agil'!$P$19</c:f>
              <c:numCache>
                <c:formatCode>0</c:formatCode>
                <c:ptCount val="1"/>
                <c:pt idx="0">
                  <c:v>0</c:v>
                </c:pt>
              </c:numCache>
            </c:numRef>
          </c:val>
          <c:extLst>
            <c:ext xmlns:c16="http://schemas.microsoft.com/office/drawing/2014/chart" uri="{C3380CC4-5D6E-409C-BE32-E72D297353CC}">
              <c16:uniqueId val="{00000005-FF79-44C1-A892-59E4815604EC}"/>
            </c:ext>
          </c:extLst>
        </c:ser>
        <c:ser>
          <c:idx val="3"/>
          <c:order val="3"/>
          <c:tx>
            <c:strRef>
              <c:f>'Avance Agil'!$C$20:$G$20</c:f>
              <c:strCache>
                <c:ptCount val="5"/>
                <c:pt idx="0">
                  <c:v>Baja</c:v>
                </c:pt>
              </c:strCache>
            </c:strRef>
          </c:tx>
          <c:invertIfNegative val="0"/>
          <c:dLbls>
            <c:dLbl>
              <c:idx val="0"/>
              <c:layout>
                <c:manualLayout>
                  <c:x val="0"/>
                  <c:y val="-2.5346114161293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F79-44C1-A892-59E4815604EC}"/>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'Avance Agil'!$P$20</c:f>
              <c:numCache>
                <c:formatCode>0</c:formatCode>
                <c:ptCount val="1"/>
                <c:pt idx="0">
                  <c:v>0</c:v>
                </c:pt>
              </c:numCache>
            </c:numRef>
          </c:val>
          <c:extLst>
            <c:ext xmlns:c16="http://schemas.microsoft.com/office/drawing/2014/chart" uri="{C3380CC4-5D6E-409C-BE32-E72D297353CC}">
              <c16:uniqueId val="{00000007-FF79-44C1-A892-59E4815604EC}"/>
            </c:ext>
          </c:extLst>
        </c:ser>
        <c:dLbls>
          <c:showLegendKey val="0"/>
          <c:showVal val="0"/>
          <c:showCatName val="0"/>
          <c:showSerName val="0"/>
          <c:showPercent val="0"/>
          <c:showBubbleSize val="0"/>
        </c:dLbls>
        <c:gapWidth val="150"/>
        <c:shape val="box"/>
        <c:axId val="195240664"/>
        <c:axId val="195241056"/>
        <c:axId val="0"/>
      </c:bar3DChart>
      <c:catAx>
        <c:axId val="195240664"/>
        <c:scaling>
          <c:orientation val="minMax"/>
        </c:scaling>
        <c:delete val="0"/>
        <c:axPos val="b"/>
        <c:numFmt formatCode="General" sourceLinked="0"/>
        <c:majorTickMark val="out"/>
        <c:minorTickMark val="none"/>
        <c:tickLblPos val="nextTo"/>
        <c:crossAx val="195241056"/>
        <c:crosses val="autoZero"/>
        <c:auto val="1"/>
        <c:lblAlgn val="ctr"/>
        <c:lblOffset val="100"/>
        <c:noMultiLvlLbl val="0"/>
      </c:catAx>
      <c:valAx>
        <c:axId val="195241056"/>
        <c:scaling>
          <c:orientation val="minMax"/>
        </c:scaling>
        <c:delete val="0"/>
        <c:axPos val="l"/>
        <c:majorGridlines/>
        <c:minorGridlines/>
        <c:numFmt formatCode="0" sourceLinked="1"/>
        <c:majorTickMark val="out"/>
        <c:minorTickMark val="none"/>
        <c:tickLblPos val="nextTo"/>
        <c:crossAx val="195240664"/>
        <c:crosses val="autoZero"/>
        <c:crossBetween val="between"/>
      </c:valAx>
    </c:plotArea>
    <c:legend>
      <c:legendPos val="b"/>
      <c:layout>
        <c:manualLayout>
          <c:xMode val="edge"/>
          <c:yMode val="edge"/>
          <c:x val="5.3363955857455514E-2"/>
          <c:y val="0.74278686798734694"/>
          <c:w val="0.47786171725576243"/>
          <c:h val="6.5475941006562899E-2"/>
        </c:manualLayout>
      </c:layout>
      <c:overlay val="0"/>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7535776802953178E-2"/>
          <c:y val="5.7985521097383037E-2"/>
          <c:w val="0.92738037545330931"/>
          <c:h val="0.6323042214505552"/>
        </c:manualLayout>
      </c:layout>
      <c:bar3DChart>
        <c:barDir val="col"/>
        <c:grouping val="clustered"/>
        <c:varyColors val="0"/>
        <c:ser>
          <c:idx val="2"/>
          <c:order val="0"/>
          <c:tx>
            <c:strRef>
              <c:f>'Avance Agil'!$T$13</c:f>
              <c:strCache>
                <c:ptCount val="1"/>
                <c:pt idx="0">
                  <c:v>Proveedor 1x</c:v>
                </c:pt>
              </c:strCache>
            </c:strRef>
          </c:tx>
          <c:spPr>
            <a:gradFill>
              <a:gsLst>
                <a:gs pos="100000">
                  <a:schemeClr val="bg2">
                    <a:lumMod val="50000"/>
                  </a:schemeClr>
                </a:gs>
                <a:gs pos="100000">
                  <a:schemeClr val="accent1">
                    <a:tint val="44500"/>
                    <a:satMod val="160000"/>
                  </a:schemeClr>
                </a:gs>
                <a:gs pos="100000">
                  <a:schemeClr val="accent1">
                    <a:tint val="23500"/>
                    <a:satMod val="160000"/>
                  </a:schemeClr>
                </a:gs>
              </a:gsLst>
              <a:lin ang="5400000" scaled="0"/>
            </a:gradFill>
          </c:spPr>
          <c:invertIfNegative val="0"/>
          <c:dLbls>
            <c:dLbl>
              <c:idx val="0"/>
              <c:layout>
                <c:manualLayout>
                  <c:x val="2.0523148153967063E-2"/>
                  <c:y val="-3.6559146860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209-477F-8439-1E43AA6A888E}"/>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Agil'!$I$32</c:f>
              <c:numCache>
                <c:formatCode>0</c:formatCode>
                <c:ptCount val="1"/>
                <c:pt idx="0">
                  <c:v>0</c:v>
                </c:pt>
              </c:numCache>
            </c:numRef>
          </c:val>
          <c:extLst>
            <c:ext xmlns:c16="http://schemas.microsoft.com/office/drawing/2014/chart" uri="{C3380CC4-5D6E-409C-BE32-E72D297353CC}">
              <c16:uniqueId val="{00000001-1209-477F-8439-1E43AA6A888E}"/>
            </c:ext>
          </c:extLst>
        </c:ser>
        <c:ser>
          <c:idx val="0"/>
          <c:order val="1"/>
          <c:tx>
            <c:strRef>
              <c:f>'Avance Agil'!$T$14</c:f>
              <c:strCache>
                <c:ptCount val="1"/>
                <c:pt idx="0">
                  <c:v>Proveedor 2x</c:v>
                </c:pt>
              </c:strCache>
            </c:strRef>
          </c:tx>
          <c:invertIfNegative val="0"/>
          <c:dLbls>
            <c:dLbl>
              <c:idx val="0"/>
              <c:layout>
                <c:manualLayout>
                  <c:x val="5.8721928779547402E-3"/>
                  <c:y val="-2.5346114161293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209-477F-8439-1E43AA6A888E}"/>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Agil'!$P$32</c:f>
              <c:numCache>
                <c:formatCode>0</c:formatCode>
                <c:ptCount val="1"/>
                <c:pt idx="0">
                  <c:v>0</c:v>
                </c:pt>
              </c:numCache>
            </c:numRef>
          </c:val>
          <c:extLst>
            <c:ext xmlns:c16="http://schemas.microsoft.com/office/drawing/2014/chart" uri="{C3380CC4-5D6E-409C-BE32-E72D297353CC}">
              <c16:uniqueId val="{00000003-1209-477F-8439-1E43AA6A888E}"/>
            </c:ext>
          </c:extLst>
        </c:ser>
        <c:ser>
          <c:idx val="1"/>
          <c:order val="2"/>
          <c:tx>
            <c:strRef>
              <c:f>'Avance Agil'!$T$15</c:f>
              <c:strCache>
                <c:ptCount val="1"/>
                <c:pt idx="0">
                  <c:v>Proveedor 3x</c:v>
                </c:pt>
              </c:strCache>
            </c:strRef>
          </c:tx>
          <c:invertIfNegative val="0"/>
          <c:dPt>
            <c:idx val="0"/>
            <c:invertIfNegative val="0"/>
            <c:bubble3D val="0"/>
            <c:spPr>
              <a:gradFill>
                <a:gsLst>
                  <a:gs pos="100000">
                    <a:schemeClr val="accent2"/>
                  </a:gs>
                  <a:gs pos="100000">
                    <a:schemeClr val="accent1">
                      <a:tint val="44500"/>
                      <a:satMod val="160000"/>
                    </a:schemeClr>
                  </a:gs>
                  <a:gs pos="100000">
                    <a:schemeClr val="accent1">
                      <a:tint val="23500"/>
                      <a:satMod val="160000"/>
                    </a:schemeClr>
                  </a:gs>
                </a:gsLst>
                <a:lin ang="5400000" scaled="0"/>
              </a:gradFill>
            </c:spPr>
            <c:extLst>
              <c:ext xmlns:c16="http://schemas.microsoft.com/office/drawing/2014/chart" uri="{C3380CC4-5D6E-409C-BE32-E72D297353CC}">
                <c16:uniqueId val="{00000005-1209-477F-8439-1E43AA6A888E}"/>
              </c:ext>
            </c:extLst>
          </c:dPt>
          <c:dLbls>
            <c:dLbl>
              <c:idx val="0"/>
              <c:layout>
                <c:manualLayout>
                  <c:x val="2.936096438977397E-3"/>
                  <c:y val="-2.5346114161293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209-477F-8439-1E43AA6A888E}"/>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Agil'!$I$41</c:f>
              <c:numCache>
                <c:formatCode>0</c:formatCode>
                <c:ptCount val="1"/>
                <c:pt idx="0">
                  <c:v>0</c:v>
                </c:pt>
              </c:numCache>
            </c:numRef>
          </c:val>
          <c:extLst>
            <c:ext xmlns:c16="http://schemas.microsoft.com/office/drawing/2014/chart" uri="{C3380CC4-5D6E-409C-BE32-E72D297353CC}">
              <c16:uniqueId val="{00000006-1209-477F-8439-1E43AA6A888E}"/>
            </c:ext>
          </c:extLst>
        </c:ser>
        <c:ser>
          <c:idx val="3"/>
          <c:order val="3"/>
          <c:tx>
            <c:strRef>
              <c:f>'Avance Agil'!$T$16</c:f>
              <c:strCache>
                <c:ptCount val="1"/>
                <c:pt idx="0">
                  <c:v>0</c:v>
                </c:pt>
              </c:strCache>
            </c:strRef>
          </c:tx>
          <c:spPr>
            <a:gradFill>
              <a:gsLst>
                <a:gs pos="100000">
                  <a:srgbClr val="FFC000"/>
                </a:gs>
                <a:gs pos="100000">
                  <a:schemeClr val="accent1">
                    <a:tint val="44500"/>
                    <a:satMod val="160000"/>
                  </a:schemeClr>
                </a:gs>
                <a:gs pos="100000">
                  <a:schemeClr val="accent1">
                    <a:tint val="23500"/>
                    <a:satMod val="160000"/>
                  </a:schemeClr>
                </a:gs>
              </a:gsLst>
              <a:lin ang="5400000" scaled="0"/>
            </a:gradFill>
          </c:spPr>
          <c:invertIfNegative val="0"/>
          <c:dLbls>
            <c:dLbl>
              <c:idx val="0"/>
              <c:layout>
                <c:manualLayout>
                  <c:x val="0"/>
                  <c:y val="-2.5346114161293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209-477F-8439-1E43AA6A888E}"/>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 Agil'!$P$41</c:f>
              <c:numCache>
                <c:formatCode>0</c:formatCode>
                <c:ptCount val="1"/>
                <c:pt idx="0">
                  <c:v>0</c:v>
                </c:pt>
              </c:numCache>
            </c:numRef>
          </c:val>
          <c:extLst>
            <c:ext xmlns:c16="http://schemas.microsoft.com/office/drawing/2014/chart" uri="{C3380CC4-5D6E-409C-BE32-E72D297353CC}">
              <c16:uniqueId val="{00000008-1209-477F-8439-1E43AA6A888E}"/>
            </c:ext>
          </c:extLst>
        </c:ser>
        <c:dLbls>
          <c:showLegendKey val="0"/>
          <c:showVal val="0"/>
          <c:showCatName val="0"/>
          <c:showSerName val="0"/>
          <c:showPercent val="0"/>
          <c:showBubbleSize val="0"/>
        </c:dLbls>
        <c:gapWidth val="150"/>
        <c:shape val="box"/>
        <c:axId val="195241840"/>
        <c:axId val="195239096"/>
        <c:axId val="0"/>
      </c:bar3DChart>
      <c:catAx>
        <c:axId val="195241840"/>
        <c:scaling>
          <c:orientation val="minMax"/>
        </c:scaling>
        <c:delete val="0"/>
        <c:axPos val="b"/>
        <c:numFmt formatCode="General" sourceLinked="0"/>
        <c:majorTickMark val="out"/>
        <c:minorTickMark val="none"/>
        <c:tickLblPos val="nextTo"/>
        <c:crossAx val="195239096"/>
        <c:crosses val="autoZero"/>
        <c:auto val="1"/>
        <c:lblAlgn val="ctr"/>
        <c:lblOffset val="100"/>
        <c:noMultiLvlLbl val="0"/>
      </c:catAx>
      <c:valAx>
        <c:axId val="195239096"/>
        <c:scaling>
          <c:orientation val="minMax"/>
        </c:scaling>
        <c:delete val="0"/>
        <c:axPos val="l"/>
        <c:majorGridlines/>
        <c:minorGridlines/>
        <c:numFmt formatCode="0" sourceLinked="1"/>
        <c:majorTickMark val="out"/>
        <c:minorTickMark val="none"/>
        <c:tickLblPos val="nextTo"/>
        <c:crossAx val="195241840"/>
        <c:crosses val="autoZero"/>
        <c:crossBetween val="between"/>
      </c:valAx>
    </c:plotArea>
    <c:legend>
      <c:legendPos val="b"/>
      <c:layout>
        <c:manualLayout>
          <c:xMode val="edge"/>
          <c:yMode val="edge"/>
          <c:x val="0.15612727492566705"/>
          <c:y val="0.74640770864000283"/>
          <c:w val="0.64521921427747397"/>
          <c:h val="0.22841524632916135"/>
        </c:manualLayout>
      </c:layout>
      <c:overlay val="0"/>
      <c:txPr>
        <a:bodyPr/>
        <a:lstStyle/>
        <a:p>
          <a:pPr>
            <a:defRPr sz="1050"/>
          </a:pPr>
          <a:endParaRPr lang="es-CO"/>
        </a:p>
      </c:txPr>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Avance!$U$18</c:f>
              <c:strCache>
                <c:ptCount val="1"/>
                <c:pt idx="0">
                  <c:v>Proveedor 1x</c:v>
                </c:pt>
              </c:strCache>
            </c:strRef>
          </c:tx>
          <c:invertIfNegative val="0"/>
          <c:dLbls>
            <c:dLbl>
              <c:idx val="0"/>
              <c:layout>
                <c:manualLayout>
                  <c:x val="2.4703699611053891E-2"/>
                  <c:y val="-4.14236159583811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1E4-4989-B147-180F6855479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 de desarrollo</c:v>
              </c:pt>
            </c:strLit>
          </c:cat>
          <c:val>
            <c:numRef>
              <c:f>Avance!$Z$18</c:f>
              <c:numCache>
                <c:formatCode>0%</c:formatCode>
                <c:ptCount val="1"/>
                <c:pt idx="0">
                  <c:v>0</c:v>
                </c:pt>
              </c:numCache>
            </c:numRef>
          </c:val>
          <c:extLst>
            <c:ext xmlns:c16="http://schemas.microsoft.com/office/drawing/2014/chart" uri="{C3380CC4-5D6E-409C-BE32-E72D297353CC}">
              <c16:uniqueId val="{00000001-41E4-4989-B147-180F68554799}"/>
            </c:ext>
          </c:extLst>
        </c:ser>
        <c:ser>
          <c:idx val="1"/>
          <c:order val="1"/>
          <c:tx>
            <c:strRef>
              <c:f>Avance!$U$19</c:f>
              <c:strCache>
                <c:ptCount val="1"/>
                <c:pt idx="0">
                  <c:v>Proveedor 2x</c:v>
                </c:pt>
              </c:strCache>
            </c:strRef>
          </c:tx>
          <c:invertIfNegative val="0"/>
          <c:dLbls>
            <c:dLbl>
              <c:idx val="0"/>
              <c:layout>
                <c:manualLayout>
                  <c:x val="3.6345963620734424E-2"/>
                  <c:y val="-3.17757118468360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1E4-4989-B147-180F6855479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 de desarrollo</c:v>
              </c:pt>
            </c:strLit>
          </c:cat>
          <c:val>
            <c:numRef>
              <c:f>Avance!$Z$19</c:f>
              <c:numCache>
                <c:formatCode>0%</c:formatCode>
                <c:ptCount val="1"/>
                <c:pt idx="0">
                  <c:v>0</c:v>
                </c:pt>
              </c:numCache>
            </c:numRef>
          </c:val>
          <c:extLst>
            <c:ext xmlns:c16="http://schemas.microsoft.com/office/drawing/2014/chart" uri="{C3380CC4-5D6E-409C-BE32-E72D297353CC}">
              <c16:uniqueId val="{00000003-41E4-4989-B147-180F68554799}"/>
            </c:ext>
          </c:extLst>
        </c:ser>
        <c:ser>
          <c:idx val="2"/>
          <c:order val="2"/>
          <c:tx>
            <c:strRef>
              <c:f>Avance!$U$20</c:f>
              <c:strCache>
                <c:ptCount val="1"/>
                <c:pt idx="0">
                  <c:v>Proveedor 3x</c:v>
                </c:pt>
              </c:strCache>
            </c:strRef>
          </c:tx>
          <c:invertIfNegative val="0"/>
          <c:dLbls>
            <c:dLbl>
              <c:idx val="0"/>
              <c:layout>
                <c:manualLayout>
                  <c:x val="2.6433428087806854E-2"/>
                  <c:y val="-3.17757118468360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1E4-4989-B147-180F6855479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 de desarrollo</c:v>
              </c:pt>
            </c:strLit>
          </c:cat>
          <c:val>
            <c:numRef>
              <c:f>Avance!$Z$20</c:f>
              <c:numCache>
                <c:formatCode>0%</c:formatCode>
                <c:ptCount val="1"/>
                <c:pt idx="0">
                  <c:v>0</c:v>
                </c:pt>
              </c:numCache>
            </c:numRef>
          </c:val>
          <c:extLst>
            <c:ext xmlns:c16="http://schemas.microsoft.com/office/drawing/2014/chart" uri="{C3380CC4-5D6E-409C-BE32-E72D297353CC}">
              <c16:uniqueId val="{00000005-41E4-4989-B147-180F68554799}"/>
            </c:ext>
          </c:extLst>
        </c:ser>
        <c:ser>
          <c:idx val="3"/>
          <c:order val="3"/>
          <c:tx>
            <c:strRef>
              <c:f>Avance!$U$21</c:f>
              <c:strCache>
                <c:ptCount val="1"/>
                <c:pt idx="0">
                  <c:v>0</c:v>
                </c:pt>
              </c:strCache>
            </c:strRef>
          </c:tx>
          <c:invertIfNegative val="0"/>
          <c:dLbls>
            <c:dLbl>
              <c:idx val="0"/>
              <c:layout>
                <c:manualLayout>
                  <c:x val="2.8640196338371914E-2"/>
                  <c:y val="-2.80528081965446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1E4-4989-B147-180F6855479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 de desarrollo</c:v>
              </c:pt>
            </c:strLit>
          </c:cat>
          <c:val>
            <c:numRef>
              <c:f>Avance!$Z$21</c:f>
              <c:numCache>
                <c:formatCode>0%</c:formatCode>
                <c:ptCount val="1"/>
                <c:pt idx="0">
                  <c:v>0</c:v>
                </c:pt>
              </c:numCache>
            </c:numRef>
          </c:val>
          <c:extLst>
            <c:ext xmlns:c16="http://schemas.microsoft.com/office/drawing/2014/chart" uri="{C3380CC4-5D6E-409C-BE32-E72D297353CC}">
              <c16:uniqueId val="{00000007-41E4-4989-B147-180F68554799}"/>
            </c:ext>
          </c:extLst>
        </c:ser>
        <c:dLbls>
          <c:showLegendKey val="0"/>
          <c:showVal val="0"/>
          <c:showCatName val="0"/>
          <c:showSerName val="0"/>
          <c:showPercent val="0"/>
          <c:showBubbleSize val="0"/>
        </c:dLbls>
        <c:gapWidth val="150"/>
        <c:shape val="box"/>
        <c:axId val="712820720"/>
        <c:axId val="712822288"/>
        <c:axId val="0"/>
      </c:bar3DChart>
      <c:catAx>
        <c:axId val="712820720"/>
        <c:scaling>
          <c:orientation val="minMax"/>
        </c:scaling>
        <c:delete val="0"/>
        <c:axPos val="b"/>
        <c:numFmt formatCode="General" sourceLinked="0"/>
        <c:majorTickMark val="out"/>
        <c:minorTickMark val="none"/>
        <c:tickLblPos val="nextTo"/>
        <c:crossAx val="712822288"/>
        <c:crosses val="autoZero"/>
        <c:auto val="1"/>
        <c:lblAlgn val="ctr"/>
        <c:lblOffset val="100"/>
        <c:noMultiLvlLbl val="0"/>
      </c:catAx>
      <c:valAx>
        <c:axId val="712822288"/>
        <c:scaling>
          <c:orientation val="minMax"/>
        </c:scaling>
        <c:delete val="0"/>
        <c:axPos val="l"/>
        <c:majorGridlines/>
        <c:numFmt formatCode="0%" sourceLinked="1"/>
        <c:majorTickMark val="out"/>
        <c:minorTickMark val="none"/>
        <c:tickLblPos val="nextTo"/>
        <c:crossAx val="712820720"/>
        <c:crosses val="autoZero"/>
        <c:crossBetween val="between"/>
      </c:valAx>
    </c:plotArea>
    <c:legend>
      <c:legendPos val="r"/>
      <c:overlay val="0"/>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Avance!$U$18</c:f>
              <c:strCache>
                <c:ptCount val="1"/>
                <c:pt idx="0">
                  <c:v>Proveedor 1x</c:v>
                </c:pt>
              </c:strCache>
            </c:strRef>
          </c:tx>
          <c:invertIfNegative val="0"/>
          <c:dLbls>
            <c:dLbl>
              <c:idx val="0"/>
              <c:layout>
                <c:manualLayout>
                  <c:x val="2.9737606598782711E-2"/>
                  <c:y val="-4.60470468478847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3D7-423B-BB3B-DBE3A3E7CA7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Proveedores de desarrollo</c:v>
              </c:pt>
            </c:strLit>
          </c:cat>
          <c:val>
            <c:numRef>
              <c:f>Avance!$AC$18</c:f>
              <c:numCache>
                <c:formatCode>General</c:formatCode>
                <c:ptCount val="1"/>
                <c:pt idx="0">
                  <c:v>0</c:v>
                </c:pt>
              </c:numCache>
            </c:numRef>
          </c:val>
          <c:extLst>
            <c:ext xmlns:c16="http://schemas.microsoft.com/office/drawing/2014/chart" uri="{C3380CC4-5D6E-409C-BE32-E72D297353CC}">
              <c16:uniqueId val="{00000001-93D7-423B-BB3B-DBE3A3E7CA77}"/>
            </c:ext>
          </c:extLst>
        </c:ser>
        <c:ser>
          <c:idx val="1"/>
          <c:order val="1"/>
          <c:tx>
            <c:strRef>
              <c:f>Avance!$U$19</c:f>
              <c:strCache>
                <c:ptCount val="1"/>
                <c:pt idx="0">
                  <c:v>Proveedor 2x</c:v>
                </c:pt>
              </c:strCache>
            </c:strRef>
          </c:tx>
          <c:invertIfNegative val="0"/>
          <c:dLbls>
            <c:dLbl>
              <c:idx val="0"/>
              <c:layout>
                <c:manualLayout>
                  <c:x val="1.6520892554879284E-2"/>
                  <c:y val="-4.09145341864174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3D7-423B-BB3B-DBE3A3E7CA7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Proveedores de desarrollo</c:v>
              </c:pt>
            </c:strLit>
          </c:cat>
          <c:val>
            <c:numRef>
              <c:f>Avance!$AC$19</c:f>
              <c:numCache>
                <c:formatCode>General</c:formatCode>
                <c:ptCount val="1"/>
                <c:pt idx="0">
                  <c:v>0</c:v>
                </c:pt>
              </c:numCache>
            </c:numRef>
          </c:val>
          <c:extLst>
            <c:ext xmlns:c16="http://schemas.microsoft.com/office/drawing/2014/chart" uri="{C3380CC4-5D6E-409C-BE32-E72D297353CC}">
              <c16:uniqueId val="{00000003-93D7-423B-BB3B-DBE3A3E7CA77}"/>
            </c:ext>
          </c:extLst>
        </c:ser>
        <c:ser>
          <c:idx val="2"/>
          <c:order val="2"/>
          <c:tx>
            <c:strRef>
              <c:f>Avance!$U$20</c:f>
              <c:strCache>
                <c:ptCount val="1"/>
                <c:pt idx="0">
                  <c:v>Proveedor 3x</c:v>
                </c:pt>
              </c:strCache>
            </c:strRef>
          </c:tx>
          <c:invertIfNegative val="0"/>
          <c:dLbls>
            <c:dLbl>
              <c:idx val="0"/>
              <c:layout>
                <c:manualLayout>
                  <c:x val="2.3128937007874016E-2"/>
                  <c:y val="-4.09144740139107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3D7-423B-BB3B-DBE3A3E7CA7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Proveedores de desarrollo</c:v>
              </c:pt>
            </c:strLit>
          </c:cat>
          <c:val>
            <c:numRef>
              <c:f>Avance!$AC$20</c:f>
              <c:numCache>
                <c:formatCode>General</c:formatCode>
                <c:ptCount val="1"/>
                <c:pt idx="0">
                  <c:v>0</c:v>
                </c:pt>
              </c:numCache>
            </c:numRef>
          </c:val>
          <c:extLst>
            <c:ext xmlns:c16="http://schemas.microsoft.com/office/drawing/2014/chart" uri="{C3380CC4-5D6E-409C-BE32-E72D297353CC}">
              <c16:uniqueId val="{00000005-93D7-423B-BB3B-DBE3A3E7CA77}"/>
            </c:ext>
          </c:extLst>
        </c:ser>
        <c:ser>
          <c:idx val="3"/>
          <c:order val="3"/>
          <c:tx>
            <c:strRef>
              <c:f>Avance!$U$21</c:f>
              <c:strCache>
                <c:ptCount val="1"/>
                <c:pt idx="0">
                  <c:v>0</c:v>
                </c:pt>
              </c:strCache>
            </c:strRef>
          </c:tx>
          <c:invertIfNegative val="0"/>
          <c:dLbls>
            <c:dLbl>
              <c:idx val="0"/>
              <c:layout>
                <c:manualLayout>
                  <c:x val="2.9166338582677091E-2"/>
                  <c:y val="-3.90804617912654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3D7-423B-BB3B-DBE3A3E7CA7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Proveedores de desarrollo</c:v>
              </c:pt>
            </c:strLit>
          </c:cat>
          <c:val>
            <c:numRef>
              <c:f>Avance!$AC$21</c:f>
              <c:numCache>
                <c:formatCode>General</c:formatCode>
                <c:ptCount val="1"/>
                <c:pt idx="0">
                  <c:v>0</c:v>
                </c:pt>
              </c:numCache>
            </c:numRef>
          </c:val>
          <c:extLst>
            <c:ext xmlns:c16="http://schemas.microsoft.com/office/drawing/2014/chart" uri="{C3380CC4-5D6E-409C-BE32-E72D297353CC}">
              <c16:uniqueId val="{00000007-93D7-423B-BB3B-DBE3A3E7CA77}"/>
            </c:ext>
          </c:extLst>
        </c:ser>
        <c:dLbls>
          <c:showLegendKey val="0"/>
          <c:showVal val="0"/>
          <c:showCatName val="0"/>
          <c:showSerName val="0"/>
          <c:showPercent val="0"/>
          <c:showBubbleSize val="0"/>
        </c:dLbls>
        <c:gapWidth val="150"/>
        <c:shape val="box"/>
        <c:axId val="712819152"/>
        <c:axId val="712822680"/>
        <c:axId val="0"/>
      </c:bar3DChart>
      <c:catAx>
        <c:axId val="712819152"/>
        <c:scaling>
          <c:orientation val="minMax"/>
        </c:scaling>
        <c:delete val="0"/>
        <c:axPos val="b"/>
        <c:numFmt formatCode="General" sourceLinked="0"/>
        <c:majorTickMark val="out"/>
        <c:minorTickMark val="none"/>
        <c:tickLblPos val="nextTo"/>
        <c:crossAx val="712822680"/>
        <c:crosses val="autoZero"/>
        <c:auto val="1"/>
        <c:lblAlgn val="ctr"/>
        <c:lblOffset val="100"/>
        <c:noMultiLvlLbl val="0"/>
      </c:catAx>
      <c:valAx>
        <c:axId val="712822680"/>
        <c:scaling>
          <c:orientation val="minMax"/>
        </c:scaling>
        <c:delete val="0"/>
        <c:axPos val="l"/>
        <c:majorGridlines/>
        <c:numFmt formatCode="General" sourceLinked="1"/>
        <c:majorTickMark val="out"/>
        <c:minorTickMark val="none"/>
        <c:tickLblPos val="nextTo"/>
        <c:crossAx val="712819152"/>
        <c:crosses val="autoZero"/>
        <c:crossBetween val="between"/>
      </c:valAx>
    </c:plotArea>
    <c:legend>
      <c:legendPos val="r"/>
      <c:overlay val="0"/>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7535776802953178E-2"/>
          <c:y val="5.7985521097383037E-2"/>
          <c:w val="0.92738037545330931"/>
          <c:h val="0.6323042214505552"/>
        </c:manualLayout>
      </c:layout>
      <c:bar3DChart>
        <c:barDir val="col"/>
        <c:grouping val="clustered"/>
        <c:varyColors val="0"/>
        <c:ser>
          <c:idx val="0"/>
          <c:order val="0"/>
          <c:tx>
            <c:strRef>
              <c:f>'G. de Incidentes'!$I$8:$K$8</c:f>
              <c:strCache>
                <c:ptCount val="3"/>
                <c:pt idx="0">
                  <c:v>Error</c:v>
                </c:pt>
                <c:pt idx="2">
                  <c:v>0</c:v>
                </c:pt>
              </c:strCache>
            </c:strRef>
          </c:tx>
          <c:invertIfNegative val="0"/>
          <c:dLbls>
            <c:dLbl>
              <c:idx val="0"/>
              <c:layout>
                <c:manualLayout>
                  <c:x val="2.0522968598865102E-2"/>
                  <c:y val="-4.17818821257437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9F6-4C76-A754-B7A0D77E1891}"/>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'G. de Incidentes'!$K$8</c:f>
              <c:numCache>
                <c:formatCode>General</c:formatCode>
                <c:ptCount val="1"/>
                <c:pt idx="0">
                  <c:v>0</c:v>
                </c:pt>
              </c:numCache>
            </c:numRef>
          </c:val>
          <c:extLst>
            <c:ext xmlns:c16="http://schemas.microsoft.com/office/drawing/2014/chart" uri="{C3380CC4-5D6E-409C-BE32-E72D297353CC}">
              <c16:uniqueId val="{00000001-79F6-4C76-A754-B7A0D77E1891}"/>
            </c:ext>
          </c:extLst>
        </c:ser>
        <c:ser>
          <c:idx val="1"/>
          <c:order val="1"/>
          <c:tx>
            <c:strRef>
              <c:f>'G. de Incidentes'!$I$9:$K$9</c:f>
              <c:strCache>
                <c:ptCount val="3"/>
                <c:pt idx="0">
                  <c:v>Consideración</c:v>
                </c:pt>
                <c:pt idx="2">
                  <c:v>0</c:v>
                </c:pt>
              </c:strCache>
            </c:strRef>
          </c:tx>
          <c:invertIfNegative val="0"/>
          <c:dLbls>
            <c:dLbl>
              <c:idx val="0"/>
              <c:layout>
                <c:manualLayout>
                  <c:x val="1.1401748974426147E-2"/>
                  <c:y val="-3.6559146860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9F6-4C76-A754-B7A0D77E1891}"/>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'G. de Incidentes'!$K$9</c:f>
              <c:numCache>
                <c:formatCode>General</c:formatCode>
                <c:ptCount val="1"/>
                <c:pt idx="0">
                  <c:v>0</c:v>
                </c:pt>
              </c:numCache>
            </c:numRef>
          </c:val>
          <c:extLst>
            <c:ext xmlns:c16="http://schemas.microsoft.com/office/drawing/2014/chart" uri="{C3380CC4-5D6E-409C-BE32-E72D297353CC}">
              <c16:uniqueId val="{00000003-79F6-4C76-A754-B7A0D77E1891}"/>
            </c:ext>
          </c:extLst>
        </c:ser>
        <c:ser>
          <c:idx val="2"/>
          <c:order val="2"/>
          <c:tx>
            <c:strRef>
              <c:f>'G. de Incidentes'!$I$10:$K$10</c:f>
              <c:strCache>
                <c:ptCount val="3"/>
                <c:pt idx="0">
                  <c:v>Sugerencia</c:v>
                </c:pt>
                <c:pt idx="2">
                  <c:v>0</c:v>
                </c:pt>
              </c:strCache>
            </c:strRef>
          </c:tx>
          <c:invertIfNegative val="0"/>
          <c:dLbls>
            <c:dLbl>
              <c:idx val="0"/>
              <c:layout>
                <c:manualLayout>
                  <c:x val="2.0523148153967063E-2"/>
                  <c:y val="-3.6559146860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9F6-4C76-A754-B7A0D77E1891}"/>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'G. de Incidentes'!$K$10</c:f>
              <c:numCache>
                <c:formatCode>General</c:formatCode>
                <c:ptCount val="1"/>
                <c:pt idx="0">
                  <c:v>0</c:v>
                </c:pt>
              </c:numCache>
            </c:numRef>
          </c:val>
          <c:extLst>
            <c:ext xmlns:c16="http://schemas.microsoft.com/office/drawing/2014/chart" uri="{C3380CC4-5D6E-409C-BE32-E72D297353CC}">
              <c16:uniqueId val="{00000005-79F6-4C76-A754-B7A0D77E1891}"/>
            </c:ext>
          </c:extLst>
        </c:ser>
        <c:ser>
          <c:idx val="3"/>
          <c:order val="3"/>
          <c:tx>
            <c:strRef>
              <c:f>'G. de Incidentes'!$I$11:$K$11</c:f>
              <c:strCache>
                <c:ptCount val="3"/>
                <c:pt idx="0">
                  <c:v>Cambio/Mejora</c:v>
                </c:pt>
                <c:pt idx="2">
                  <c:v>0</c:v>
                </c:pt>
              </c:strCache>
            </c:strRef>
          </c:tx>
          <c:invertIfNegative val="0"/>
          <c:dLbls>
            <c:dLbl>
              <c:idx val="0"/>
              <c:layout>
                <c:manualLayout>
                  <c:x val="2.2803497948852294E-2"/>
                  <c:y val="-3.6559146860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9F6-4C76-A754-B7A0D77E1891}"/>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'G. de Incidentes'!$K$11</c:f>
              <c:numCache>
                <c:formatCode>General</c:formatCode>
                <c:ptCount val="1"/>
                <c:pt idx="0">
                  <c:v>0</c:v>
                </c:pt>
              </c:numCache>
            </c:numRef>
          </c:val>
          <c:extLst>
            <c:ext xmlns:c16="http://schemas.microsoft.com/office/drawing/2014/chart" uri="{C3380CC4-5D6E-409C-BE32-E72D297353CC}">
              <c16:uniqueId val="{00000007-79F6-4C76-A754-B7A0D77E1891}"/>
            </c:ext>
          </c:extLst>
        </c:ser>
        <c:ser>
          <c:idx val="4"/>
          <c:order val="4"/>
          <c:tx>
            <c:strRef>
              <c:f>'G. de Incidentes'!$I$12:$K$12</c:f>
              <c:strCache>
                <c:ptCount val="3"/>
                <c:pt idx="0">
                  <c:v>Hallazgo</c:v>
                </c:pt>
                <c:pt idx="2">
                  <c:v>0</c:v>
                </c:pt>
              </c:strCache>
            </c:strRef>
          </c:tx>
          <c:spPr>
            <a:effectLst>
              <a:outerShdw blurRad="40000" dist="23000" dir="5400000" rotWithShape="0">
                <a:schemeClr val="tx2">
                  <a:alpha val="35000"/>
                </a:schemeClr>
              </a:outerShdw>
            </a:effectLst>
          </c:spPr>
          <c:invertIfNegative val="0"/>
          <c:dLbls>
            <c:dLbl>
              <c:idx val="0"/>
              <c:layout>
                <c:manualLayout>
                  <c:x val="2.0523148153967063E-2"/>
                  <c:y val="-3.6559146860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9F6-4C76-A754-B7A0D77E1891}"/>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'G. de Incidentes'!$K$12</c:f>
              <c:numCache>
                <c:formatCode>General</c:formatCode>
                <c:ptCount val="1"/>
                <c:pt idx="0">
                  <c:v>0</c:v>
                </c:pt>
              </c:numCache>
            </c:numRef>
          </c:val>
          <c:extLst>
            <c:ext xmlns:c16="http://schemas.microsoft.com/office/drawing/2014/chart" uri="{C3380CC4-5D6E-409C-BE32-E72D297353CC}">
              <c16:uniqueId val="{00000009-79F6-4C76-A754-B7A0D77E1891}"/>
            </c:ext>
          </c:extLst>
        </c:ser>
        <c:dLbls>
          <c:showLegendKey val="0"/>
          <c:showVal val="0"/>
          <c:showCatName val="0"/>
          <c:showSerName val="0"/>
          <c:showPercent val="0"/>
          <c:showBubbleSize val="0"/>
        </c:dLbls>
        <c:gapWidth val="150"/>
        <c:shape val="box"/>
        <c:axId val="706900528"/>
        <c:axId val="706899744"/>
        <c:axId val="0"/>
      </c:bar3DChart>
      <c:catAx>
        <c:axId val="706900528"/>
        <c:scaling>
          <c:orientation val="minMax"/>
        </c:scaling>
        <c:delete val="0"/>
        <c:axPos val="b"/>
        <c:numFmt formatCode="General" sourceLinked="0"/>
        <c:majorTickMark val="out"/>
        <c:minorTickMark val="none"/>
        <c:tickLblPos val="nextTo"/>
        <c:crossAx val="706899744"/>
        <c:crosses val="autoZero"/>
        <c:auto val="1"/>
        <c:lblAlgn val="ctr"/>
        <c:lblOffset val="100"/>
        <c:noMultiLvlLbl val="0"/>
      </c:catAx>
      <c:valAx>
        <c:axId val="706899744"/>
        <c:scaling>
          <c:orientation val="minMax"/>
        </c:scaling>
        <c:delete val="0"/>
        <c:axPos val="l"/>
        <c:majorGridlines/>
        <c:minorGridlines/>
        <c:numFmt formatCode="General" sourceLinked="1"/>
        <c:majorTickMark val="out"/>
        <c:minorTickMark val="none"/>
        <c:tickLblPos val="nextTo"/>
        <c:crossAx val="706900528"/>
        <c:crosses val="autoZero"/>
        <c:crossBetween val="between"/>
      </c:valAx>
    </c:plotArea>
    <c:legend>
      <c:legendPos val="b"/>
      <c:layout>
        <c:manualLayout>
          <c:xMode val="edge"/>
          <c:yMode val="edge"/>
          <c:x val="5.3363955857455514E-2"/>
          <c:y val="0.74278686798734694"/>
          <c:w val="0.76696931741009988"/>
          <c:h val="0.18759310994552764"/>
        </c:manualLayout>
      </c:layout>
      <c:overlay val="0"/>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spPr>
            <a:effectLst>
              <a:outerShdw blurRad="50800" dist="50800" dir="5400000" algn="ctr" rotWithShape="0">
                <a:schemeClr val="tx2"/>
              </a:outerShdw>
            </a:effectLst>
          </c:spPr>
          <c:invertIfNegative val="0"/>
          <c:dLbls>
            <c:dLbl>
              <c:idx val="0"/>
              <c:layout>
                <c:manualLayout>
                  <c:x val="1.4896483895873721E-2"/>
                  <c:y val="-2.7395088292524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8C-48AC-B8BA-8816255C60F7}"/>
                </c:ext>
              </c:extLst>
            </c:dLbl>
            <c:dLbl>
              <c:idx val="1"/>
              <c:layout>
                <c:manualLayout>
                  <c:x val="1.8973230044719198E-2"/>
                  <c:y val="-2.10657694632053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8C-48AC-B8BA-8816255C60F7}"/>
                </c:ext>
              </c:extLst>
            </c:dLbl>
            <c:dLbl>
              <c:idx val="2"/>
              <c:layout>
                <c:manualLayout>
                  <c:x val="1.321073599632803E-2"/>
                  <c:y val="-2.84535028124771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F8C-48AC-B8BA-8816255C60F7}"/>
                </c:ext>
              </c:extLst>
            </c:dLbl>
            <c:dLbl>
              <c:idx val="3"/>
              <c:layout>
                <c:manualLayout>
                  <c:x val="1.6306984595381997E-2"/>
                  <c:y val="-2.42405979585466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8C-48AC-B8BA-8816255C60F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Avance!$C$39:$C$42</c:f>
              <c:strCache>
                <c:ptCount val="4"/>
                <c:pt idx="0">
                  <c:v>Stopper</c:v>
                </c:pt>
                <c:pt idx="1">
                  <c:v>Alta</c:v>
                </c:pt>
                <c:pt idx="2">
                  <c:v>Media</c:v>
                </c:pt>
                <c:pt idx="3">
                  <c:v>Baja</c:v>
                </c:pt>
              </c:strCache>
            </c:strRef>
          </c:cat>
          <c:val>
            <c:numRef>
              <c:f>Avance!$O$39:$O$42</c:f>
              <c:numCache>
                <c:formatCode>0</c:formatCode>
                <c:ptCount val="4"/>
                <c:pt idx="0">
                  <c:v>0</c:v>
                </c:pt>
                <c:pt idx="1">
                  <c:v>0</c:v>
                </c:pt>
                <c:pt idx="2">
                  <c:v>0</c:v>
                </c:pt>
                <c:pt idx="3">
                  <c:v>0</c:v>
                </c:pt>
              </c:numCache>
            </c:numRef>
          </c:val>
          <c:extLst>
            <c:ext xmlns:c16="http://schemas.microsoft.com/office/drawing/2014/chart" uri="{C3380CC4-5D6E-409C-BE32-E72D297353CC}">
              <c16:uniqueId val="{00000004-EF8C-48AC-B8BA-8816255C60F7}"/>
            </c:ext>
          </c:extLst>
        </c:ser>
        <c:dLbls>
          <c:showLegendKey val="0"/>
          <c:showVal val="0"/>
          <c:showCatName val="0"/>
          <c:showSerName val="0"/>
          <c:showPercent val="0"/>
          <c:showBubbleSize val="0"/>
        </c:dLbls>
        <c:gapWidth val="150"/>
        <c:shape val="box"/>
        <c:axId val="706902096"/>
        <c:axId val="706901312"/>
        <c:axId val="0"/>
      </c:bar3DChart>
      <c:catAx>
        <c:axId val="706902096"/>
        <c:scaling>
          <c:orientation val="minMax"/>
        </c:scaling>
        <c:delete val="0"/>
        <c:axPos val="b"/>
        <c:numFmt formatCode="General" sourceLinked="0"/>
        <c:majorTickMark val="out"/>
        <c:minorTickMark val="none"/>
        <c:tickLblPos val="nextTo"/>
        <c:crossAx val="706901312"/>
        <c:crosses val="autoZero"/>
        <c:auto val="1"/>
        <c:lblAlgn val="ctr"/>
        <c:lblOffset val="100"/>
        <c:noMultiLvlLbl val="0"/>
      </c:catAx>
      <c:valAx>
        <c:axId val="706901312"/>
        <c:scaling>
          <c:orientation val="minMax"/>
        </c:scaling>
        <c:delete val="0"/>
        <c:axPos val="l"/>
        <c:majorGridlines/>
        <c:minorGridlines/>
        <c:numFmt formatCode="0" sourceLinked="1"/>
        <c:majorTickMark val="out"/>
        <c:minorTickMark val="none"/>
        <c:tickLblPos val="nextTo"/>
        <c:crossAx val="706902096"/>
        <c:crosses val="autoZero"/>
        <c:crossBetween val="between"/>
      </c:valAx>
    </c:plotArea>
    <c:plotVisOnly val="1"/>
    <c:dispBlanksAs val="gap"/>
    <c:showDLblsOverMax val="0"/>
  </c:chart>
  <c:spPr>
    <a:gradFill>
      <a:gsLst>
        <a:gs pos="100000">
          <a:schemeClr val="accent1">
            <a:tint val="66000"/>
            <a:satMod val="160000"/>
          </a:schemeClr>
        </a:gs>
        <a:gs pos="78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8146403422370435E-2"/>
          <c:y val="8.2577024025842924E-2"/>
          <c:w val="0.90323874890455103"/>
          <c:h val="0.59967090652130017"/>
        </c:manualLayout>
      </c:layout>
      <c:bar3DChart>
        <c:barDir val="col"/>
        <c:grouping val="clustered"/>
        <c:varyColors val="0"/>
        <c:ser>
          <c:idx val="0"/>
          <c:order val="0"/>
          <c:spPr>
            <a:effectLst>
              <a:outerShdw blurRad="50800" dist="50800" dir="5400000" algn="ctr" rotWithShape="0">
                <a:schemeClr val="tx2"/>
              </a:outerShdw>
            </a:effectLst>
          </c:spPr>
          <c:invertIfNegative val="0"/>
          <c:dLbls>
            <c:dLbl>
              <c:idx val="0"/>
              <c:layout>
                <c:manualLayout>
                  <c:x val="9.1152817579048147E-3"/>
                  <c:y val="-8.4897241616728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DD-445C-BDB2-32350CEC76FF}"/>
                </c:ext>
              </c:extLst>
            </c:dLbl>
            <c:dLbl>
              <c:idx val="1"/>
              <c:layout>
                <c:manualLayout>
                  <c:x val="1.2153709010539753E-2"/>
                  <c:y val="-8.489389933722597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1DD-445C-BDB2-32350CEC76FF}"/>
                </c:ext>
              </c:extLst>
            </c:dLbl>
            <c:dLbl>
              <c:idx val="2"/>
              <c:layout>
                <c:manualLayout>
                  <c:x val="1.2153709010539809E-2"/>
                  <c:y val="-1.6979114095395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1DD-445C-BDB2-32350CEC76FF}"/>
                </c:ext>
              </c:extLst>
            </c:dLbl>
            <c:dLbl>
              <c:idx val="3"/>
              <c:layout>
                <c:manualLayout>
                  <c:x val="1.2153469764299334E-2"/>
                  <c:y val="-1.69794483233454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1DD-445C-BDB2-32350CEC76FF}"/>
                </c:ext>
              </c:extLst>
            </c:dLbl>
            <c:dLbl>
              <c:idx val="4"/>
              <c:layout>
                <c:manualLayout>
                  <c:x val="1.8230563515809629E-2"/>
                  <c:y val="-1.69794483233454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1DD-445C-BDB2-32350CEC76FF}"/>
                </c:ext>
              </c:extLst>
            </c:dLbl>
            <c:dLbl>
              <c:idx val="5"/>
              <c:layout>
                <c:manualLayout>
                  <c:x val="9.1152817579048147E-3"/>
                  <c:y val="-1.27340849005839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1DD-445C-BDB2-32350CEC76FF}"/>
                </c:ext>
              </c:extLst>
            </c:dLbl>
            <c:dLbl>
              <c:idx val="6"/>
              <c:layout>
                <c:manualLayout>
                  <c:x val="6.0768545052698767E-3"/>
                  <c:y val="-1.27344191285341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1DD-445C-BDB2-32350CEC76FF}"/>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Avance!$H$38:$N$38</c:f>
              <c:strCache>
                <c:ptCount val="7"/>
                <c:pt idx="0">
                  <c:v>Ambiente</c:v>
                </c:pt>
                <c:pt idx="1">
                  <c:v>Datos</c:v>
                </c:pt>
                <c:pt idx="2">
                  <c:v>Funcionalidad</c:v>
                </c:pt>
                <c:pt idx="3">
                  <c:v>Documentación</c:v>
                </c:pt>
                <c:pt idx="4">
                  <c:v>Presentación</c:v>
                </c:pt>
                <c:pt idx="5">
                  <c:v>Rendimiento</c:v>
                </c:pt>
                <c:pt idx="6">
                  <c:v>Seguridad</c:v>
                </c:pt>
              </c:strCache>
            </c:strRef>
          </c:cat>
          <c:val>
            <c:numRef>
              <c:f>Avance!$H$43:$N$43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21DD-445C-BDB2-32350CEC76FF}"/>
            </c:ext>
          </c:extLst>
        </c:ser>
        <c:dLbls>
          <c:showLegendKey val="0"/>
          <c:showVal val="0"/>
          <c:showCatName val="0"/>
          <c:showSerName val="0"/>
          <c:showPercent val="0"/>
          <c:showBubbleSize val="0"/>
        </c:dLbls>
        <c:gapWidth val="150"/>
        <c:shape val="box"/>
        <c:axId val="706901704"/>
        <c:axId val="706902488"/>
        <c:axId val="0"/>
      </c:bar3DChart>
      <c:catAx>
        <c:axId val="706901704"/>
        <c:scaling>
          <c:orientation val="minMax"/>
        </c:scaling>
        <c:delete val="0"/>
        <c:axPos val="b"/>
        <c:numFmt formatCode="General" sourceLinked="0"/>
        <c:majorTickMark val="out"/>
        <c:minorTickMark val="none"/>
        <c:tickLblPos val="nextTo"/>
        <c:crossAx val="706902488"/>
        <c:crosses val="autoZero"/>
        <c:auto val="1"/>
        <c:lblAlgn val="ctr"/>
        <c:lblOffset val="100"/>
        <c:noMultiLvlLbl val="0"/>
      </c:catAx>
      <c:valAx>
        <c:axId val="706902488"/>
        <c:scaling>
          <c:orientation val="minMax"/>
        </c:scaling>
        <c:delete val="0"/>
        <c:axPos val="l"/>
        <c:majorGridlines/>
        <c:minorGridlines/>
        <c:numFmt formatCode="0" sourceLinked="1"/>
        <c:majorTickMark val="out"/>
        <c:minorTickMark val="none"/>
        <c:tickLblPos val="nextTo"/>
        <c:crossAx val="706901704"/>
        <c:crosses val="autoZero"/>
        <c:crossBetween val="between"/>
      </c:valAx>
    </c:plotArea>
    <c:plotVisOnly val="1"/>
    <c:dispBlanksAs val="gap"/>
    <c:showDLblsOverMax val="0"/>
  </c:chart>
  <c:spPr>
    <a:gradFill>
      <a:gsLst>
        <a:gs pos="100000">
          <a:schemeClr val="accent1">
            <a:tint val="66000"/>
            <a:satMod val="160000"/>
          </a:schemeClr>
        </a:gs>
        <a:gs pos="78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3"/>
          <c:order val="0"/>
          <c:tx>
            <c:strRef>
              <c:f>Avance!$C$35</c:f>
              <c:strCache>
                <c:ptCount val="1"/>
                <c:pt idx="0">
                  <c:v>Cierre/Entrega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Avance!$D$35</c:f>
              <c:numCache>
                <c:formatCode>0</c:formatCode>
                <c:ptCount val="1"/>
                <c:pt idx="0">
                  <c:v>0</c:v>
                </c:pt>
              </c:numCache>
            </c:numRef>
          </c:val>
          <c:extLst>
            <c:ext xmlns:c16="http://schemas.microsoft.com/office/drawing/2014/chart" uri="{C3380CC4-5D6E-409C-BE32-E72D297353CC}">
              <c16:uniqueId val="{00000000-A8EA-4BF0-8E0F-96D8AFBB847D}"/>
            </c:ext>
          </c:extLst>
        </c:ser>
        <c:ser>
          <c:idx val="2"/>
          <c:order val="1"/>
          <c:tx>
            <c:strRef>
              <c:f>Avance!$C$34</c:f>
              <c:strCache>
                <c:ptCount val="1"/>
                <c:pt idx="0">
                  <c:v>Ejecución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Avance!$D$34</c:f>
              <c:numCache>
                <c:formatCode>0</c:formatCode>
                <c:ptCount val="1"/>
                <c:pt idx="0">
                  <c:v>0</c:v>
                </c:pt>
              </c:numCache>
            </c:numRef>
          </c:val>
          <c:extLst>
            <c:ext xmlns:c16="http://schemas.microsoft.com/office/drawing/2014/chart" uri="{C3380CC4-5D6E-409C-BE32-E72D297353CC}">
              <c16:uniqueId val="{00000001-A8EA-4BF0-8E0F-96D8AFBB847D}"/>
            </c:ext>
          </c:extLst>
        </c:ser>
        <c:ser>
          <c:idx val="5"/>
          <c:order val="2"/>
          <c:tx>
            <c:strRef>
              <c:f>Avance!$C$33</c:f>
              <c:strCache>
                <c:ptCount val="1"/>
                <c:pt idx="0">
                  <c:v>Diseño 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Avance!$D$33</c:f>
              <c:numCache>
                <c:formatCode>0</c:formatCode>
                <c:ptCount val="1"/>
                <c:pt idx="0">
                  <c:v>0</c:v>
                </c:pt>
              </c:numCache>
            </c:numRef>
          </c:val>
          <c:extLst>
            <c:ext xmlns:c16="http://schemas.microsoft.com/office/drawing/2014/chart" uri="{C3380CC4-5D6E-409C-BE32-E72D297353CC}">
              <c16:uniqueId val="{00000002-A8EA-4BF0-8E0F-96D8AFBB847D}"/>
            </c:ext>
          </c:extLst>
        </c:ser>
        <c:ser>
          <c:idx val="1"/>
          <c:order val="3"/>
          <c:tx>
            <c:strRef>
              <c:f>Avance!$C$32</c:f>
              <c:strCache>
                <c:ptCount val="1"/>
                <c:pt idx="0">
                  <c:v>Diseño 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Avance!$D$32</c:f>
              <c:numCache>
                <c:formatCode>0</c:formatCode>
                <c:ptCount val="1"/>
                <c:pt idx="0">
                  <c:v>0</c:v>
                </c:pt>
              </c:numCache>
            </c:numRef>
          </c:val>
          <c:extLst>
            <c:ext xmlns:c16="http://schemas.microsoft.com/office/drawing/2014/chart" uri="{C3380CC4-5D6E-409C-BE32-E72D297353CC}">
              <c16:uniqueId val="{00000003-A8EA-4BF0-8E0F-96D8AFBB847D}"/>
            </c:ext>
          </c:extLst>
        </c:ser>
        <c:ser>
          <c:idx val="0"/>
          <c:order val="4"/>
          <c:tx>
            <c:strRef>
              <c:f>Avance!$C$31</c:f>
              <c:strCache>
                <c:ptCount val="1"/>
                <c:pt idx="0">
                  <c:v>Planeación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Avance!$D$31</c:f>
              <c:numCache>
                <c:formatCode>0</c:formatCode>
                <c:ptCount val="1"/>
                <c:pt idx="0">
                  <c:v>0</c:v>
                </c:pt>
              </c:numCache>
            </c:numRef>
          </c:val>
          <c:extLst>
            <c:ext xmlns:c16="http://schemas.microsoft.com/office/drawing/2014/chart" uri="{C3380CC4-5D6E-409C-BE32-E72D297353CC}">
              <c16:uniqueId val="{00000004-A8EA-4BF0-8E0F-96D8AFBB847D}"/>
            </c:ext>
          </c:extLst>
        </c:ser>
        <c:ser>
          <c:idx val="4"/>
          <c:order val="5"/>
          <c:tx>
            <c:strRef>
              <c:f>Avance!$C$30</c:f>
              <c:strCache>
                <c:ptCount val="1"/>
                <c:pt idx="0">
                  <c:v>Entrega Ambiente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Avance!$D$30</c:f>
              <c:numCache>
                <c:formatCode>0</c:formatCode>
                <c:ptCount val="1"/>
                <c:pt idx="0">
                  <c:v>0</c:v>
                </c:pt>
              </c:numCache>
            </c:numRef>
          </c:val>
          <c:extLst>
            <c:ext xmlns:c16="http://schemas.microsoft.com/office/drawing/2014/chart" uri="{C3380CC4-5D6E-409C-BE32-E72D297353CC}">
              <c16:uniqueId val="{00000005-A8EA-4BF0-8E0F-96D8AFBB847D}"/>
            </c:ext>
          </c:extLst>
        </c:ser>
        <c:dLbls>
          <c:showLegendKey val="0"/>
          <c:showVal val="0"/>
          <c:showCatName val="0"/>
          <c:showSerName val="0"/>
          <c:showPercent val="0"/>
          <c:showBubbleSize val="0"/>
        </c:dLbls>
        <c:gapWidth val="150"/>
        <c:axId val="716261776"/>
        <c:axId val="716260992"/>
      </c:barChart>
      <c:catAx>
        <c:axId val="716261776"/>
        <c:scaling>
          <c:orientation val="minMax"/>
        </c:scaling>
        <c:delete val="0"/>
        <c:axPos val="l"/>
        <c:numFmt formatCode="General" sourceLinked="0"/>
        <c:majorTickMark val="out"/>
        <c:minorTickMark val="none"/>
        <c:tickLblPos val="nextTo"/>
        <c:crossAx val="716260992"/>
        <c:crosses val="autoZero"/>
        <c:auto val="1"/>
        <c:lblAlgn val="ctr"/>
        <c:lblOffset val="100"/>
        <c:noMultiLvlLbl val="0"/>
      </c:catAx>
      <c:valAx>
        <c:axId val="716260992"/>
        <c:scaling>
          <c:orientation val="minMax"/>
        </c:scaling>
        <c:delete val="0"/>
        <c:axPos val="b"/>
        <c:majorGridlines/>
        <c:minorGridlines/>
        <c:numFmt formatCode="0" sourceLinked="1"/>
        <c:majorTickMark val="out"/>
        <c:minorTickMark val="none"/>
        <c:tickLblPos val="nextTo"/>
        <c:crossAx val="716261776"/>
        <c:crosses val="autoZero"/>
        <c:crossBetween val="between"/>
      </c:valAx>
    </c:plotArea>
    <c:legend>
      <c:legendPos val="r"/>
      <c:overlay val="0"/>
    </c:legend>
    <c:plotVisOnly val="1"/>
    <c:dispBlanksAs val="gap"/>
    <c:showDLblsOverMax val="0"/>
  </c:chart>
  <c:spPr>
    <a:gradFill>
      <a:gsLst>
        <a:gs pos="100000">
          <a:schemeClr val="accent1">
            <a:tint val="66000"/>
            <a:satMod val="160000"/>
          </a:schemeClr>
        </a:gs>
        <a:gs pos="78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3"/>
          <c:order val="0"/>
          <c:tx>
            <c:strRef>
              <c:f>Avance!$C$35</c:f>
              <c:strCache>
                <c:ptCount val="1"/>
                <c:pt idx="0">
                  <c:v>Cierre/Entrega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Avance!$E$35</c:f>
              <c:numCache>
                <c:formatCode>0</c:formatCode>
                <c:ptCount val="1"/>
                <c:pt idx="0">
                  <c:v>0</c:v>
                </c:pt>
              </c:numCache>
            </c:numRef>
          </c:val>
          <c:extLst>
            <c:ext xmlns:c16="http://schemas.microsoft.com/office/drawing/2014/chart" uri="{C3380CC4-5D6E-409C-BE32-E72D297353CC}">
              <c16:uniqueId val="{00000000-2F49-4B15-AF23-79015655AC70}"/>
            </c:ext>
          </c:extLst>
        </c:ser>
        <c:ser>
          <c:idx val="2"/>
          <c:order val="1"/>
          <c:tx>
            <c:strRef>
              <c:f>Avance!$C$34</c:f>
              <c:strCache>
                <c:ptCount val="1"/>
                <c:pt idx="0">
                  <c:v>Ejecución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Avance!$E$34</c:f>
              <c:numCache>
                <c:formatCode>0</c:formatCode>
                <c:ptCount val="1"/>
                <c:pt idx="0">
                  <c:v>0</c:v>
                </c:pt>
              </c:numCache>
            </c:numRef>
          </c:val>
          <c:extLst>
            <c:ext xmlns:c16="http://schemas.microsoft.com/office/drawing/2014/chart" uri="{C3380CC4-5D6E-409C-BE32-E72D297353CC}">
              <c16:uniqueId val="{00000001-2F49-4B15-AF23-79015655AC70}"/>
            </c:ext>
          </c:extLst>
        </c:ser>
        <c:ser>
          <c:idx val="4"/>
          <c:order val="2"/>
          <c:tx>
            <c:strRef>
              <c:f>Avance!$C$33</c:f>
              <c:strCache>
                <c:ptCount val="1"/>
                <c:pt idx="0">
                  <c:v>Diseño 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Avance!$E$33</c:f>
              <c:numCache>
                <c:formatCode>0</c:formatCode>
                <c:ptCount val="1"/>
                <c:pt idx="0">
                  <c:v>0</c:v>
                </c:pt>
              </c:numCache>
            </c:numRef>
          </c:val>
          <c:extLst>
            <c:ext xmlns:c16="http://schemas.microsoft.com/office/drawing/2014/chart" uri="{C3380CC4-5D6E-409C-BE32-E72D297353CC}">
              <c16:uniqueId val="{00000002-2F49-4B15-AF23-79015655AC70}"/>
            </c:ext>
          </c:extLst>
        </c:ser>
        <c:ser>
          <c:idx val="1"/>
          <c:order val="3"/>
          <c:tx>
            <c:strRef>
              <c:f>Avance!$C$32</c:f>
              <c:strCache>
                <c:ptCount val="1"/>
                <c:pt idx="0">
                  <c:v>Diseño 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Avance!$E$32</c:f>
              <c:numCache>
                <c:formatCode>0</c:formatCode>
                <c:ptCount val="1"/>
                <c:pt idx="0">
                  <c:v>0</c:v>
                </c:pt>
              </c:numCache>
            </c:numRef>
          </c:val>
          <c:extLst>
            <c:ext xmlns:c16="http://schemas.microsoft.com/office/drawing/2014/chart" uri="{C3380CC4-5D6E-409C-BE32-E72D297353CC}">
              <c16:uniqueId val="{00000003-2F49-4B15-AF23-79015655AC70}"/>
            </c:ext>
          </c:extLst>
        </c:ser>
        <c:ser>
          <c:idx val="0"/>
          <c:order val="4"/>
          <c:tx>
            <c:strRef>
              <c:f>Avance!$C$31</c:f>
              <c:strCache>
                <c:ptCount val="1"/>
                <c:pt idx="0">
                  <c:v>Planeación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c:v>
              </c:pt>
            </c:strLit>
          </c:cat>
          <c:val>
            <c:numRef>
              <c:f>Avance!$E$31</c:f>
              <c:numCache>
                <c:formatCode>0</c:formatCode>
                <c:ptCount val="1"/>
                <c:pt idx="0">
                  <c:v>-11</c:v>
                </c:pt>
              </c:numCache>
            </c:numRef>
          </c:val>
          <c:extLst>
            <c:ext xmlns:c16="http://schemas.microsoft.com/office/drawing/2014/chart" uri="{C3380CC4-5D6E-409C-BE32-E72D297353CC}">
              <c16:uniqueId val="{00000004-2F49-4B15-AF23-79015655AC70}"/>
            </c:ext>
          </c:extLst>
        </c:ser>
        <c:dLbls>
          <c:showLegendKey val="0"/>
          <c:showVal val="0"/>
          <c:showCatName val="0"/>
          <c:showSerName val="0"/>
          <c:showPercent val="0"/>
          <c:showBubbleSize val="0"/>
        </c:dLbls>
        <c:gapWidth val="150"/>
        <c:axId val="716261384"/>
        <c:axId val="716260208"/>
      </c:barChart>
      <c:catAx>
        <c:axId val="716261384"/>
        <c:scaling>
          <c:orientation val="minMax"/>
        </c:scaling>
        <c:delete val="0"/>
        <c:axPos val="l"/>
        <c:numFmt formatCode="General" sourceLinked="0"/>
        <c:majorTickMark val="out"/>
        <c:minorTickMark val="none"/>
        <c:tickLblPos val="nextTo"/>
        <c:crossAx val="716260208"/>
        <c:crosses val="autoZero"/>
        <c:auto val="1"/>
        <c:lblAlgn val="ctr"/>
        <c:lblOffset val="100"/>
        <c:noMultiLvlLbl val="0"/>
      </c:catAx>
      <c:valAx>
        <c:axId val="716260208"/>
        <c:scaling>
          <c:orientation val="minMax"/>
        </c:scaling>
        <c:delete val="0"/>
        <c:axPos val="b"/>
        <c:majorGridlines/>
        <c:minorGridlines/>
        <c:numFmt formatCode="0" sourceLinked="1"/>
        <c:majorTickMark val="out"/>
        <c:minorTickMark val="none"/>
        <c:tickLblPos val="nextTo"/>
        <c:crossAx val="716261384"/>
        <c:crosses val="autoZero"/>
        <c:crossBetween val="between"/>
      </c:valAx>
    </c:plotArea>
    <c:legend>
      <c:legendPos val="r"/>
      <c:overlay val="0"/>
    </c:legend>
    <c:plotVisOnly val="1"/>
    <c:dispBlanksAs val="gap"/>
    <c:showDLblsOverMax val="0"/>
  </c:chart>
  <c:spPr>
    <a:gradFill>
      <a:gsLst>
        <a:gs pos="100000">
          <a:schemeClr val="accent1">
            <a:tint val="66000"/>
            <a:satMod val="160000"/>
          </a:schemeClr>
        </a:gs>
        <a:gs pos="78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floor>
    <c:sideWall>
      <c:thickness val="0"/>
    </c:sideWall>
    <c:backWall>
      <c:thickness val="0"/>
    </c:backWall>
    <c:plotArea>
      <c:layout>
        <c:manualLayout>
          <c:layoutTarget val="inner"/>
          <c:xMode val="edge"/>
          <c:yMode val="edge"/>
          <c:x val="0.10807488397294102"/>
          <c:y val="0.10302032893901089"/>
          <c:w val="0.92728243838496593"/>
          <c:h val="0.72866766081583556"/>
        </c:manualLayout>
      </c:layout>
      <c:bar3DChart>
        <c:barDir val="col"/>
        <c:grouping val="clustered"/>
        <c:varyColors val="0"/>
        <c:ser>
          <c:idx val="0"/>
          <c:order val="0"/>
          <c:invertIfNegative val="0"/>
          <c:dLbls>
            <c:dLbl>
              <c:idx val="0"/>
              <c:layout>
                <c:manualLayout>
                  <c:x val="2.2167888591523053E-2"/>
                  <c:y val="-1.45345676652792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D8-4CA3-B3CC-224CD7EE442E}"/>
                </c:ext>
              </c:extLst>
            </c:dLbl>
            <c:dLbl>
              <c:idx val="1"/>
              <c:layout>
                <c:manualLayout>
                  <c:x val="1.662591644364228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D8-4CA3-B3CC-224CD7EE442E}"/>
                </c:ext>
              </c:extLst>
            </c:dLbl>
            <c:dLbl>
              <c:idx val="2"/>
              <c:layout>
                <c:manualLayout>
                  <c:x val="5.5419721478808647E-3"/>
                  <c:y val="-1.45345676652792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AD8-4CA3-B3CC-224CD7EE442E}"/>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 de Incidentes'!$S$6:$S$8</c:f>
              <c:strCache>
                <c:ptCount val="3"/>
                <c:pt idx="0">
                  <c:v>Inestabilidad Ambiente </c:v>
                </c:pt>
                <c:pt idx="1">
                  <c:v>Desfases por datos</c:v>
                </c:pt>
                <c:pt idx="2">
                  <c:v>Issues Otros tipos</c:v>
                </c:pt>
              </c:strCache>
            </c:strRef>
          </c:cat>
          <c:val>
            <c:numRef>
              <c:f>'G. de Incidentes'!$U$6:$U$8</c:f>
              <c:numCache>
                <c:formatCode>0.0</c:formatCode>
                <c:ptCount val="3"/>
                <c:pt idx="0">
                  <c:v>0</c:v>
                </c:pt>
                <c:pt idx="1">
                  <c:v>0</c:v>
                </c:pt>
                <c:pt idx="2">
                  <c:v>0</c:v>
                </c:pt>
              </c:numCache>
            </c:numRef>
          </c:val>
          <c:extLst>
            <c:ext xmlns:c16="http://schemas.microsoft.com/office/drawing/2014/chart" uri="{C3380CC4-5D6E-409C-BE32-E72D297353CC}">
              <c16:uniqueId val="{00000003-8AD8-4CA3-B3CC-224CD7EE442E}"/>
            </c:ext>
          </c:extLst>
        </c:ser>
        <c:dLbls>
          <c:showLegendKey val="0"/>
          <c:showVal val="0"/>
          <c:showCatName val="0"/>
          <c:showSerName val="0"/>
          <c:showPercent val="0"/>
          <c:showBubbleSize val="0"/>
        </c:dLbls>
        <c:gapWidth val="150"/>
        <c:shape val="box"/>
        <c:axId val="716262168"/>
        <c:axId val="716259424"/>
        <c:axId val="0"/>
      </c:bar3DChart>
      <c:catAx>
        <c:axId val="716262168"/>
        <c:scaling>
          <c:orientation val="minMax"/>
        </c:scaling>
        <c:delete val="0"/>
        <c:axPos val="b"/>
        <c:numFmt formatCode="General" sourceLinked="1"/>
        <c:majorTickMark val="out"/>
        <c:minorTickMark val="none"/>
        <c:tickLblPos val="nextTo"/>
        <c:crossAx val="716259424"/>
        <c:crosses val="autoZero"/>
        <c:auto val="1"/>
        <c:lblAlgn val="ctr"/>
        <c:lblOffset val="100"/>
        <c:noMultiLvlLbl val="0"/>
      </c:catAx>
      <c:valAx>
        <c:axId val="716259424"/>
        <c:scaling>
          <c:orientation val="minMax"/>
        </c:scaling>
        <c:delete val="0"/>
        <c:axPos val="l"/>
        <c:majorGridlines/>
        <c:minorGridlines/>
        <c:numFmt formatCode="#,##0.00" sourceLinked="0"/>
        <c:majorTickMark val="out"/>
        <c:minorTickMark val="none"/>
        <c:tickLblPos val="nextTo"/>
        <c:spPr>
          <a:effectLst>
            <a:outerShdw blurRad="50800" dist="50800" dir="5400000" algn="ctr" rotWithShape="0">
              <a:schemeClr val="bg1">
                <a:lumMod val="85000"/>
              </a:schemeClr>
            </a:outerShdw>
          </a:effectLst>
        </c:spPr>
        <c:crossAx val="716262168"/>
        <c:crosses val="autoZero"/>
        <c:crossBetween val="between"/>
      </c:valAx>
    </c:plotArea>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8146403422370435E-2"/>
          <c:y val="8.2577024025842924E-2"/>
          <c:w val="0.90323874890455103"/>
          <c:h val="0.59967090652130017"/>
        </c:manualLayout>
      </c:layout>
      <c:bar3DChart>
        <c:barDir val="col"/>
        <c:grouping val="clustered"/>
        <c:varyColors val="0"/>
        <c:ser>
          <c:idx val="2"/>
          <c:order val="0"/>
          <c:spPr>
            <a:solidFill>
              <a:schemeClr val="accent1"/>
            </a:solidFill>
            <a:effectLst>
              <a:outerShdw blurRad="50800" dist="50800" dir="5400000" algn="ctr" rotWithShape="0">
                <a:schemeClr val="tx2">
                  <a:lumMod val="40000"/>
                  <a:lumOff val="60000"/>
                </a:schemeClr>
              </a:outerShdw>
            </a:effectLst>
          </c:spPr>
          <c:invertIfNegative val="0"/>
          <c:dLbls>
            <c:dLbl>
              <c:idx val="0"/>
              <c:layout>
                <c:manualLayout>
                  <c:x val="7.1578948950494579E-3"/>
                  <c:y val="-1.9883050091195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3A7-4FC4-9907-5B7CD05D7034}"/>
                </c:ext>
              </c:extLst>
            </c:dLbl>
            <c:dLbl>
              <c:idx val="1"/>
              <c:layout>
                <c:manualLayout>
                  <c:x val="9.5438598600659733E-3"/>
                  <c:y val="-1.49122875683969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3A7-4FC4-9907-5B7CD05D7034}"/>
                </c:ext>
              </c:extLst>
            </c:dLbl>
            <c:dLbl>
              <c:idx val="2"/>
              <c:layout>
                <c:manualLayout>
                  <c:x val="1.4315789790098959E-2"/>
                  <c:y val="-1.9883050091195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A7-4FC4-9907-5B7CD05D7034}"/>
                </c:ext>
              </c:extLst>
            </c:dLbl>
            <c:dLbl>
              <c:idx val="3"/>
              <c:layout>
                <c:manualLayout>
                  <c:x val="1.1929824825082466E-2"/>
                  <c:y val="-1.49122875683969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3A7-4FC4-9907-5B7CD05D7034}"/>
                </c:ext>
              </c:extLst>
            </c:dLbl>
            <c:dLbl>
              <c:idx val="4"/>
              <c:layout>
                <c:manualLayout>
                  <c:x val="9.5438598600659733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3A7-4FC4-9907-5B7CD05D703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 de Incidentes'!$C$8:$C$12</c:f>
              <c:numCache>
                <c:formatCode>General</c:formatCode>
                <c:ptCount val="5"/>
              </c:numCache>
            </c:numRef>
          </c:cat>
          <c:val>
            <c:numRef>
              <c:f>'G. de Incidentes'!$D$8:$D$12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D3A7-4FC4-9907-5B7CD05D7034}"/>
            </c:ext>
          </c:extLst>
        </c:ser>
        <c:dLbls>
          <c:showLegendKey val="0"/>
          <c:showVal val="0"/>
          <c:showCatName val="0"/>
          <c:showSerName val="0"/>
          <c:showPercent val="0"/>
          <c:showBubbleSize val="0"/>
        </c:dLbls>
        <c:gapWidth val="150"/>
        <c:shape val="box"/>
        <c:axId val="716260600"/>
        <c:axId val="715778048"/>
        <c:axId val="0"/>
      </c:bar3DChart>
      <c:catAx>
        <c:axId val="716260600"/>
        <c:scaling>
          <c:orientation val="minMax"/>
        </c:scaling>
        <c:delete val="0"/>
        <c:axPos val="b"/>
        <c:numFmt formatCode="General" sourceLinked="1"/>
        <c:majorTickMark val="out"/>
        <c:minorTickMark val="none"/>
        <c:tickLblPos val="nextTo"/>
        <c:crossAx val="715778048"/>
        <c:crosses val="autoZero"/>
        <c:auto val="1"/>
        <c:lblAlgn val="ctr"/>
        <c:lblOffset val="100"/>
        <c:noMultiLvlLbl val="0"/>
      </c:catAx>
      <c:valAx>
        <c:axId val="715778048"/>
        <c:scaling>
          <c:orientation val="minMax"/>
        </c:scaling>
        <c:delete val="0"/>
        <c:axPos val="l"/>
        <c:majorGridlines/>
        <c:minorGridlines/>
        <c:numFmt formatCode="General" sourceLinked="1"/>
        <c:majorTickMark val="out"/>
        <c:minorTickMark val="none"/>
        <c:tickLblPos val="nextTo"/>
        <c:crossAx val="716260600"/>
        <c:crosses val="autoZero"/>
        <c:crossBetween val="between"/>
      </c:valAx>
    </c:plotArea>
    <c:plotVisOnly val="1"/>
    <c:dispBlanksAs val="gap"/>
    <c:showDLblsOverMax val="0"/>
  </c:chart>
  <c:spPr>
    <a:gradFill>
      <a:gsLst>
        <a:gs pos="100000">
          <a:schemeClr val="accent1">
            <a:tint val="66000"/>
            <a:satMod val="160000"/>
          </a:schemeClr>
        </a:gs>
        <a:gs pos="78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spPr>
        <a:noFill/>
        <a:effectLst>
          <a:innerShdw blurRad="63500" dist="50800" dir="13500000">
            <a:prstClr val="black">
              <a:alpha val="50000"/>
            </a:prstClr>
          </a:innerShdw>
        </a:effectLst>
      </c:spPr>
    </c:floor>
    <c:sideWall>
      <c:thickness val="0"/>
    </c:sideWall>
    <c:backWall>
      <c:thickness val="0"/>
    </c:backWall>
    <c:plotArea>
      <c:layout/>
      <c:bar3DChart>
        <c:barDir val="col"/>
        <c:grouping val="clustered"/>
        <c:varyColors val="0"/>
        <c:ser>
          <c:idx val="0"/>
          <c:order val="0"/>
          <c:invertIfNegative val="0"/>
          <c:dLbls>
            <c:dLbl>
              <c:idx val="0"/>
              <c:layout>
                <c:manualLayout>
                  <c:x val="8.7855286432446129E-3"/>
                  <c:y val="-5.246914855379327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B78-490E-A7CE-12A380007109}"/>
                </c:ext>
              </c:extLst>
            </c:dLbl>
            <c:dLbl>
              <c:idx val="1"/>
              <c:layout>
                <c:manualLayout>
                  <c:x val="5.8570190954963901E-3"/>
                  <c:y val="-1.04938297107586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B78-490E-A7CE-12A380007109}"/>
                </c:ext>
              </c:extLst>
            </c:dLbl>
            <c:dLbl>
              <c:idx val="2"/>
              <c:layout>
                <c:manualLayout>
                  <c:x val="8.7855286432445851E-3"/>
                  <c:y val="-5.246914855379327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B78-490E-A7CE-12A380007109}"/>
                </c:ext>
              </c:extLst>
            </c:dLbl>
            <c:dLbl>
              <c:idx val="3"/>
              <c:layout>
                <c:manualLayout>
                  <c:x val="8.7855286432445851E-3"/>
                  <c:y val="-1.57407445661379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B78-490E-A7CE-12A380007109}"/>
                </c:ext>
              </c:extLst>
            </c:dLbl>
            <c:dLbl>
              <c:idx val="4"/>
              <c:layout>
                <c:manualLayout>
                  <c:x val="5.8570190954963901E-3"/>
                  <c:y val="-1.57407445661379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78-490E-A7CE-12A38000710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 de Incidentes'!$F$8:$F$12</c:f>
              <c:strCache>
                <c:ptCount val="5"/>
                <c:pt idx="0">
                  <c:v>No Aplica</c:v>
                </c:pt>
                <c:pt idx="1">
                  <c:v>Duplicado</c:v>
                </c:pt>
                <c:pt idx="2">
                  <c:v>No se pudo reproducir</c:v>
                </c:pt>
                <c:pt idx="3">
                  <c:v>Verificado</c:v>
                </c:pt>
                <c:pt idx="4">
                  <c:v>Próxima versión</c:v>
                </c:pt>
              </c:strCache>
            </c:strRef>
          </c:cat>
          <c:val>
            <c:numRef>
              <c:f>'G. de Incidentes'!$G$8:$G$12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3B78-490E-A7CE-12A380007109}"/>
            </c:ext>
          </c:extLst>
        </c:ser>
        <c:dLbls>
          <c:showLegendKey val="0"/>
          <c:showVal val="0"/>
          <c:showCatName val="0"/>
          <c:showSerName val="0"/>
          <c:showPercent val="0"/>
          <c:showBubbleSize val="0"/>
        </c:dLbls>
        <c:gapWidth val="150"/>
        <c:shape val="box"/>
        <c:axId val="715776088"/>
        <c:axId val="715777264"/>
        <c:axId val="0"/>
      </c:bar3DChart>
      <c:catAx>
        <c:axId val="715776088"/>
        <c:scaling>
          <c:orientation val="minMax"/>
        </c:scaling>
        <c:delete val="0"/>
        <c:axPos val="b"/>
        <c:numFmt formatCode="General" sourceLinked="0"/>
        <c:majorTickMark val="out"/>
        <c:minorTickMark val="none"/>
        <c:tickLblPos val="nextTo"/>
        <c:crossAx val="715777264"/>
        <c:crosses val="autoZero"/>
        <c:auto val="1"/>
        <c:lblAlgn val="ctr"/>
        <c:lblOffset val="100"/>
        <c:noMultiLvlLbl val="0"/>
      </c:catAx>
      <c:valAx>
        <c:axId val="715777264"/>
        <c:scaling>
          <c:orientation val="minMax"/>
        </c:scaling>
        <c:delete val="0"/>
        <c:axPos val="l"/>
        <c:majorGridlines/>
        <c:minorGridlines/>
        <c:numFmt formatCode="General" sourceLinked="1"/>
        <c:majorTickMark val="out"/>
        <c:minorTickMark val="none"/>
        <c:tickLblPos val="nextTo"/>
        <c:crossAx val="715776088"/>
        <c:crosses val="autoZero"/>
        <c:crossBetween val="between"/>
      </c:valAx>
    </c:plotArea>
    <c:plotVisOnly val="1"/>
    <c:dispBlanksAs val="gap"/>
    <c:showDLblsOverMax val="0"/>
  </c:chart>
  <c:spPr>
    <a:gradFill>
      <a:gsLst>
        <a:gs pos="100000">
          <a:schemeClr val="accent1">
            <a:tint val="66000"/>
            <a:satMod val="160000"/>
          </a:schemeClr>
        </a:gs>
        <a:gs pos="78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hyperlink" Target="#'Carta de Certificaci&#243;n'!A1"/><Relationship Id="rId7" Type="http://schemas.openxmlformats.org/officeDocument/2006/relationships/hyperlink" Target="#'Dise&#241;o T&#233;cnico'!A1"/><Relationship Id="rId2" Type="http://schemas.openxmlformats.org/officeDocument/2006/relationships/hyperlink" Target="#Avance!A1"/><Relationship Id="rId1" Type="http://schemas.openxmlformats.org/officeDocument/2006/relationships/hyperlink" Target="#Dise&#241;o!A1"/><Relationship Id="rId6" Type="http://schemas.openxmlformats.org/officeDocument/2006/relationships/hyperlink" Target="#'G. de Incidentes'!A1"/><Relationship Id="rId5" Type="http://schemas.openxmlformats.org/officeDocument/2006/relationships/image" Target="../media/image12.png"/><Relationship Id="rId4" Type="http://schemas.openxmlformats.org/officeDocument/2006/relationships/hyperlink" Target="#Evidencias!A1"/></Relationships>
</file>

<file path=xl/drawings/_rels/drawing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hyperlink" Target="#Avance!A1"/><Relationship Id="rId2" Type="http://schemas.openxmlformats.org/officeDocument/2006/relationships/image" Target="../media/image12.png"/><Relationship Id="rId1" Type="http://schemas.openxmlformats.org/officeDocument/2006/relationships/hyperlink" Target="#'G. de Incidentes'!A1"/></Relationships>
</file>

<file path=xl/drawings/_rels/drawing4.xml.rels><?xml version="1.0" encoding="UTF-8" standalone="yes"?>
<Relationships xmlns="http://schemas.openxmlformats.org/package/2006/relationships"><Relationship Id="rId3" Type="http://schemas.openxmlformats.org/officeDocument/2006/relationships/hyperlink" Target="#'G. de Incidentes'!A1"/><Relationship Id="rId2" Type="http://schemas.openxmlformats.org/officeDocument/2006/relationships/hyperlink" Target="#Evidencias!A1"/><Relationship Id="rId1" Type="http://schemas.openxmlformats.org/officeDocument/2006/relationships/hyperlink" Target="#Planeaci&#243;n!A1"/><Relationship Id="rId5" Type="http://schemas.openxmlformats.org/officeDocument/2006/relationships/image" Target="../media/image12.png"/><Relationship Id="rId4" Type="http://schemas.openxmlformats.org/officeDocument/2006/relationships/hyperlink" Target="#Dise&#241;o!A1"/></Relationships>
</file>

<file path=xl/drawings/_rels/drawing5.xml.rels><?xml version="1.0" encoding="UTF-8" standalone="yes"?>
<Relationships xmlns="http://schemas.openxmlformats.org/package/2006/relationships"><Relationship Id="rId3" Type="http://schemas.openxmlformats.org/officeDocument/2006/relationships/hyperlink" Target="#'Carta de Certificaci&#243;n'!&#193;rea_de_impresi&#243;n"/><Relationship Id="rId2" Type="http://schemas.openxmlformats.org/officeDocument/2006/relationships/image" Target="../media/image12.png"/><Relationship Id="rId1" Type="http://schemas.openxmlformats.org/officeDocument/2006/relationships/hyperlink" Target="#Dise&#241;o!A1"/><Relationship Id="rId4" Type="http://schemas.openxmlformats.org/officeDocument/2006/relationships/hyperlink" Target="#Avance!A1"/></Relationships>
</file>

<file path=xl/drawings/_rels/drawing6.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G. de Incidentes'!A1"/><Relationship Id="rId7" Type="http://schemas.openxmlformats.org/officeDocument/2006/relationships/hyperlink" Target="#'Dise&#241;o T&#233;cnico'!A1"/><Relationship Id="rId2" Type="http://schemas.openxmlformats.org/officeDocument/2006/relationships/hyperlink" Target="#Dise&#241;o!A1"/><Relationship Id="rId1" Type="http://schemas.openxmlformats.org/officeDocument/2006/relationships/image" Target="../media/image12.png"/><Relationship Id="rId6" Type="http://schemas.openxmlformats.org/officeDocument/2006/relationships/chart" Target="../charts/chart1.xml"/><Relationship Id="rId5" Type="http://schemas.openxmlformats.org/officeDocument/2006/relationships/image" Target="../media/image22.png"/><Relationship Id="rId4" Type="http://schemas.openxmlformats.org/officeDocument/2006/relationships/image" Target="../media/image21.png"/><Relationship Id="rId9"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Planeaci&#243;n!A1"/><Relationship Id="rId1" Type="http://schemas.openxmlformats.org/officeDocument/2006/relationships/hyperlink" Target="#Dise&#241;o!A1"/><Relationship Id="rId5" Type="http://schemas.openxmlformats.org/officeDocument/2006/relationships/hyperlink" Target="#Avance!A1"/><Relationship Id="rId4" Type="http://schemas.openxmlformats.org/officeDocument/2006/relationships/hyperlink" Target="#'G. de Incidentes'!A1"/></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hyperlink" Target="#'G. de Incidentes'!A1"/><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hyperlink" Target="#Dise&#241;o!A1"/><Relationship Id="rId16" Type="http://schemas.openxmlformats.org/officeDocument/2006/relationships/chart" Target="../charts/chart13.xml"/><Relationship Id="rId1" Type="http://schemas.openxmlformats.org/officeDocument/2006/relationships/image" Target="../media/image12.pn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image" Target="../media/image22.png"/><Relationship Id="rId15" Type="http://schemas.openxmlformats.org/officeDocument/2006/relationships/chart" Target="../charts/chart12.xml"/><Relationship Id="rId10" Type="http://schemas.openxmlformats.org/officeDocument/2006/relationships/chart" Target="../charts/chart8.xml"/><Relationship Id="rId4" Type="http://schemas.openxmlformats.org/officeDocument/2006/relationships/image" Target="../media/image21.png"/><Relationship Id="rId9" Type="http://schemas.openxmlformats.org/officeDocument/2006/relationships/chart" Target="../charts/chart7.xml"/><Relationship Id="rId14" Type="http://schemas.openxmlformats.org/officeDocument/2006/relationships/hyperlink" Target="#'Dise&#241;o T&#233;cnico'!A1"/></Relationships>
</file>

<file path=xl/drawings/_rels/drawing9.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9</xdr:col>
      <xdr:colOff>879845</xdr:colOff>
      <xdr:row>13</xdr:row>
      <xdr:rowOff>30571</xdr:rowOff>
    </xdr:from>
    <xdr:to>
      <xdr:col>12</xdr:col>
      <xdr:colOff>132908</xdr:colOff>
      <xdr:row>14</xdr:row>
      <xdr:rowOff>77529</xdr:rowOff>
    </xdr:to>
    <xdr:sp macro="Macro1" textlink="">
      <xdr:nvSpPr>
        <xdr:cNvPr id="9" name="8 Rectángulo">
          <a:hlinkClick xmlns:r="http://schemas.openxmlformats.org/officeDocument/2006/relationships" r:id="rId1"/>
        </xdr:cNvPr>
        <xdr:cNvSpPr/>
      </xdr:nvSpPr>
      <xdr:spPr>
        <a:xfrm>
          <a:off x="8754583" y="2733013"/>
          <a:ext cx="1933354" cy="235243"/>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a:solidFill>
                <a:schemeClr val="lt1">
                  <a:lumMod val="100000"/>
                </a:schemeClr>
              </a:solidFill>
              <a:latin typeface="+mn-lt"/>
              <a:ea typeface="+mn-ea"/>
              <a:cs typeface="+mn-cs"/>
            </a:rPr>
            <a:t>DISEÑO</a:t>
          </a:r>
        </a:p>
      </xdr:txBody>
    </xdr:sp>
    <xdr:clientData/>
  </xdr:twoCellAnchor>
  <xdr:twoCellAnchor>
    <xdr:from>
      <xdr:col>9</xdr:col>
      <xdr:colOff>874971</xdr:colOff>
      <xdr:row>20</xdr:row>
      <xdr:rowOff>44302</xdr:rowOff>
    </xdr:from>
    <xdr:to>
      <xdr:col>12</xdr:col>
      <xdr:colOff>121832</xdr:colOff>
      <xdr:row>21</xdr:row>
      <xdr:rowOff>121831</xdr:rowOff>
    </xdr:to>
    <xdr:sp macro="Macro1" textlink="">
      <xdr:nvSpPr>
        <xdr:cNvPr id="5" name="4 Rectángulo">
          <a:hlinkClick xmlns:r="http://schemas.openxmlformats.org/officeDocument/2006/relationships" r:id="rId2"/>
        </xdr:cNvPr>
        <xdr:cNvSpPr/>
      </xdr:nvSpPr>
      <xdr:spPr>
        <a:xfrm>
          <a:off x="8749709" y="4064738"/>
          <a:ext cx="1927152" cy="265814"/>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INFORME DE AVANCE</a:t>
          </a:r>
        </a:p>
      </xdr:txBody>
    </xdr:sp>
    <xdr:clientData/>
  </xdr:twoCellAnchor>
  <xdr:twoCellAnchor>
    <xdr:from>
      <xdr:col>9</xdr:col>
      <xdr:colOff>876746</xdr:colOff>
      <xdr:row>22</xdr:row>
      <xdr:rowOff>11075</xdr:rowOff>
    </xdr:from>
    <xdr:to>
      <xdr:col>12</xdr:col>
      <xdr:colOff>132909</xdr:colOff>
      <xdr:row>23</xdr:row>
      <xdr:rowOff>77529</xdr:rowOff>
    </xdr:to>
    <xdr:sp macro="Macro1" textlink="">
      <xdr:nvSpPr>
        <xdr:cNvPr id="6" name="5 Rectángulo">
          <a:hlinkClick xmlns:r="http://schemas.openxmlformats.org/officeDocument/2006/relationships" r:id="rId3"/>
        </xdr:cNvPr>
        <xdr:cNvSpPr/>
      </xdr:nvSpPr>
      <xdr:spPr>
        <a:xfrm>
          <a:off x="8751484" y="4408081"/>
          <a:ext cx="1936454" cy="254739"/>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CARTA DE </a:t>
          </a:r>
          <a:r>
            <a:rPr lang="es-CO" sz="1000" b="0">
              <a:solidFill>
                <a:schemeClr val="lt1">
                  <a:lumMod val="100000"/>
                </a:schemeClr>
              </a:solidFill>
              <a:latin typeface="+mn-lt"/>
              <a:ea typeface="+mn-ea"/>
              <a:cs typeface="+mn-cs"/>
            </a:rPr>
            <a:t>CERTIFICACIÓN</a:t>
          </a:r>
        </a:p>
      </xdr:txBody>
    </xdr:sp>
    <xdr:clientData/>
  </xdr:twoCellAnchor>
  <xdr:twoCellAnchor>
    <xdr:from>
      <xdr:col>9</xdr:col>
      <xdr:colOff>866110</xdr:colOff>
      <xdr:row>18</xdr:row>
      <xdr:rowOff>94366</xdr:rowOff>
    </xdr:from>
    <xdr:to>
      <xdr:col>12</xdr:col>
      <xdr:colOff>132907</xdr:colOff>
      <xdr:row>19</xdr:row>
      <xdr:rowOff>151710</xdr:rowOff>
    </xdr:to>
    <xdr:sp macro="Macro1" textlink="">
      <xdr:nvSpPr>
        <xdr:cNvPr id="7" name="6 Rectángulo">
          <a:hlinkClick xmlns:r="http://schemas.openxmlformats.org/officeDocument/2006/relationships" r:id="rId4"/>
        </xdr:cNvPr>
        <xdr:cNvSpPr/>
      </xdr:nvSpPr>
      <xdr:spPr>
        <a:xfrm>
          <a:off x="8740848" y="3738232"/>
          <a:ext cx="1947088" cy="245629"/>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a:solidFill>
                <a:schemeClr val="lt1">
                  <a:lumMod val="100000"/>
                </a:schemeClr>
              </a:solidFill>
              <a:latin typeface="+mn-lt"/>
              <a:ea typeface="+mn-ea"/>
              <a:cs typeface="+mn-cs"/>
            </a:rPr>
            <a:t>EVIDENCIAS</a:t>
          </a:r>
        </a:p>
      </xdr:txBody>
    </xdr:sp>
    <xdr:clientData/>
  </xdr:twoCellAnchor>
  <xdr:twoCellAnchor>
    <xdr:from>
      <xdr:col>1</xdr:col>
      <xdr:colOff>120724</xdr:colOff>
      <xdr:row>0</xdr:row>
      <xdr:rowOff>28795</xdr:rowOff>
    </xdr:from>
    <xdr:to>
      <xdr:col>2</xdr:col>
      <xdr:colOff>1196163</xdr:colOff>
      <xdr:row>1</xdr:row>
      <xdr:rowOff>221511</xdr:rowOff>
    </xdr:to>
    <xdr:pic>
      <xdr:nvPicPr>
        <xdr:cNvPr id="8" name="Imagen 3" descr="Descripción: Descripción: Descripción: Descripción: Descripción: Descripción: Tuya"/>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84939" y="28795"/>
          <a:ext cx="1241573" cy="691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863011</xdr:colOff>
      <xdr:row>16</xdr:row>
      <xdr:rowOff>110755</xdr:rowOff>
    </xdr:from>
    <xdr:to>
      <xdr:col>12</xdr:col>
      <xdr:colOff>119174</xdr:colOff>
      <xdr:row>18</xdr:row>
      <xdr:rowOff>11076</xdr:rowOff>
    </xdr:to>
    <xdr:sp macro="Macro1" textlink="">
      <xdr:nvSpPr>
        <xdr:cNvPr id="10" name="9 Rectángulo">
          <a:hlinkClick xmlns:r="http://schemas.openxmlformats.org/officeDocument/2006/relationships" r:id="rId6"/>
        </xdr:cNvPr>
        <xdr:cNvSpPr/>
      </xdr:nvSpPr>
      <xdr:spPr>
        <a:xfrm>
          <a:off x="8737749" y="3378052"/>
          <a:ext cx="1936454" cy="27689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0">
              <a:solidFill>
                <a:schemeClr val="lt1">
                  <a:lumMod val="100000"/>
                </a:schemeClr>
              </a:solidFill>
              <a:latin typeface="+mn-lt"/>
              <a:ea typeface="+mn-ea"/>
              <a:cs typeface="+mn-cs"/>
            </a:rPr>
            <a:t>GESTIÓN</a:t>
          </a:r>
          <a:r>
            <a:rPr lang="es-CO" sz="1000" b="0" baseline="0">
              <a:solidFill>
                <a:schemeClr val="lt1">
                  <a:lumMod val="100000"/>
                </a:schemeClr>
              </a:solidFill>
              <a:latin typeface="+mn-lt"/>
              <a:ea typeface="+mn-ea"/>
              <a:cs typeface="+mn-cs"/>
            </a:rPr>
            <a:t> DE INCIDENTES</a:t>
          </a:r>
          <a:endParaRPr lang="es-CO" sz="1000" b="0">
            <a:solidFill>
              <a:schemeClr val="lt1">
                <a:lumMod val="100000"/>
              </a:schemeClr>
            </a:solidFill>
            <a:latin typeface="+mn-lt"/>
            <a:ea typeface="+mn-ea"/>
            <a:cs typeface="+mn-cs"/>
          </a:endParaRPr>
        </a:p>
      </xdr:txBody>
    </xdr:sp>
    <xdr:clientData/>
  </xdr:twoCellAnchor>
  <xdr:twoCellAnchor>
    <xdr:from>
      <xdr:col>9</xdr:col>
      <xdr:colOff>863895</xdr:colOff>
      <xdr:row>14</xdr:row>
      <xdr:rowOff>177209</xdr:rowOff>
    </xdr:from>
    <xdr:to>
      <xdr:col>12</xdr:col>
      <xdr:colOff>116958</xdr:colOff>
      <xdr:row>16</xdr:row>
      <xdr:rowOff>35882</xdr:rowOff>
    </xdr:to>
    <xdr:sp macro="Macro1" textlink="">
      <xdr:nvSpPr>
        <xdr:cNvPr id="11" name="10 Rectángulo">
          <a:hlinkClick xmlns:r="http://schemas.openxmlformats.org/officeDocument/2006/relationships" r:id="rId7"/>
        </xdr:cNvPr>
        <xdr:cNvSpPr/>
      </xdr:nvSpPr>
      <xdr:spPr>
        <a:xfrm>
          <a:off x="8738633" y="3067936"/>
          <a:ext cx="1933354" cy="235243"/>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a:solidFill>
                <a:schemeClr val="lt1">
                  <a:lumMod val="100000"/>
                </a:schemeClr>
              </a:solidFill>
              <a:latin typeface="+mn-lt"/>
              <a:ea typeface="+mn-ea"/>
              <a:cs typeface="+mn-cs"/>
            </a:rPr>
            <a:t>DISEÑO TÉCNICO</a:t>
          </a:r>
        </a:p>
      </xdr:txBody>
    </xdr:sp>
    <xdr:clientData/>
  </xdr:twoCellAnchor>
  <mc:AlternateContent xmlns:mc="http://schemas.openxmlformats.org/markup-compatibility/2006">
    <mc:Choice xmlns:a14="http://schemas.microsoft.com/office/drawing/2010/main" Requires="a14">
      <xdr:twoCellAnchor editAs="oneCell">
        <xdr:from>
          <xdr:col>3</xdr:col>
          <xdr:colOff>901700</xdr:colOff>
          <xdr:row>35</xdr:row>
          <xdr:rowOff>25400</xdr:rowOff>
        </xdr:from>
        <xdr:to>
          <xdr:col>3</xdr:col>
          <xdr:colOff>1587500</xdr:colOff>
          <xdr:row>36</xdr:row>
          <xdr:rowOff>12700</xdr:rowOff>
        </xdr:to>
        <xdr:sp macro="" textlink="">
          <xdr:nvSpPr>
            <xdr:cNvPr id="1059" name="CommandButton1"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901700</xdr:colOff>
          <xdr:row>39</xdr:row>
          <xdr:rowOff>25400</xdr:rowOff>
        </xdr:from>
        <xdr:to>
          <xdr:col>3</xdr:col>
          <xdr:colOff>1587500</xdr:colOff>
          <xdr:row>40</xdr:row>
          <xdr:rowOff>12700</xdr:rowOff>
        </xdr:to>
        <xdr:sp macro="" textlink="">
          <xdr:nvSpPr>
            <xdr:cNvPr id="1062" name="CommandButton2"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450850</xdr:colOff>
          <xdr:row>47</xdr:row>
          <xdr:rowOff>31750</xdr:rowOff>
        </xdr:from>
        <xdr:to>
          <xdr:col>11</xdr:col>
          <xdr:colOff>603250</xdr:colOff>
          <xdr:row>47</xdr:row>
          <xdr:rowOff>165100</xdr:rowOff>
        </xdr:to>
        <xdr:sp macro="" textlink="">
          <xdr:nvSpPr>
            <xdr:cNvPr id="1070" name="CheckBox1"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450850</xdr:colOff>
          <xdr:row>48</xdr:row>
          <xdr:rowOff>38100</xdr:rowOff>
        </xdr:from>
        <xdr:to>
          <xdr:col>11</xdr:col>
          <xdr:colOff>603250</xdr:colOff>
          <xdr:row>48</xdr:row>
          <xdr:rowOff>171450</xdr:rowOff>
        </xdr:to>
        <xdr:sp macro="" textlink="">
          <xdr:nvSpPr>
            <xdr:cNvPr id="1077" name="CheckBox2"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450850</xdr:colOff>
          <xdr:row>49</xdr:row>
          <xdr:rowOff>31750</xdr:rowOff>
        </xdr:from>
        <xdr:to>
          <xdr:col>11</xdr:col>
          <xdr:colOff>603250</xdr:colOff>
          <xdr:row>49</xdr:row>
          <xdr:rowOff>165100</xdr:rowOff>
        </xdr:to>
        <xdr:sp macro="" textlink="">
          <xdr:nvSpPr>
            <xdr:cNvPr id="1079" name="CheckBox3"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450850</xdr:colOff>
          <xdr:row>50</xdr:row>
          <xdr:rowOff>38100</xdr:rowOff>
        </xdr:from>
        <xdr:to>
          <xdr:col>11</xdr:col>
          <xdr:colOff>603250</xdr:colOff>
          <xdr:row>50</xdr:row>
          <xdr:rowOff>171450</xdr:rowOff>
        </xdr:to>
        <xdr:sp macro="" textlink="">
          <xdr:nvSpPr>
            <xdr:cNvPr id="1080" name="CheckBox4" hidden="1">
              <a:extLst>
                <a:ext uri="{63B3BB69-23CF-44E3-9099-C40C66FF867C}">
                  <a14:compatExt spid="_x0000_s1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450850</xdr:colOff>
          <xdr:row>51</xdr:row>
          <xdr:rowOff>63500</xdr:rowOff>
        </xdr:from>
        <xdr:to>
          <xdr:col>11</xdr:col>
          <xdr:colOff>603250</xdr:colOff>
          <xdr:row>52</xdr:row>
          <xdr:rowOff>6350</xdr:rowOff>
        </xdr:to>
        <xdr:sp macro="" textlink="">
          <xdr:nvSpPr>
            <xdr:cNvPr id="1081" name="CheckBox5" hidden="1">
              <a:extLst>
                <a:ext uri="{63B3BB69-23CF-44E3-9099-C40C66FF867C}">
                  <a14:compatExt spid="_x0000_s1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450850</xdr:colOff>
          <xdr:row>52</xdr:row>
          <xdr:rowOff>38100</xdr:rowOff>
        </xdr:from>
        <xdr:to>
          <xdr:col>11</xdr:col>
          <xdr:colOff>603250</xdr:colOff>
          <xdr:row>52</xdr:row>
          <xdr:rowOff>171450</xdr:rowOff>
        </xdr:to>
        <xdr:sp macro="" textlink="">
          <xdr:nvSpPr>
            <xdr:cNvPr id="1082" name="CheckBox6"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450850</xdr:colOff>
          <xdr:row>53</xdr:row>
          <xdr:rowOff>63500</xdr:rowOff>
        </xdr:from>
        <xdr:to>
          <xdr:col>11</xdr:col>
          <xdr:colOff>603250</xdr:colOff>
          <xdr:row>54</xdr:row>
          <xdr:rowOff>6350</xdr:rowOff>
        </xdr:to>
        <xdr:sp macro="" textlink="">
          <xdr:nvSpPr>
            <xdr:cNvPr id="1083" name="CheckBox7" hidden="1">
              <a:extLst>
                <a:ext uri="{63B3BB69-23CF-44E3-9099-C40C66FF867C}">
                  <a14:compatExt spid="_x0000_s1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32</xdr:row>
          <xdr:rowOff>76200</xdr:rowOff>
        </xdr:from>
        <xdr:to>
          <xdr:col>2</xdr:col>
          <xdr:colOff>1073150</xdr:colOff>
          <xdr:row>32</xdr:row>
          <xdr:rowOff>361950</xdr:rowOff>
        </xdr:to>
        <xdr:sp macro="" textlink="">
          <xdr:nvSpPr>
            <xdr:cNvPr id="1085" name="CommandButton3" hidden="1">
              <a:extLst>
                <a:ext uri="{63B3BB69-23CF-44E3-9099-C40C66FF867C}">
                  <a14:compatExt spid="_x0000_s1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831850</xdr:colOff>
          <xdr:row>46</xdr:row>
          <xdr:rowOff>139700</xdr:rowOff>
        </xdr:from>
        <xdr:to>
          <xdr:col>11</xdr:col>
          <xdr:colOff>996950</xdr:colOff>
          <xdr:row>46</xdr:row>
          <xdr:rowOff>273050</xdr:rowOff>
        </xdr:to>
        <xdr:sp macro="" textlink="">
          <xdr:nvSpPr>
            <xdr:cNvPr id="1086" name="CheckBox8" hidden="1">
              <a:extLst>
                <a:ext uri="{63B3BB69-23CF-44E3-9099-C40C66FF867C}">
                  <a14:compatExt spid="_x0000_s1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56</xdr:row>
          <xdr:rowOff>63500</xdr:rowOff>
        </xdr:from>
        <xdr:to>
          <xdr:col>10</xdr:col>
          <xdr:colOff>1035050</xdr:colOff>
          <xdr:row>56</xdr:row>
          <xdr:rowOff>336550</xdr:rowOff>
        </xdr:to>
        <xdr:sp macro="" textlink="">
          <xdr:nvSpPr>
            <xdr:cNvPr id="1091" name="nfila" hidden="1">
              <a:extLst>
                <a:ext uri="{63B3BB69-23CF-44E3-9099-C40C66FF867C}">
                  <a14:compatExt spid="_x0000_s1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184150</xdr:colOff>
          <xdr:row>56</xdr:row>
          <xdr:rowOff>63500</xdr:rowOff>
        </xdr:from>
        <xdr:to>
          <xdr:col>11</xdr:col>
          <xdr:colOff>527050</xdr:colOff>
          <xdr:row>56</xdr:row>
          <xdr:rowOff>336550</xdr:rowOff>
        </xdr:to>
        <xdr:sp macro="" textlink="">
          <xdr:nvSpPr>
            <xdr:cNvPr id="1094" name="agregarFila"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596900</xdr:colOff>
          <xdr:row>56</xdr:row>
          <xdr:rowOff>63500</xdr:rowOff>
        </xdr:from>
        <xdr:to>
          <xdr:col>11</xdr:col>
          <xdr:colOff>939800</xdr:colOff>
          <xdr:row>56</xdr:row>
          <xdr:rowOff>349250</xdr:rowOff>
        </xdr:to>
        <xdr:sp macro="" textlink="">
          <xdr:nvSpPr>
            <xdr:cNvPr id="1095" name="eliminarFila"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177800</xdr:rowOff>
        </xdr:from>
        <xdr:to>
          <xdr:col>2</xdr:col>
          <xdr:colOff>1003300</xdr:colOff>
          <xdr:row>55</xdr:row>
          <xdr:rowOff>260350</xdr:rowOff>
        </xdr:to>
        <xdr:sp macro="" textlink="">
          <xdr:nvSpPr>
            <xdr:cNvPr id="1100" name="habilitarFormato" hidden="1">
              <a:extLst>
                <a:ext uri="{63B3BB69-23CF-44E3-9099-C40C66FF867C}">
                  <a14:compatExt spid="_x0000_s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1060450</xdr:colOff>
          <xdr:row>54</xdr:row>
          <xdr:rowOff>152400</xdr:rowOff>
        </xdr:from>
        <xdr:to>
          <xdr:col>3</xdr:col>
          <xdr:colOff>977900</xdr:colOff>
          <xdr:row>55</xdr:row>
          <xdr:rowOff>247650</xdr:rowOff>
        </xdr:to>
        <xdr:sp macro="" textlink="">
          <xdr:nvSpPr>
            <xdr:cNvPr id="1101" name="deshabilitarFormato" hidden="1">
              <a:extLst>
                <a:ext uri="{63B3BB69-23CF-44E3-9099-C40C66FF867C}">
                  <a14:compatExt spid="_x0000_s1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76200</xdr:rowOff>
        </xdr:from>
        <xdr:to>
          <xdr:col>2</xdr:col>
          <xdr:colOff>946150</xdr:colOff>
          <xdr:row>12</xdr:row>
          <xdr:rowOff>450850</xdr:rowOff>
        </xdr:to>
        <xdr:sp macro="" textlink="">
          <xdr:nvSpPr>
            <xdr:cNvPr id="1102" name="CommandButton4" hidden="1">
              <a:extLst>
                <a:ext uri="{63B3BB69-23CF-44E3-9099-C40C66FF867C}">
                  <a14:compatExt spid="_x0000_s1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25400</xdr:colOff>
          <xdr:row>46</xdr:row>
          <xdr:rowOff>292100</xdr:rowOff>
        </xdr:from>
        <xdr:to>
          <xdr:col>13</xdr:col>
          <xdr:colOff>12700</xdr:colOff>
          <xdr:row>47</xdr:row>
          <xdr:rowOff>101600</xdr:rowOff>
        </xdr:to>
        <xdr:sp macro="" textlink="">
          <xdr:nvSpPr>
            <xdr:cNvPr id="1103" name="CheckBox9" hidden="1">
              <a:extLst>
                <a:ext uri="{63B3BB69-23CF-44E3-9099-C40C66FF867C}">
                  <a14:compatExt spid="_x0000_s1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901700</xdr:colOff>
          <xdr:row>9</xdr:row>
          <xdr:rowOff>31750</xdr:rowOff>
        </xdr:from>
        <xdr:to>
          <xdr:col>6</xdr:col>
          <xdr:colOff>1136650</xdr:colOff>
          <xdr:row>10</xdr:row>
          <xdr:rowOff>25400</xdr:rowOff>
        </xdr:to>
        <xdr:sp macro="" textlink="">
          <xdr:nvSpPr>
            <xdr:cNvPr id="1110" name="Check Box 86" hidden="1">
              <a:extLst>
                <a:ext uri="{63B3BB69-23CF-44E3-9099-C40C66FF867C}">
                  <a14:compatExt spid="_x0000_s1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838200</xdr:colOff>
          <xdr:row>9</xdr:row>
          <xdr:rowOff>31750</xdr:rowOff>
        </xdr:from>
        <xdr:to>
          <xdr:col>7</xdr:col>
          <xdr:colOff>1092200</xdr:colOff>
          <xdr:row>10</xdr:row>
          <xdr:rowOff>25400</xdr:rowOff>
        </xdr:to>
        <xdr:sp macro="" textlink="">
          <xdr:nvSpPr>
            <xdr:cNvPr id="1111" name="Check Box 87" hidden="1">
              <a:extLst>
                <a:ext uri="{63B3BB69-23CF-44E3-9099-C40C66FF867C}">
                  <a14:compatExt spid="_x0000_s1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825500</xdr:colOff>
          <xdr:row>9</xdr:row>
          <xdr:rowOff>31750</xdr:rowOff>
        </xdr:from>
        <xdr:to>
          <xdr:col>8</xdr:col>
          <xdr:colOff>1054100</xdr:colOff>
          <xdr:row>10</xdr:row>
          <xdr:rowOff>25400</xdr:rowOff>
        </xdr:to>
        <xdr:sp macro="" textlink="">
          <xdr:nvSpPr>
            <xdr:cNvPr id="1112" name="Check Box 88" hidden="1">
              <a:extLst>
                <a:ext uri="{63B3BB69-23CF-44E3-9099-C40C66FF867C}">
                  <a14:compatExt spid="_x0000_s1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825500</xdr:colOff>
          <xdr:row>9</xdr:row>
          <xdr:rowOff>31750</xdr:rowOff>
        </xdr:from>
        <xdr:to>
          <xdr:col>9</xdr:col>
          <xdr:colOff>1054100</xdr:colOff>
          <xdr:row>10</xdr:row>
          <xdr:rowOff>25400</xdr:rowOff>
        </xdr:to>
        <xdr:sp macro="" textlink="">
          <xdr:nvSpPr>
            <xdr:cNvPr id="1113" name="Check Box 89" hidden="1">
              <a:extLst>
                <a:ext uri="{63B3BB69-23CF-44E3-9099-C40C66FF867C}">
                  <a14:compatExt spid="_x0000_s1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838200</xdr:colOff>
          <xdr:row>9</xdr:row>
          <xdr:rowOff>31750</xdr:rowOff>
        </xdr:from>
        <xdr:to>
          <xdr:col>10</xdr:col>
          <xdr:colOff>1092200</xdr:colOff>
          <xdr:row>10</xdr:row>
          <xdr:rowOff>25400</xdr:rowOff>
        </xdr:to>
        <xdr:sp macro="" textlink="">
          <xdr:nvSpPr>
            <xdr:cNvPr id="1114" name="Check Box 90" hidden="1">
              <a:extLst>
                <a:ext uri="{63B3BB69-23CF-44E3-9099-C40C66FF867C}">
                  <a14:compatExt spid="_x0000_s1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876300</xdr:colOff>
          <xdr:row>9</xdr:row>
          <xdr:rowOff>31750</xdr:rowOff>
        </xdr:from>
        <xdr:to>
          <xdr:col>12</xdr:col>
          <xdr:colOff>146050</xdr:colOff>
          <xdr:row>10</xdr:row>
          <xdr:rowOff>25400</xdr:rowOff>
        </xdr:to>
        <xdr:sp macro="" textlink="">
          <xdr:nvSpPr>
            <xdr:cNvPr id="1115" name="Check Box 91" hidden="1">
              <a:extLst>
                <a:ext uri="{63B3BB69-23CF-44E3-9099-C40C66FF867C}">
                  <a14:compatExt spid="_x0000_s1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63575</xdr:colOff>
      <xdr:row>1</xdr:row>
      <xdr:rowOff>57150</xdr:rowOff>
    </xdr:from>
    <xdr:to>
      <xdr:col>2</xdr:col>
      <xdr:colOff>628650</xdr:colOff>
      <xdr:row>2</xdr:row>
      <xdr:rowOff>323850</xdr:rowOff>
    </xdr:to>
    <xdr:pic>
      <xdr:nvPicPr>
        <xdr:cNvPr id="2"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9825" y="247650"/>
          <a:ext cx="106990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114300</xdr:colOff>
          <xdr:row>4</xdr:row>
          <xdr:rowOff>25400</xdr:rowOff>
        </xdr:from>
        <xdr:to>
          <xdr:col>8</xdr:col>
          <xdr:colOff>419100</xdr:colOff>
          <xdr:row>5</xdr:row>
          <xdr:rowOff>6350</xdr:rowOff>
        </xdr:to>
        <xdr:sp macro="" textlink="">
          <xdr:nvSpPr>
            <xdr:cNvPr id="2050" name="BtcNewSprint"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4</xdr:row>
          <xdr:rowOff>38100</xdr:rowOff>
        </xdr:from>
        <xdr:to>
          <xdr:col>5</xdr:col>
          <xdr:colOff>717550</xdr:colOff>
          <xdr:row>4</xdr:row>
          <xdr:rowOff>311150</xdr:rowOff>
        </xdr:to>
        <xdr:sp macro="" textlink="">
          <xdr:nvSpPr>
            <xdr:cNvPr id="2051" name="nFil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793750</xdr:colOff>
          <xdr:row>4</xdr:row>
          <xdr:rowOff>31750</xdr:rowOff>
        </xdr:from>
        <xdr:to>
          <xdr:col>6</xdr:col>
          <xdr:colOff>298450</xdr:colOff>
          <xdr:row>4</xdr:row>
          <xdr:rowOff>323850</xdr:rowOff>
        </xdr:to>
        <xdr:sp macro="" textlink="">
          <xdr:nvSpPr>
            <xdr:cNvPr id="2052" name="agregarFila"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4</xdr:row>
          <xdr:rowOff>31750</xdr:rowOff>
        </xdr:from>
        <xdr:to>
          <xdr:col>6</xdr:col>
          <xdr:colOff>781050</xdr:colOff>
          <xdr:row>4</xdr:row>
          <xdr:rowOff>317500</xdr:rowOff>
        </xdr:to>
        <xdr:sp macro="" textlink="">
          <xdr:nvSpPr>
            <xdr:cNvPr id="2053" name="eliminarFila"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4</xdr:row>
          <xdr:rowOff>0</xdr:rowOff>
        </xdr:from>
        <xdr:to>
          <xdr:col>9</xdr:col>
          <xdr:colOff>800100</xdr:colOff>
          <xdr:row>4</xdr:row>
          <xdr:rowOff>323850</xdr:rowOff>
        </xdr:to>
        <xdr:sp macro="" textlink="">
          <xdr:nvSpPr>
            <xdr:cNvPr id="2054" name="BtcDeleteSprint"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4</xdr:row>
          <xdr:rowOff>25400</xdr:rowOff>
        </xdr:from>
        <xdr:to>
          <xdr:col>2</xdr:col>
          <xdr:colOff>527050</xdr:colOff>
          <xdr:row>5</xdr:row>
          <xdr:rowOff>25400</xdr:rowOff>
        </xdr:to>
        <xdr:sp macro="" textlink="">
          <xdr:nvSpPr>
            <xdr:cNvPr id="2055" name="CommandButton1"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8</xdr:row>
          <xdr:rowOff>31750</xdr:rowOff>
        </xdr:from>
        <xdr:to>
          <xdr:col>8</xdr:col>
          <xdr:colOff>412750</xdr:colOff>
          <xdr:row>9</xdr:row>
          <xdr:rowOff>120650</xdr:rowOff>
        </xdr:to>
        <xdr:sp macro="" textlink="">
          <xdr:nvSpPr>
            <xdr:cNvPr id="2058" name="cmdHabilitarFormato"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527050</xdr:colOff>
          <xdr:row>8</xdr:row>
          <xdr:rowOff>25400</xdr:rowOff>
        </xdr:from>
        <xdr:to>
          <xdr:col>9</xdr:col>
          <xdr:colOff>806450</xdr:colOff>
          <xdr:row>9</xdr:row>
          <xdr:rowOff>127000</xdr:rowOff>
        </xdr:to>
        <xdr:sp macro="" textlink="">
          <xdr:nvSpPr>
            <xdr:cNvPr id="2059" name="cmdBloquearFormato"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654842</xdr:colOff>
      <xdr:row>7</xdr:row>
      <xdr:rowOff>250031</xdr:rowOff>
    </xdr:from>
    <xdr:to>
      <xdr:col>1</xdr:col>
      <xdr:colOff>904875</xdr:colOff>
      <xdr:row>8</xdr:row>
      <xdr:rowOff>261937</xdr:rowOff>
    </xdr:to>
    <xdr:sp macro="Macro1" textlink="">
      <xdr:nvSpPr>
        <xdr:cNvPr id="6" name="5 Rectángulo">
          <a:hlinkClick xmlns:r="http://schemas.openxmlformats.org/officeDocument/2006/relationships" r:id="rId1"/>
        </xdr:cNvPr>
        <xdr:cNvSpPr/>
      </xdr:nvSpPr>
      <xdr:spPr>
        <a:xfrm>
          <a:off x="654842" y="2107406"/>
          <a:ext cx="1774033" cy="297656"/>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GESTIÓN</a:t>
          </a:r>
          <a:r>
            <a:rPr lang="es-CO" sz="1000" b="1" baseline="0">
              <a:solidFill>
                <a:schemeClr val="lt1">
                  <a:lumMod val="100000"/>
                </a:schemeClr>
              </a:solidFill>
              <a:latin typeface="+mn-lt"/>
              <a:ea typeface="+mn-ea"/>
              <a:cs typeface="+mn-cs"/>
            </a:rPr>
            <a:t> DE INCIDENTES</a:t>
          </a:r>
          <a:endParaRPr lang="es-CO" sz="1000" b="0">
            <a:solidFill>
              <a:schemeClr val="lt1">
                <a:lumMod val="100000"/>
              </a:schemeClr>
            </a:solidFill>
            <a:latin typeface="+mn-lt"/>
            <a:ea typeface="+mn-ea"/>
            <a:cs typeface="+mn-cs"/>
          </a:endParaRPr>
        </a:p>
      </xdr:txBody>
    </xdr:sp>
    <xdr:clientData/>
  </xdr:twoCellAnchor>
  <xdr:twoCellAnchor>
    <xdr:from>
      <xdr:col>0</xdr:col>
      <xdr:colOff>97687</xdr:colOff>
      <xdr:row>0</xdr:row>
      <xdr:rowOff>39870</xdr:rowOff>
    </xdr:from>
    <xdr:to>
      <xdr:col>0</xdr:col>
      <xdr:colOff>1440656</xdr:colOff>
      <xdr:row>1</xdr:row>
      <xdr:rowOff>440531</xdr:rowOff>
    </xdr:to>
    <xdr:pic>
      <xdr:nvPicPr>
        <xdr:cNvPr id="9" name="Imagen 3" descr="Descripción: Descripción: Descripción: Descripción: Descripción: Descripción: Tuya"/>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87" y="39870"/>
          <a:ext cx="1342969" cy="662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1000125</xdr:colOff>
      <xdr:row>7</xdr:row>
      <xdr:rowOff>250031</xdr:rowOff>
    </xdr:from>
    <xdr:to>
      <xdr:col>3</xdr:col>
      <xdr:colOff>416720</xdr:colOff>
      <xdr:row>8</xdr:row>
      <xdr:rowOff>261937</xdr:rowOff>
    </xdr:to>
    <xdr:sp macro="Macro1" textlink="">
      <xdr:nvSpPr>
        <xdr:cNvPr id="7" name="6 Rectángulo">
          <a:hlinkClick xmlns:r="http://schemas.openxmlformats.org/officeDocument/2006/relationships" r:id="rId3"/>
        </xdr:cNvPr>
        <xdr:cNvSpPr/>
      </xdr:nvSpPr>
      <xdr:spPr>
        <a:xfrm>
          <a:off x="2524125" y="2107406"/>
          <a:ext cx="1774033" cy="297656"/>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AVANCE</a:t>
          </a:r>
          <a:endParaRPr lang="es-CO" sz="1000" b="0">
            <a:solidFill>
              <a:schemeClr val="lt1">
                <a:lumMod val="100000"/>
              </a:schemeClr>
            </a:solidFill>
            <a:latin typeface="+mn-lt"/>
            <a:ea typeface="+mn-ea"/>
            <a:cs typeface="+mn-cs"/>
          </a:endParaRPr>
        </a:p>
      </xdr:txBody>
    </xdr:sp>
    <xdr:clientData/>
  </xdr:twoCellAnchor>
  <xdr:twoCellAnchor>
    <xdr:from>
      <xdr:col>3</xdr:col>
      <xdr:colOff>523874</xdr:colOff>
      <xdr:row>7</xdr:row>
      <xdr:rowOff>250031</xdr:rowOff>
    </xdr:from>
    <xdr:to>
      <xdr:col>5</xdr:col>
      <xdr:colOff>238126</xdr:colOff>
      <xdr:row>8</xdr:row>
      <xdr:rowOff>261937</xdr:rowOff>
    </xdr:to>
    <xdr:sp macro="Macro1" textlink="">
      <xdr:nvSpPr>
        <xdr:cNvPr id="10" name="9 Rectángulo">
          <a:hlinkClick xmlns:r="http://schemas.openxmlformats.org/officeDocument/2006/relationships" r:id="rId3"/>
        </xdr:cNvPr>
        <xdr:cNvSpPr/>
      </xdr:nvSpPr>
      <xdr:spPr>
        <a:xfrm>
          <a:off x="4405312" y="2107406"/>
          <a:ext cx="1774033" cy="297656"/>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CARTA</a:t>
          </a:r>
          <a:r>
            <a:rPr lang="es-CO" sz="1000" b="1" baseline="0">
              <a:solidFill>
                <a:schemeClr val="lt1">
                  <a:lumMod val="100000"/>
                </a:schemeClr>
              </a:solidFill>
              <a:latin typeface="+mn-lt"/>
              <a:ea typeface="+mn-ea"/>
              <a:cs typeface="+mn-cs"/>
            </a:rPr>
            <a:t> DE CERTIFICACIÓN</a:t>
          </a:r>
          <a:endParaRPr lang="es-CO" sz="1000" b="0">
            <a:solidFill>
              <a:schemeClr val="lt1">
                <a:lumMod val="100000"/>
              </a:schemeClr>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126207</xdr:colOff>
      <xdr:row>3</xdr:row>
      <xdr:rowOff>4763</xdr:rowOff>
    </xdr:from>
    <xdr:to>
      <xdr:col>5</xdr:col>
      <xdr:colOff>1476375</xdr:colOff>
      <xdr:row>3</xdr:row>
      <xdr:rowOff>309563</xdr:rowOff>
    </xdr:to>
    <xdr:sp macro="[0]!Macro2" textlink="">
      <xdr:nvSpPr>
        <xdr:cNvPr id="2" name="1 Rectángulo">
          <a:hlinkClick xmlns:r="http://schemas.openxmlformats.org/officeDocument/2006/relationships" r:id="rId1"/>
        </xdr:cNvPr>
        <xdr:cNvSpPr/>
      </xdr:nvSpPr>
      <xdr:spPr>
        <a:xfrm>
          <a:off x="4007645" y="1088232"/>
          <a:ext cx="1350168" cy="3048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PLANEACIÓN</a:t>
          </a:r>
        </a:p>
      </xdr:txBody>
    </xdr:sp>
    <xdr:clientData/>
  </xdr:twoCellAnchor>
  <xdr:twoCellAnchor>
    <xdr:from>
      <xdr:col>5</xdr:col>
      <xdr:colOff>3267074</xdr:colOff>
      <xdr:row>3</xdr:row>
      <xdr:rowOff>7144</xdr:rowOff>
    </xdr:from>
    <xdr:to>
      <xdr:col>6</xdr:col>
      <xdr:colOff>690563</xdr:colOff>
      <xdr:row>3</xdr:row>
      <xdr:rowOff>309562</xdr:rowOff>
    </xdr:to>
    <xdr:sp macro="Macro1" textlink="">
      <xdr:nvSpPr>
        <xdr:cNvPr id="3" name="2 Rectángulo">
          <a:hlinkClick xmlns:r="http://schemas.openxmlformats.org/officeDocument/2006/relationships" r:id="rId2"/>
        </xdr:cNvPr>
        <xdr:cNvSpPr/>
      </xdr:nvSpPr>
      <xdr:spPr>
        <a:xfrm>
          <a:off x="7148512" y="1090613"/>
          <a:ext cx="864395" cy="302418"/>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EVIDENCIAS</a:t>
          </a:r>
        </a:p>
      </xdr:txBody>
    </xdr:sp>
    <xdr:clientData/>
  </xdr:twoCellAnchor>
  <xdr:twoCellAnchor>
    <xdr:from>
      <xdr:col>5</xdr:col>
      <xdr:colOff>1583530</xdr:colOff>
      <xdr:row>3</xdr:row>
      <xdr:rowOff>7142</xdr:rowOff>
    </xdr:from>
    <xdr:to>
      <xdr:col>5</xdr:col>
      <xdr:colOff>3155157</xdr:colOff>
      <xdr:row>3</xdr:row>
      <xdr:rowOff>309563</xdr:rowOff>
    </xdr:to>
    <xdr:sp macro="Macro1" textlink="">
      <xdr:nvSpPr>
        <xdr:cNvPr id="4" name="3 Rectángulo">
          <a:hlinkClick xmlns:r="http://schemas.openxmlformats.org/officeDocument/2006/relationships" r:id="rId3"/>
        </xdr:cNvPr>
        <xdr:cNvSpPr/>
      </xdr:nvSpPr>
      <xdr:spPr>
        <a:xfrm>
          <a:off x="5464968" y="1090611"/>
          <a:ext cx="1571627" cy="302421"/>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GESTIÓN</a:t>
          </a:r>
          <a:r>
            <a:rPr lang="es-CO" sz="1000" b="1" baseline="0">
              <a:solidFill>
                <a:schemeClr val="lt1">
                  <a:lumMod val="100000"/>
                </a:schemeClr>
              </a:solidFill>
              <a:latin typeface="+mn-lt"/>
              <a:ea typeface="+mn-ea"/>
              <a:cs typeface="+mn-cs"/>
            </a:rPr>
            <a:t> DE INCIDENTES</a:t>
          </a:r>
          <a:endParaRPr lang="es-CO" sz="1000" b="0">
            <a:solidFill>
              <a:schemeClr val="lt1">
                <a:lumMod val="100000"/>
              </a:schemeClr>
            </a:solidFill>
            <a:latin typeface="+mn-lt"/>
            <a:ea typeface="+mn-ea"/>
            <a:cs typeface="+mn-cs"/>
          </a:endParaRPr>
        </a:p>
      </xdr:txBody>
    </xdr:sp>
    <xdr:clientData/>
  </xdr:twoCellAnchor>
  <xdr:twoCellAnchor>
    <xdr:from>
      <xdr:col>6</xdr:col>
      <xdr:colOff>797719</xdr:colOff>
      <xdr:row>3</xdr:row>
      <xdr:rowOff>16669</xdr:rowOff>
    </xdr:from>
    <xdr:to>
      <xdr:col>6</xdr:col>
      <xdr:colOff>1662114</xdr:colOff>
      <xdr:row>3</xdr:row>
      <xdr:rowOff>309563</xdr:rowOff>
    </xdr:to>
    <xdr:sp macro="Macro1" textlink="">
      <xdr:nvSpPr>
        <xdr:cNvPr id="6" name="5 Rectángulo">
          <a:hlinkClick xmlns:r="http://schemas.openxmlformats.org/officeDocument/2006/relationships" r:id="rId4"/>
        </xdr:cNvPr>
        <xdr:cNvSpPr/>
      </xdr:nvSpPr>
      <xdr:spPr>
        <a:xfrm>
          <a:off x="8120063" y="1100138"/>
          <a:ext cx="864395" cy="292894"/>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DISEÑO</a:t>
          </a:r>
        </a:p>
      </xdr:txBody>
    </xdr:sp>
    <xdr:clientData/>
  </xdr:twoCellAnchor>
  <xdr:twoCellAnchor>
    <xdr:from>
      <xdr:col>1</xdr:col>
      <xdr:colOff>109594</xdr:colOff>
      <xdr:row>0</xdr:row>
      <xdr:rowOff>87496</xdr:rowOff>
    </xdr:from>
    <xdr:to>
      <xdr:col>1</xdr:col>
      <xdr:colOff>1381125</xdr:colOff>
      <xdr:row>1</xdr:row>
      <xdr:rowOff>416719</xdr:rowOff>
    </xdr:to>
    <xdr:pic>
      <xdr:nvPicPr>
        <xdr:cNvPr id="7" name="Imagen 3" descr="Descripción: Descripción: Descripción: Descripción: Descripción: Descripción: Tuya"/>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3907" y="87496"/>
          <a:ext cx="1271531" cy="7102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857250</xdr:colOff>
      <xdr:row>3</xdr:row>
      <xdr:rowOff>9525</xdr:rowOff>
    </xdr:from>
    <xdr:to>
      <xdr:col>2</xdr:col>
      <xdr:colOff>742950</xdr:colOff>
      <xdr:row>3</xdr:row>
      <xdr:rowOff>247650</xdr:rowOff>
    </xdr:to>
    <xdr:sp macro="Macro1" textlink="">
      <xdr:nvSpPr>
        <xdr:cNvPr id="2" name="1 Rectángulo">
          <a:hlinkClick xmlns:r="http://schemas.openxmlformats.org/officeDocument/2006/relationships" r:id="rId1"/>
        </xdr:cNvPr>
        <xdr:cNvSpPr/>
      </xdr:nvSpPr>
      <xdr:spPr>
        <a:xfrm>
          <a:off x="1104900" y="771525"/>
          <a:ext cx="952500" cy="2381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indent="0" algn="ctr"/>
          <a:r>
            <a:rPr lang="es-CO" sz="900">
              <a:solidFill>
                <a:schemeClr val="lt1">
                  <a:lumMod val="100000"/>
                </a:schemeClr>
              </a:solidFill>
              <a:latin typeface="+mn-lt"/>
              <a:ea typeface="+mn-ea"/>
              <a:cs typeface="+mn-cs"/>
            </a:rPr>
            <a:t>DISEÑO</a:t>
          </a:r>
        </a:p>
      </xdr:txBody>
    </xdr:sp>
    <xdr:clientData/>
  </xdr:twoCellAnchor>
  <xdr:twoCellAnchor>
    <xdr:from>
      <xdr:col>1</xdr:col>
      <xdr:colOff>97686</xdr:colOff>
      <xdr:row>0</xdr:row>
      <xdr:rowOff>39871</xdr:rowOff>
    </xdr:from>
    <xdr:to>
      <xdr:col>1</xdr:col>
      <xdr:colOff>981075</xdr:colOff>
      <xdr:row>1</xdr:row>
      <xdr:rowOff>219075</xdr:rowOff>
    </xdr:to>
    <xdr:pic>
      <xdr:nvPicPr>
        <xdr:cNvPr id="5" name="Imagen 3" descr="Descripción: Descripción: Descripción: Descripción: Descripción: Descripción: Tuya"/>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5336" y="39871"/>
          <a:ext cx="883389" cy="5030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66675</xdr:colOff>
      <xdr:row>3</xdr:row>
      <xdr:rowOff>9526</xdr:rowOff>
    </xdr:from>
    <xdr:to>
      <xdr:col>5</xdr:col>
      <xdr:colOff>866774</xdr:colOff>
      <xdr:row>3</xdr:row>
      <xdr:rowOff>257176</xdr:rowOff>
    </xdr:to>
    <xdr:sp macro="Macro1" textlink="">
      <xdr:nvSpPr>
        <xdr:cNvPr id="6" name="5 Rectángulo">
          <a:hlinkClick xmlns:r="http://schemas.openxmlformats.org/officeDocument/2006/relationships" r:id="rId3"/>
        </xdr:cNvPr>
        <xdr:cNvSpPr/>
      </xdr:nvSpPr>
      <xdr:spPr>
        <a:xfrm>
          <a:off x="3390900" y="771526"/>
          <a:ext cx="1600199" cy="24765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indent="0" algn="ctr"/>
          <a:r>
            <a:rPr lang="es-CO" sz="1000" b="0">
              <a:solidFill>
                <a:schemeClr val="lt1">
                  <a:lumMod val="100000"/>
                </a:schemeClr>
              </a:solidFill>
              <a:latin typeface="+mn-lt"/>
              <a:ea typeface="+mn-ea"/>
              <a:cs typeface="+mn-cs"/>
            </a:rPr>
            <a:t>CARTA</a:t>
          </a:r>
          <a:r>
            <a:rPr lang="es-CO" sz="1000" b="0" baseline="0">
              <a:solidFill>
                <a:schemeClr val="lt1">
                  <a:lumMod val="100000"/>
                </a:schemeClr>
              </a:solidFill>
              <a:latin typeface="+mn-lt"/>
              <a:ea typeface="+mn-ea"/>
              <a:cs typeface="+mn-cs"/>
            </a:rPr>
            <a:t> DE CERTIFICACIÓN</a:t>
          </a:r>
          <a:endParaRPr lang="es-CO" sz="1000" b="0">
            <a:solidFill>
              <a:schemeClr val="lt1">
                <a:lumMod val="100000"/>
              </a:schemeClr>
            </a:solidFill>
            <a:latin typeface="+mn-lt"/>
            <a:ea typeface="+mn-ea"/>
            <a:cs typeface="+mn-cs"/>
          </a:endParaRPr>
        </a:p>
      </xdr:txBody>
    </xdr:sp>
    <xdr:clientData/>
  </xdr:twoCellAnchor>
  <xdr:twoCellAnchor>
    <xdr:from>
      <xdr:col>2</xdr:col>
      <xdr:colOff>866774</xdr:colOff>
      <xdr:row>3</xdr:row>
      <xdr:rowOff>9525</xdr:rowOff>
    </xdr:from>
    <xdr:to>
      <xdr:col>3</xdr:col>
      <xdr:colOff>971550</xdr:colOff>
      <xdr:row>3</xdr:row>
      <xdr:rowOff>247650</xdr:rowOff>
    </xdr:to>
    <xdr:sp macro="Macro1" textlink="">
      <xdr:nvSpPr>
        <xdr:cNvPr id="7" name="6 Rectángulo">
          <a:hlinkClick xmlns:r="http://schemas.openxmlformats.org/officeDocument/2006/relationships" r:id="rId4"/>
        </xdr:cNvPr>
        <xdr:cNvSpPr/>
      </xdr:nvSpPr>
      <xdr:spPr>
        <a:xfrm>
          <a:off x="2181224" y="771525"/>
          <a:ext cx="1066801" cy="2381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indent="0" algn="ctr"/>
          <a:r>
            <a:rPr lang="es-CO" sz="900">
              <a:solidFill>
                <a:schemeClr val="lt1">
                  <a:lumMod val="100000"/>
                </a:schemeClr>
              </a:solidFill>
              <a:latin typeface="+mn-lt"/>
              <a:ea typeface="+mn-ea"/>
              <a:cs typeface="+mn-cs"/>
            </a:rPr>
            <a:t>AVANCE</a:t>
          </a:r>
        </a:p>
      </xdr:txBody>
    </xdr:sp>
    <xdr:clientData/>
  </xdr:twoCellAnchor>
  <xdr:twoCellAnchor>
    <xdr:from>
      <xdr:col>12</xdr:col>
      <xdr:colOff>895350</xdr:colOff>
      <xdr:row>3</xdr:row>
      <xdr:rowOff>1</xdr:rowOff>
    </xdr:from>
    <xdr:to>
      <xdr:col>12</xdr:col>
      <xdr:colOff>1571625</xdr:colOff>
      <xdr:row>4</xdr:row>
      <xdr:rowOff>28576</xdr:rowOff>
    </xdr:to>
    <xdr:sp macro="Macro1" textlink="">
      <xdr:nvSpPr>
        <xdr:cNvPr id="8" name="7 Rectángulo">
          <a:hlinkClick xmlns:r="http://schemas.openxmlformats.org/officeDocument/2006/relationships" r:id="rId4"/>
        </xdr:cNvPr>
        <xdr:cNvSpPr/>
      </xdr:nvSpPr>
      <xdr:spPr>
        <a:xfrm>
          <a:off x="4381500" y="904876"/>
          <a:ext cx="676275" cy="2286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indent="0" algn="ctr"/>
          <a:r>
            <a:rPr lang="es-CO" sz="1000" b="0">
              <a:solidFill>
                <a:schemeClr val="lt1">
                  <a:lumMod val="100000"/>
                </a:schemeClr>
              </a:solidFill>
              <a:latin typeface="+mn-lt"/>
              <a:ea typeface="+mn-ea"/>
              <a:cs typeface="+mn-cs"/>
            </a:rPr>
            <a:t>AVANCE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235320</xdr:colOff>
      <xdr:row>0</xdr:row>
      <xdr:rowOff>22410</xdr:rowOff>
    </xdr:from>
    <xdr:to>
      <xdr:col>3</xdr:col>
      <xdr:colOff>605118</xdr:colOff>
      <xdr:row>1</xdr:row>
      <xdr:rowOff>369794</xdr:rowOff>
    </xdr:to>
    <xdr:pic>
      <xdr:nvPicPr>
        <xdr:cNvPr id="2"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0145" y="22410"/>
          <a:ext cx="1408023" cy="699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524434</xdr:colOff>
      <xdr:row>2</xdr:row>
      <xdr:rowOff>100852</xdr:rowOff>
    </xdr:from>
    <xdr:to>
      <xdr:col>3</xdr:col>
      <xdr:colOff>514350</xdr:colOff>
      <xdr:row>3</xdr:row>
      <xdr:rowOff>123264</xdr:rowOff>
    </xdr:to>
    <xdr:sp macro="Macro1" textlink="">
      <xdr:nvSpPr>
        <xdr:cNvPr id="3" name="2 Rectángulo">
          <a:hlinkClick xmlns:r="http://schemas.openxmlformats.org/officeDocument/2006/relationships" r:id="rId2"/>
        </xdr:cNvPr>
        <xdr:cNvSpPr/>
      </xdr:nvSpPr>
      <xdr:spPr>
        <a:xfrm>
          <a:off x="1029259" y="872377"/>
          <a:ext cx="1028141" cy="241487"/>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indent="0" algn="ctr"/>
          <a:r>
            <a:rPr lang="es-CO" sz="1000" b="1">
              <a:solidFill>
                <a:schemeClr val="lt1">
                  <a:lumMod val="100000"/>
                </a:schemeClr>
              </a:solidFill>
              <a:latin typeface="+mn-lt"/>
              <a:ea typeface="+mn-ea"/>
              <a:cs typeface="+mn-cs"/>
            </a:rPr>
            <a:t>DISEÑO</a:t>
          </a:r>
        </a:p>
      </xdr:txBody>
    </xdr:sp>
    <xdr:clientData/>
  </xdr:twoCellAnchor>
  <xdr:twoCellAnchor>
    <xdr:from>
      <xdr:col>3</xdr:col>
      <xdr:colOff>627531</xdr:colOff>
      <xdr:row>2</xdr:row>
      <xdr:rowOff>100852</xdr:rowOff>
    </xdr:from>
    <xdr:to>
      <xdr:col>5</xdr:col>
      <xdr:colOff>563098</xdr:colOff>
      <xdr:row>3</xdr:row>
      <xdr:rowOff>134469</xdr:rowOff>
    </xdr:to>
    <xdr:sp macro="Macro1" textlink="">
      <xdr:nvSpPr>
        <xdr:cNvPr id="4" name="3 Rectángulo">
          <a:hlinkClick xmlns:r="http://schemas.openxmlformats.org/officeDocument/2006/relationships" r:id="rId3"/>
        </xdr:cNvPr>
        <xdr:cNvSpPr/>
      </xdr:nvSpPr>
      <xdr:spPr>
        <a:xfrm>
          <a:off x="2170581" y="872377"/>
          <a:ext cx="1573867" cy="25269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GESTIÓN</a:t>
          </a:r>
          <a:r>
            <a:rPr lang="es-CO" sz="1000" b="1" baseline="0">
              <a:solidFill>
                <a:schemeClr val="lt1">
                  <a:lumMod val="100000"/>
                </a:schemeClr>
              </a:solidFill>
              <a:latin typeface="+mn-lt"/>
              <a:ea typeface="+mn-ea"/>
              <a:cs typeface="+mn-cs"/>
            </a:rPr>
            <a:t> DE INCIDENTES</a:t>
          </a:r>
          <a:endParaRPr lang="es-CO" sz="1000" b="0">
            <a:solidFill>
              <a:schemeClr val="lt1">
                <a:lumMod val="100000"/>
              </a:schemeClr>
            </a:solidFill>
            <a:latin typeface="+mn-lt"/>
            <a:ea typeface="+mn-ea"/>
            <a:cs typeface="+mn-cs"/>
          </a:endParaRPr>
        </a:p>
      </xdr:txBody>
    </xdr:sp>
    <xdr:clientData/>
  </xdr:twoCellAnchor>
  <xdr:twoCellAnchor editAs="oneCell">
    <xdr:from>
      <xdr:col>35</xdr:col>
      <xdr:colOff>11206</xdr:colOff>
      <xdr:row>9</xdr:row>
      <xdr:rowOff>38122</xdr:rowOff>
    </xdr:from>
    <xdr:to>
      <xdr:col>36</xdr:col>
      <xdr:colOff>39202</xdr:colOff>
      <xdr:row>9</xdr:row>
      <xdr:rowOff>393884</xdr:rowOff>
    </xdr:to>
    <xdr:pic>
      <xdr:nvPicPr>
        <xdr:cNvPr id="5" name="4 Image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848794" y="2268093"/>
          <a:ext cx="1294261" cy="355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19329</xdr:colOff>
      <xdr:row>9</xdr:row>
      <xdr:rowOff>44823</xdr:rowOff>
    </xdr:from>
    <xdr:to>
      <xdr:col>38</xdr:col>
      <xdr:colOff>11205</xdr:colOff>
      <xdr:row>9</xdr:row>
      <xdr:rowOff>411062</xdr:rowOff>
    </xdr:to>
    <xdr:pic>
      <xdr:nvPicPr>
        <xdr:cNvPr id="6" name="5 Image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4952417" y="2274794"/>
          <a:ext cx="1168494" cy="366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2</xdr:colOff>
      <xdr:row>26</xdr:row>
      <xdr:rowOff>89611</xdr:rowOff>
    </xdr:from>
    <xdr:to>
      <xdr:col>24</xdr:col>
      <xdr:colOff>224118</xdr:colOff>
      <xdr:row>40</xdr:row>
      <xdr:rowOff>224117</xdr:rowOff>
    </xdr:to>
    <xdr:graphicFrame macro="">
      <xdr:nvGraphicFramePr>
        <xdr:cNvPr id="9" name="8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683557</xdr:colOff>
      <xdr:row>2</xdr:row>
      <xdr:rowOff>100853</xdr:rowOff>
    </xdr:from>
    <xdr:to>
      <xdr:col>8</xdr:col>
      <xdr:colOff>515470</xdr:colOff>
      <xdr:row>3</xdr:row>
      <xdr:rowOff>134470</xdr:rowOff>
    </xdr:to>
    <xdr:sp macro="Macro1" textlink="">
      <xdr:nvSpPr>
        <xdr:cNvPr id="15" name="14 Rectángulo">
          <a:hlinkClick xmlns:r="http://schemas.openxmlformats.org/officeDocument/2006/relationships" r:id="rId7"/>
        </xdr:cNvPr>
        <xdr:cNvSpPr/>
      </xdr:nvSpPr>
      <xdr:spPr>
        <a:xfrm>
          <a:off x="3864907" y="872378"/>
          <a:ext cx="1603563" cy="25269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CARTA</a:t>
          </a:r>
          <a:r>
            <a:rPr lang="es-CO" sz="1000" b="1" baseline="0">
              <a:solidFill>
                <a:schemeClr val="lt1">
                  <a:lumMod val="100000"/>
                </a:schemeClr>
              </a:solidFill>
              <a:latin typeface="+mn-lt"/>
              <a:ea typeface="+mn-ea"/>
              <a:cs typeface="+mn-cs"/>
            </a:rPr>
            <a:t> DE CERTIFICACIÓN</a:t>
          </a:r>
          <a:endParaRPr lang="es-CO" sz="1000" b="1">
            <a:solidFill>
              <a:schemeClr val="lt1">
                <a:lumMod val="100000"/>
              </a:schemeClr>
            </a:solidFill>
            <a:latin typeface="+mn-lt"/>
            <a:ea typeface="+mn-ea"/>
            <a:cs typeface="+mn-cs"/>
          </a:endParaRPr>
        </a:p>
      </xdr:txBody>
    </xdr:sp>
    <xdr:clientData/>
  </xdr:twoCellAnchor>
  <xdr:twoCellAnchor>
    <xdr:from>
      <xdr:col>25</xdr:col>
      <xdr:colOff>67235</xdr:colOff>
      <xdr:row>26</xdr:row>
      <xdr:rowOff>89647</xdr:rowOff>
    </xdr:from>
    <xdr:to>
      <xdr:col>33</xdr:col>
      <xdr:colOff>134471</xdr:colOff>
      <xdr:row>40</xdr:row>
      <xdr:rowOff>224117</xdr:rowOff>
    </xdr:to>
    <xdr:graphicFrame macro="">
      <xdr:nvGraphicFramePr>
        <xdr:cNvPr id="13" name="12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34</xdr:col>
      <xdr:colOff>100853</xdr:colOff>
      <xdr:row>26</xdr:row>
      <xdr:rowOff>78441</xdr:rowOff>
    </xdr:from>
    <xdr:to>
      <xdr:col>38</xdr:col>
      <xdr:colOff>806824</xdr:colOff>
      <xdr:row>40</xdr:row>
      <xdr:rowOff>212911</xdr:rowOff>
    </xdr:to>
    <xdr:graphicFrame macro="">
      <xdr:nvGraphicFramePr>
        <xdr:cNvPr id="14" name="13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228599</xdr:colOff>
      <xdr:row>3</xdr:row>
      <xdr:rowOff>133350</xdr:rowOff>
    </xdr:from>
    <xdr:to>
      <xdr:col>3</xdr:col>
      <xdr:colOff>257175</xdr:colOff>
      <xdr:row>4</xdr:row>
      <xdr:rowOff>152400</xdr:rowOff>
    </xdr:to>
    <xdr:sp macro="Macro1" textlink="">
      <xdr:nvSpPr>
        <xdr:cNvPr id="3" name="2 Rectángulo">
          <a:hlinkClick xmlns:r="http://schemas.openxmlformats.org/officeDocument/2006/relationships" r:id="rId1"/>
        </xdr:cNvPr>
        <xdr:cNvSpPr/>
      </xdr:nvSpPr>
      <xdr:spPr>
        <a:xfrm>
          <a:off x="1819274" y="895350"/>
          <a:ext cx="790576" cy="20955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900">
              <a:solidFill>
                <a:schemeClr val="lt1">
                  <a:lumMod val="100000"/>
                </a:schemeClr>
              </a:solidFill>
              <a:latin typeface="+mn-lt"/>
              <a:ea typeface="+mn-ea"/>
              <a:cs typeface="+mn-cs"/>
            </a:rPr>
            <a:t>DISEÑO</a:t>
          </a:r>
        </a:p>
      </xdr:txBody>
    </xdr:sp>
    <xdr:clientData/>
  </xdr:twoCellAnchor>
  <xdr:twoCellAnchor>
    <xdr:from>
      <xdr:col>1</xdr:col>
      <xdr:colOff>542924</xdr:colOff>
      <xdr:row>3</xdr:row>
      <xdr:rowOff>133350</xdr:rowOff>
    </xdr:from>
    <xdr:to>
      <xdr:col>2</xdr:col>
      <xdr:colOff>123825</xdr:colOff>
      <xdr:row>4</xdr:row>
      <xdr:rowOff>142875</xdr:rowOff>
    </xdr:to>
    <xdr:sp macro="[0]!Macro2" textlink="">
      <xdr:nvSpPr>
        <xdr:cNvPr id="4" name="3 Rectángulo">
          <a:hlinkClick xmlns:r="http://schemas.openxmlformats.org/officeDocument/2006/relationships" r:id="rId2"/>
        </xdr:cNvPr>
        <xdr:cNvSpPr/>
      </xdr:nvSpPr>
      <xdr:spPr>
        <a:xfrm>
          <a:off x="876299" y="895350"/>
          <a:ext cx="838201" cy="2000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900">
              <a:solidFill>
                <a:schemeClr val="lt1">
                  <a:lumMod val="100000"/>
                </a:schemeClr>
              </a:solidFill>
              <a:latin typeface="+mn-lt"/>
              <a:ea typeface="+mn-ea"/>
              <a:cs typeface="+mn-cs"/>
            </a:rPr>
            <a:t>PLANEACIÓN</a:t>
          </a:r>
        </a:p>
      </xdr:txBody>
    </xdr:sp>
    <xdr:clientData/>
  </xdr:twoCellAnchor>
  <xdr:twoCellAnchor>
    <xdr:from>
      <xdr:col>2</xdr:col>
      <xdr:colOff>364387</xdr:colOff>
      <xdr:row>4</xdr:row>
      <xdr:rowOff>0</xdr:rowOff>
    </xdr:from>
    <xdr:to>
      <xdr:col>2</xdr:col>
      <xdr:colOff>1650261</xdr:colOff>
      <xdr:row>4</xdr:row>
      <xdr:rowOff>0</xdr:rowOff>
    </xdr:to>
    <xdr:pic>
      <xdr:nvPicPr>
        <xdr:cNvPr id="5" name="Imagen 3" descr="Descripción: Descripción: Descripción: Descripción: Descripción: Descripción: Tuya"/>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7837" y="39871"/>
          <a:ext cx="1285874" cy="6880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97687</xdr:colOff>
      <xdr:row>1</xdr:row>
      <xdr:rowOff>39871</xdr:rowOff>
    </xdr:from>
    <xdr:to>
      <xdr:col>1</xdr:col>
      <xdr:colOff>1123950</xdr:colOff>
      <xdr:row>2</xdr:row>
      <xdr:rowOff>232587</xdr:rowOff>
    </xdr:to>
    <xdr:pic>
      <xdr:nvPicPr>
        <xdr:cNvPr id="6" name="Imagen 3" descr="Descripción: Descripción: Descripción: Descripción: Descripción: Descripción: Tuya"/>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1062" y="39871"/>
          <a:ext cx="1026263" cy="659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361951</xdr:colOff>
      <xdr:row>3</xdr:row>
      <xdr:rowOff>133351</xdr:rowOff>
    </xdr:from>
    <xdr:to>
      <xdr:col>4</xdr:col>
      <xdr:colOff>695326</xdr:colOff>
      <xdr:row>4</xdr:row>
      <xdr:rowOff>161925</xdr:rowOff>
    </xdr:to>
    <xdr:sp macro="Macro1" textlink="">
      <xdr:nvSpPr>
        <xdr:cNvPr id="7" name="6 Rectángulo">
          <a:hlinkClick xmlns:r="http://schemas.openxmlformats.org/officeDocument/2006/relationships" r:id="rId4"/>
        </xdr:cNvPr>
        <xdr:cNvSpPr/>
      </xdr:nvSpPr>
      <xdr:spPr>
        <a:xfrm>
          <a:off x="2886076" y="895351"/>
          <a:ext cx="1581150" cy="219074"/>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indent="0" algn="ctr"/>
          <a:r>
            <a:rPr lang="es-CO" sz="1000" b="0">
              <a:solidFill>
                <a:schemeClr val="lt1">
                  <a:lumMod val="100000"/>
                </a:schemeClr>
              </a:solidFill>
              <a:latin typeface="+mn-lt"/>
              <a:ea typeface="+mn-ea"/>
              <a:cs typeface="+mn-cs"/>
            </a:rPr>
            <a:t>GESTIÓN</a:t>
          </a:r>
          <a:r>
            <a:rPr lang="es-CO" sz="1000" b="0" baseline="0">
              <a:solidFill>
                <a:schemeClr val="lt1">
                  <a:lumMod val="100000"/>
                </a:schemeClr>
              </a:solidFill>
              <a:latin typeface="+mn-lt"/>
              <a:ea typeface="+mn-ea"/>
              <a:cs typeface="+mn-cs"/>
            </a:rPr>
            <a:t> DE INCIDENTES</a:t>
          </a:r>
          <a:endParaRPr lang="es-CO" sz="1000" b="0">
            <a:solidFill>
              <a:schemeClr val="lt1">
                <a:lumMod val="100000"/>
              </a:schemeClr>
            </a:solidFill>
            <a:latin typeface="+mn-lt"/>
            <a:ea typeface="+mn-ea"/>
            <a:cs typeface="+mn-cs"/>
          </a:endParaRPr>
        </a:p>
      </xdr:txBody>
    </xdr:sp>
    <xdr:clientData/>
  </xdr:twoCellAnchor>
  <xdr:twoCellAnchor>
    <xdr:from>
      <xdr:col>4</xdr:col>
      <xdr:colOff>800100</xdr:colOff>
      <xdr:row>3</xdr:row>
      <xdr:rowOff>142874</xdr:rowOff>
    </xdr:from>
    <xdr:to>
      <xdr:col>5</xdr:col>
      <xdr:colOff>600075</xdr:colOff>
      <xdr:row>4</xdr:row>
      <xdr:rowOff>161925</xdr:rowOff>
    </xdr:to>
    <xdr:sp macro="Macro1" textlink="">
      <xdr:nvSpPr>
        <xdr:cNvPr id="8" name="7 Rectángulo">
          <a:hlinkClick xmlns:r="http://schemas.openxmlformats.org/officeDocument/2006/relationships" r:id="rId5"/>
        </xdr:cNvPr>
        <xdr:cNvSpPr/>
      </xdr:nvSpPr>
      <xdr:spPr>
        <a:xfrm>
          <a:off x="4572000" y="904874"/>
          <a:ext cx="733425" cy="209551"/>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900">
              <a:solidFill>
                <a:schemeClr val="lt1">
                  <a:lumMod val="100000"/>
                </a:schemeClr>
              </a:solidFill>
              <a:latin typeface="+mn-lt"/>
              <a:ea typeface="+mn-ea"/>
              <a:cs typeface="+mn-cs"/>
            </a:rPr>
            <a:t>AVANCE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235320</xdr:colOff>
      <xdr:row>0</xdr:row>
      <xdr:rowOff>22410</xdr:rowOff>
    </xdr:from>
    <xdr:to>
      <xdr:col>3</xdr:col>
      <xdr:colOff>605118</xdr:colOff>
      <xdr:row>1</xdr:row>
      <xdr:rowOff>369794</xdr:rowOff>
    </xdr:to>
    <xdr:pic>
      <xdr:nvPicPr>
        <xdr:cNvPr id="5"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9585" y="22410"/>
          <a:ext cx="1411945" cy="694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524434</xdr:colOff>
      <xdr:row>2</xdr:row>
      <xdr:rowOff>100852</xdr:rowOff>
    </xdr:from>
    <xdr:to>
      <xdr:col>3</xdr:col>
      <xdr:colOff>514350</xdr:colOff>
      <xdr:row>3</xdr:row>
      <xdr:rowOff>123264</xdr:rowOff>
    </xdr:to>
    <xdr:sp macro="Macro1" textlink="">
      <xdr:nvSpPr>
        <xdr:cNvPr id="10" name="9 Rectángulo">
          <a:hlinkClick xmlns:r="http://schemas.openxmlformats.org/officeDocument/2006/relationships" r:id="rId2"/>
        </xdr:cNvPr>
        <xdr:cNvSpPr/>
      </xdr:nvSpPr>
      <xdr:spPr>
        <a:xfrm>
          <a:off x="1028699" y="862852"/>
          <a:ext cx="1032063" cy="24653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indent="0" algn="ctr"/>
          <a:r>
            <a:rPr lang="es-CO" sz="1000" b="1">
              <a:solidFill>
                <a:schemeClr val="lt1">
                  <a:lumMod val="100000"/>
                </a:schemeClr>
              </a:solidFill>
              <a:latin typeface="+mn-lt"/>
              <a:ea typeface="+mn-ea"/>
              <a:cs typeface="+mn-cs"/>
            </a:rPr>
            <a:t>DISEÑO</a:t>
          </a:r>
        </a:p>
      </xdr:txBody>
    </xdr:sp>
    <xdr:clientData/>
  </xdr:twoCellAnchor>
  <xdr:twoCellAnchor>
    <xdr:from>
      <xdr:col>3</xdr:col>
      <xdr:colOff>627531</xdr:colOff>
      <xdr:row>2</xdr:row>
      <xdr:rowOff>100852</xdr:rowOff>
    </xdr:from>
    <xdr:to>
      <xdr:col>5</xdr:col>
      <xdr:colOff>563098</xdr:colOff>
      <xdr:row>3</xdr:row>
      <xdr:rowOff>134469</xdr:rowOff>
    </xdr:to>
    <xdr:sp macro="Macro1" textlink="">
      <xdr:nvSpPr>
        <xdr:cNvPr id="12" name="11 Rectángulo">
          <a:hlinkClick xmlns:r="http://schemas.openxmlformats.org/officeDocument/2006/relationships" r:id="rId3"/>
        </xdr:cNvPr>
        <xdr:cNvSpPr/>
      </xdr:nvSpPr>
      <xdr:spPr>
        <a:xfrm>
          <a:off x="2173943" y="862852"/>
          <a:ext cx="1571626" cy="25773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GESTIÓN</a:t>
          </a:r>
          <a:r>
            <a:rPr lang="es-CO" sz="1000" b="1" baseline="0">
              <a:solidFill>
                <a:schemeClr val="lt1">
                  <a:lumMod val="100000"/>
                </a:schemeClr>
              </a:solidFill>
              <a:latin typeface="+mn-lt"/>
              <a:ea typeface="+mn-ea"/>
              <a:cs typeface="+mn-cs"/>
            </a:rPr>
            <a:t> DE INCIDENTES</a:t>
          </a:r>
          <a:endParaRPr lang="es-CO" sz="1000" b="0">
            <a:solidFill>
              <a:schemeClr val="lt1">
                <a:lumMod val="100000"/>
              </a:schemeClr>
            </a:solidFill>
            <a:latin typeface="+mn-lt"/>
            <a:ea typeface="+mn-ea"/>
            <a:cs typeface="+mn-cs"/>
          </a:endParaRPr>
        </a:p>
      </xdr:txBody>
    </xdr:sp>
    <xdr:clientData/>
  </xdr:twoCellAnchor>
  <xdr:twoCellAnchor editAs="oneCell">
    <xdr:from>
      <xdr:col>36</xdr:col>
      <xdr:colOff>67236</xdr:colOff>
      <xdr:row>14</xdr:row>
      <xdr:rowOff>123264</xdr:rowOff>
    </xdr:from>
    <xdr:to>
      <xdr:col>37</xdr:col>
      <xdr:colOff>33617</xdr:colOff>
      <xdr:row>16</xdr:row>
      <xdr:rowOff>67237</xdr:rowOff>
    </xdr:to>
    <xdr:pic>
      <xdr:nvPicPr>
        <xdr:cNvPr id="24" name="23 Image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3722854" y="3686735"/>
          <a:ext cx="1232645" cy="403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11207</xdr:colOff>
      <xdr:row>14</xdr:row>
      <xdr:rowOff>123264</xdr:rowOff>
    </xdr:from>
    <xdr:to>
      <xdr:col>39</xdr:col>
      <xdr:colOff>22414</xdr:colOff>
      <xdr:row>16</xdr:row>
      <xdr:rowOff>89646</xdr:rowOff>
    </xdr:to>
    <xdr:pic>
      <xdr:nvPicPr>
        <xdr:cNvPr id="25" name="24 Image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5762325" y="3686735"/>
          <a:ext cx="1187824" cy="4258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xdr:colOff>
      <xdr:row>24</xdr:row>
      <xdr:rowOff>33618</xdr:rowOff>
    </xdr:from>
    <xdr:to>
      <xdr:col>25</xdr:col>
      <xdr:colOff>212912</xdr:colOff>
      <xdr:row>36</xdr:row>
      <xdr:rowOff>67235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459442</xdr:colOff>
      <xdr:row>24</xdr:row>
      <xdr:rowOff>33618</xdr:rowOff>
    </xdr:from>
    <xdr:to>
      <xdr:col>34</xdr:col>
      <xdr:colOff>0</xdr:colOff>
      <xdr:row>36</xdr:row>
      <xdr:rowOff>89647</xdr:rowOff>
    </xdr:to>
    <xdr:graphicFrame macro="">
      <xdr:nvGraphicFramePr>
        <xdr:cNvPr id="13" name="12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xdr:colOff>
      <xdr:row>39</xdr:row>
      <xdr:rowOff>33619</xdr:rowOff>
    </xdr:from>
    <xdr:to>
      <xdr:col>25</xdr:col>
      <xdr:colOff>224118</xdr:colOff>
      <xdr:row>51</xdr:row>
      <xdr:rowOff>56030</xdr:rowOff>
    </xdr:to>
    <xdr:graphicFrame macro="">
      <xdr:nvGraphicFramePr>
        <xdr:cNvPr id="17" name="16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11207</xdr:colOff>
      <xdr:row>39</xdr:row>
      <xdr:rowOff>56031</xdr:rowOff>
    </xdr:from>
    <xdr:to>
      <xdr:col>34</xdr:col>
      <xdr:colOff>0</xdr:colOff>
      <xdr:row>51</xdr:row>
      <xdr:rowOff>56029</xdr:rowOff>
    </xdr:to>
    <xdr:graphicFrame macro="">
      <xdr:nvGraphicFramePr>
        <xdr:cNvPr id="18" name="17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392208</xdr:colOff>
      <xdr:row>53</xdr:row>
      <xdr:rowOff>44824</xdr:rowOff>
    </xdr:from>
    <xdr:to>
      <xdr:col>25</xdr:col>
      <xdr:colOff>212912</xdr:colOff>
      <xdr:row>67</xdr:row>
      <xdr:rowOff>156882</xdr:rowOff>
    </xdr:to>
    <xdr:graphicFrame macro="">
      <xdr:nvGraphicFramePr>
        <xdr:cNvPr id="19" name="18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0</xdr:colOff>
      <xdr:row>71</xdr:row>
      <xdr:rowOff>56029</xdr:rowOff>
    </xdr:from>
    <xdr:to>
      <xdr:col>25</xdr:col>
      <xdr:colOff>201706</xdr:colOff>
      <xdr:row>83</xdr:row>
      <xdr:rowOff>32495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26</xdr:col>
      <xdr:colOff>1</xdr:colOff>
      <xdr:row>71</xdr:row>
      <xdr:rowOff>44824</xdr:rowOff>
    </xdr:from>
    <xdr:to>
      <xdr:col>34</xdr:col>
      <xdr:colOff>1</xdr:colOff>
      <xdr:row>83</xdr:row>
      <xdr:rowOff>21291</xdr:rowOff>
    </xdr:to>
    <xdr:graphicFrame macro="">
      <xdr:nvGraphicFramePr>
        <xdr:cNvPr id="16" name="15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34</xdr:col>
      <xdr:colOff>324971</xdr:colOff>
      <xdr:row>23</xdr:row>
      <xdr:rowOff>158002</xdr:rowOff>
    </xdr:from>
    <xdr:to>
      <xdr:col>40</xdr:col>
      <xdr:colOff>1</xdr:colOff>
      <xdr:row>36</xdr:row>
      <xdr:rowOff>89647</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683557</xdr:colOff>
      <xdr:row>2</xdr:row>
      <xdr:rowOff>100853</xdr:rowOff>
    </xdr:from>
    <xdr:to>
      <xdr:col>8</xdr:col>
      <xdr:colOff>515470</xdr:colOff>
      <xdr:row>3</xdr:row>
      <xdr:rowOff>134470</xdr:rowOff>
    </xdr:to>
    <xdr:sp macro="Macro1" textlink="">
      <xdr:nvSpPr>
        <xdr:cNvPr id="20" name="19 Rectángulo">
          <a:hlinkClick xmlns:r="http://schemas.openxmlformats.org/officeDocument/2006/relationships" r:id="rId14"/>
        </xdr:cNvPr>
        <xdr:cNvSpPr/>
      </xdr:nvSpPr>
      <xdr:spPr>
        <a:xfrm>
          <a:off x="3866028" y="862853"/>
          <a:ext cx="1602442" cy="25773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indent="0" algn="ctr"/>
          <a:r>
            <a:rPr lang="es-CO" sz="1000" b="1">
              <a:solidFill>
                <a:schemeClr val="lt1">
                  <a:lumMod val="100000"/>
                </a:schemeClr>
              </a:solidFill>
              <a:latin typeface="+mn-lt"/>
              <a:ea typeface="+mn-ea"/>
              <a:cs typeface="+mn-cs"/>
            </a:rPr>
            <a:t>CARTA</a:t>
          </a:r>
          <a:r>
            <a:rPr lang="es-CO" sz="1000" b="1" baseline="0">
              <a:solidFill>
                <a:schemeClr val="lt1">
                  <a:lumMod val="100000"/>
                </a:schemeClr>
              </a:solidFill>
              <a:latin typeface="+mn-lt"/>
              <a:ea typeface="+mn-ea"/>
              <a:cs typeface="+mn-cs"/>
            </a:rPr>
            <a:t> DE CERTIFICACIÓN</a:t>
          </a:r>
          <a:endParaRPr lang="es-CO" sz="1000" b="1">
            <a:solidFill>
              <a:schemeClr val="lt1">
                <a:lumMod val="100000"/>
              </a:schemeClr>
            </a:solidFill>
            <a:latin typeface="+mn-lt"/>
            <a:ea typeface="+mn-ea"/>
            <a:cs typeface="+mn-cs"/>
          </a:endParaRPr>
        </a:p>
      </xdr:txBody>
    </xdr:sp>
    <xdr:clientData/>
  </xdr:twoCellAnchor>
  <xdr:twoCellAnchor>
    <xdr:from>
      <xdr:col>26</xdr:col>
      <xdr:colOff>11206</xdr:colOff>
      <xdr:row>53</xdr:row>
      <xdr:rowOff>56029</xdr:rowOff>
    </xdr:from>
    <xdr:to>
      <xdr:col>34</xdr:col>
      <xdr:colOff>0</xdr:colOff>
      <xdr:row>67</xdr:row>
      <xdr:rowOff>168086</xdr:rowOff>
    </xdr:to>
    <xdr:graphicFrame macro="">
      <xdr:nvGraphicFramePr>
        <xdr:cNvPr id="22" name="2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34</xdr:col>
      <xdr:colOff>324969</xdr:colOff>
      <xdr:row>39</xdr:row>
      <xdr:rowOff>56030</xdr:rowOff>
    </xdr:from>
    <xdr:to>
      <xdr:col>39</xdr:col>
      <xdr:colOff>829234</xdr:colOff>
      <xdr:row>51</xdr:row>
      <xdr:rowOff>67235</xdr:rowOff>
    </xdr:to>
    <xdr:graphicFrame macro="">
      <xdr:nvGraphicFramePr>
        <xdr:cNvPr id="21" name="20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76201</xdr:colOff>
      <xdr:row>1</xdr:row>
      <xdr:rowOff>57149</xdr:rowOff>
    </xdr:from>
    <xdr:to>
      <xdr:col>1</xdr:col>
      <xdr:colOff>952500</xdr:colOff>
      <xdr:row>2</xdr:row>
      <xdr:rowOff>333375</xdr:rowOff>
    </xdr:to>
    <xdr:pic>
      <xdr:nvPicPr>
        <xdr:cNvPr id="3"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6" y="209549"/>
          <a:ext cx="876299" cy="6096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25400</xdr:colOff>
          <xdr:row>0</xdr:row>
          <xdr:rowOff>101600</xdr:rowOff>
        </xdr:from>
        <xdr:to>
          <xdr:col>12</xdr:col>
          <xdr:colOff>330200</xdr:colOff>
          <xdr:row>1</xdr:row>
          <xdr:rowOff>241300</xdr:rowOff>
        </xdr:to>
        <xdr:sp macro="" textlink="">
          <xdr:nvSpPr>
            <xdr:cNvPr id="8193" name="CommandButton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50061</xdr:colOff>
      <xdr:row>1</xdr:row>
      <xdr:rowOff>58921</xdr:rowOff>
    </xdr:from>
    <xdr:to>
      <xdr:col>2</xdr:col>
      <xdr:colOff>390525</xdr:colOff>
      <xdr:row>2</xdr:row>
      <xdr:rowOff>257175</xdr:rowOff>
    </xdr:to>
    <xdr:pic>
      <xdr:nvPicPr>
        <xdr:cNvPr id="2"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511" y="163696"/>
          <a:ext cx="816714" cy="550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25400</xdr:rowOff>
        </xdr:from>
        <xdr:to>
          <xdr:col>2</xdr:col>
          <xdr:colOff>228600</xdr:colOff>
          <xdr:row>4</xdr:row>
          <xdr:rowOff>349250</xdr:rowOff>
        </xdr:to>
        <xdr:sp macro="" textlink="">
          <xdr:nvSpPr>
            <xdr:cNvPr id="10241" name="CommandButton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34999</xdr:colOff>
      <xdr:row>1</xdr:row>
      <xdr:rowOff>57370</xdr:rowOff>
    </xdr:from>
    <xdr:to>
      <xdr:col>2</xdr:col>
      <xdr:colOff>619125</xdr:colOff>
      <xdr:row>2</xdr:row>
      <xdr:rowOff>285750</xdr:rowOff>
    </xdr:to>
    <xdr:pic>
      <xdr:nvPicPr>
        <xdr:cNvPr id="2"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8374" y="162145"/>
          <a:ext cx="1022276" cy="561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50062</xdr:colOff>
      <xdr:row>1</xdr:row>
      <xdr:rowOff>68446</xdr:rowOff>
    </xdr:from>
    <xdr:to>
      <xdr:col>1</xdr:col>
      <xdr:colOff>1038225</xdr:colOff>
      <xdr:row>2</xdr:row>
      <xdr:rowOff>261162</xdr:rowOff>
    </xdr:to>
    <xdr:pic>
      <xdr:nvPicPr>
        <xdr:cNvPr id="2"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437" y="258946"/>
          <a:ext cx="988163" cy="5832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76200</xdr:colOff>
          <xdr:row>5</xdr:row>
          <xdr:rowOff>25400</xdr:rowOff>
        </xdr:from>
        <xdr:to>
          <xdr:col>6</xdr:col>
          <xdr:colOff>25400</xdr:colOff>
          <xdr:row>5</xdr:row>
          <xdr:rowOff>177800</xdr:rowOff>
        </xdr:to>
        <xdr:sp macro="" textlink="">
          <xdr:nvSpPr>
            <xdr:cNvPr id="14338" name="Check Box 2" hidden="1">
              <a:extLst>
                <a:ext uri="{63B3BB69-23CF-44E3-9099-C40C66FF867C}">
                  <a14:compatExt spid="_x0000_s14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s-CO" sz="800" b="0" i="0" u="none" strike="noStrike" baseline="0">
                  <a:solidFill>
                    <a:srgbClr val="000000"/>
                  </a:solidFill>
                  <a:latin typeface="Tahoma"/>
                  <a:ea typeface="Tahoma"/>
                  <a:cs typeface="Tahoma"/>
                </a:rPr>
                <a:t> AS400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5</xdr:row>
          <xdr:rowOff>25400</xdr:rowOff>
        </xdr:from>
        <xdr:to>
          <xdr:col>6</xdr:col>
          <xdr:colOff>711200</xdr:colOff>
          <xdr:row>5</xdr:row>
          <xdr:rowOff>177800</xdr:rowOff>
        </xdr:to>
        <xdr:sp macro="" textlink="">
          <xdr:nvSpPr>
            <xdr:cNvPr id="14339" name="Check Box 3" hidden="1">
              <a:extLst>
                <a:ext uri="{63B3BB69-23CF-44E3-9099-C40C66FF867C}">
                  <a14:compatExt spid="_x0000_s14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s-CO" sz="800" b="0" i="0" u="none" strike="noStrike" baseline="0">
                  <a:solidFill>
                    <a:srgbClr val="000000"/>
                  </a:solidFill>
                  <a:latin typeface="Tahoma"/>
                  <a:ea typeface="Tahoma"/>
                  <a:cs typeface="Tahoma"/>
                </a:rPr>
                <a:t> X86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6</xdr:row>
          <xdr:rowOff>31750</xdr:rowOff>
        </xdr:from>
        <xdr:to>
          <xdr:col>6</xdr:col>
          <xdr:colOff>25400</xdr:colOff>
          <xdr:row>6</xdr:row>
          <xdr:rowOff>177800</xdr:rowOff>
        </xdr:to>
        <xdr:sp macro="" textlink="">
          <xdr:nvSpPr>
            <xdr:cNvPr id="14340" name="Check Box 4" hidden="1">
              <a:extLst>
                <a:ext uri="{63B3BB69-23CF-44E3-9099-C40C66FF867C}">
                  <a14:compatExt spid="_x0000_s14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s-CO" sz="800" b="0" i="0" u="none" strike="noStrike" baseline="0">
                  <a:solidFill>
                    <a:srgbClr val="000000"/>
                  </a:solidFill>
                  <a:latin typeface="Tahoma"/>
                  <a:ea typeface="Tahoma"/>
                  <a:cs typeface="Tahoma"/>
                </a:rPr>
                <a:t> OTROS</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168349</xdr:colOff>
      <xdr:row>1</xdr:row>
      <xdr:rowOff>95469</xdr:rowOff>
    </xdr:from>
    <xdr:to>
      <xdr:col>2</xdr:col>
      <xdr:colOff>819150</xdr:colOff>
      <xdr:row>2</xdr:row>
      <xdr:rowOff>314325</xdr:rowOff>
    </xdr:to>
    <xdr:pic>
      <xdr:nvPicPr>
        <xdr:cNvPr id="2" name="Imagen 3" descr="Descripción: Descripción: Descripción: Descripción: Descripción: Descripción: Tuya"/>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2674" y="200244"/>
          <a:ext cx="850826" cy="5236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107950</xdr:colOff>
          <xdr:row>29</xdr:row>
          <xdr:rowOff>101600</xdr:rowOff>
        </xdr:from>
        <xdr:to>
          <xdr:col>12</xdr:col>
          <xdr:colOff>127000</xdr:colOff>
          <xdr:row>31</xdr:row>
          <xdr:rowOff>44450</xdr:rowOff>
        </xdr:to>
        <xdr:sp macro="" textlink="">
          <xdr:nvSpPr>
            <xdr:cNvPr id="16392" name="Copiar"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xdr:colOff>
          <xdr:row>17</xdr:row>
          <xdr:rowOff>101600</xdr:rowOff>
        </xdr:from>
        <xdr:to>
          <xdr:col>2</xdr:col>
          <xdr:colOff>977900</xdr:colOff>
          <xdr:row>18</xdr:row>
          <xdr:rowOff>177800</xdr:rowOff>
        </xdr:to>
        <xdr:sp macro="" textlink="">
          <xdr:nvSpPr>
            <xdr:cNvPr id="16393" name="CommandButton1"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Elvis Mieles Guarin" refreshedDate="43841.878512615738" createdVersion="4" refreshedVersion="6" minRefreshableVersion="3" recordCount="974">
  <cacheSource type="worksheet">
    <worksheetSource ref="C10:E984" sheet="Diseño"/>
  </cacheSource>
  <cacheFields count="3">
    <cacheField name="Historia de Usuario / Requisito" numFmtId="0">
      <sharedItems containsNonDate="0" containsString="0" containsBlank="1"/>
    </cacheField>
    <cacheField name="Escenario" numFmtId="0">
      <sharedItems containsBlank="1" containsMixedTypes="1" containsNumber="1" containsInteger="1" minValue="1" maxValue="23" count="9">
        <s v="Hacer una peticion de conultar productos por Id"/>
        <s v="Hacer una peticion de productos franquiciados"/>
        <s v="Hacer una peticion de cosulta parametros"/>
        <s v="Hacer una peticion de consulta cupos tarjeta"/>
        <s v="Hacer una peticion de obtener informacion cliente"/>
        <m/>
        <n v="23" u="1"/>
        <n v="2" u="1"/>
        <n v="1" u="1"/>
      </sharedItems>
    </cacheField>
    <cacheField name="Nro Escenario" numFmtId="0">
      <sharedItems containsString="0" containsBlank="1" containsNumber="1" containsInteger="1" minValue="1" maxValue="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74">
  <r>
    <m/>
    <x v="0"/>
    <n v="1"/>
  </r>
  <r>
    <m/>
    <x v="1"/>
    <n v="3"/>
  </r>
  <r>
    <m/>
    <x v="2"/>
    <n v="4"/>
  </r>
  <r>
    <m/>
    <x v="3"/>
    <n v="5"/>
  </r>
  <r>
    <m/>
    <x v="4"/>
    <n v="6"/>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r>
    <m/>
    <x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3"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location ref="D6:D12" firstHeaderRow="1" firstDataRow="1" firstDataCol="1"/>
  <pivotFields count="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x="5"/>
        <item m="1" x="7"/>
        <item m="1" x="8"/>
        <item m="1" x="6"/>
        <item x="0"/>
        <item x="1"/>
        <item x="2"/>
        <item x="3"/>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6">
    <i>
      <x/>
    </i>
    <i>
      <x v="4"/>
    </i>
    <i>
      <x v="5"/>
    </i>
    <i>
      <x v="6"/>
    </i>
    <i>
      <x v="7"/>
    </i>
    <i>
      <x v="8"/>
    </i>
  </rowItems>
  <colItems count="1">
    <i/>
  </colItems>
  <formats count="2">
    <format dxfId="20">
      <pivotArea type="all" dataOnly="0" outline="0" fieldPosition="0"/>
    </format>
    <format dxfId="19">
      <pivotArea type="all" dataOnly="0" outline="0" fieldPosition="0"/>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image" Target="../media/image6.emf"/><Relationship Id="rId34"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image" Target="../media/image4.emf"/><Relationship Id="rId25" Type="http://schemas.openxmlformats.org/officeDocument/2006/relationships/image" Target="../media/image8.emf"/><Relationship Id="rId33" Type="http://schemas.openxmlformats.org/officeDocument/2006/relationships/ctrlProp" Target="../ctrlProps/ctrlProp1.xml"/><Relationship Id="rId38"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0.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control" Target="../activeX/activeX9.xml"/><Relationship Id="rId23" Type="http://schemas.openxmlformats.org/officeDocument/2006/relationships/image" Target="../media/image7.emf"/><Relationship Id="rId28" Type="http://schemas.openxmlformats.org/officeDocument/2006/relationships/control" Target="../activeX/activeX16.xml"/><Relationship Id="rId36" Type="http://schemas.openxmlformats.org/officeDocument/2006/relationships/ctrlProp" Target="../ctrlProps/ctrlProp4.xml"/><Relationship Id="rId10" Type="http://schemas.openxmlformats.org/officeDocument/2006/relationships/control" Target="../activeX/activeX4.xml"/><Relationship Id="rId19" Type="http://schemas.openxmlformats.org/officeDocument/2006/relationships/image" Target="../media/image5.emf"/><Relationship Id="rId31"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8.xml"/><Relationship Id="rId22" Type="http://schemas.openxmlformats.org/officeDocument/2006/relationships/control" Target="../activeX/activeX13.xml"/><Relationship Id="rId27" Type="http://schemas.openxmlformats.org/officeDocument/2006/relationships/image" Target="../media/image9.emf"/><Relationship Id="rId30" Type="http://schemas.openxmlformats.org/officeDocument/2006/relationships/control" Target="../activeX/activeX17.xml"/><Relationship Id="rId35"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image" Target="../media/image17.emf"/><Relationship Id="rId18" Type="http://schemas.openxmlformats.org/officeDocument/2006/relationships/control" Target="../activeX/activeX26.xml"/><Relationship Id="rId3" Type="http://schemas.openxmlformats.org/officeDocument/2006/relationships/vmlDrawing" Target="../drawings/vmlDrawing2.vml"/><Relationship Id="rId7" Type="http://schemas.openxmlformats.org/officeDocument/2006/relationships/image" Target="../media/image14.emf"/><Relationship Id="rId12" Type="http://schemas.openxmlformats.org/officeDocument/2006/relationships/control" Target="../activeX/activeX23.xml"/><Relationship Id="rId17" Type="http://schemas.openxmlformats.org/officeDocument/2006/relationships/image" Target="../media/image19.emf"/><Relationship Id="rId2" Type="http://schemas.openxmlformats.org/officeDocument/2006/relationships/drawing" Target="../drawings/drawing2.xml"/><Relationship Id="rId16" Type="http://schemas.openxmlformats.org/officeDocument/2006/relationships/control" Target="../activeX/activeX25.xml"/><Relationship Id="rId1" Type="http://schemas.openxmlformats.org/officeDocument/2006/relationships/printerSettings" Target="../printerSettings/printerSettings3.bin"/><Relationship Id="rId6" Type="http://schemas.openxmlformats.org/officeDocument/2006/relationships/control" Target="../activeX/activeX20.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22.xml"/><Relationship Id="rId19" Type="http://schemas.openxmlformats.org/officeDocument/2006/relationships/image" Target="../media/image20.emf"/><Relationship Id="rId4" Type="http://schemas.openxmlformats.org/officeDocument/2006/relationships/control" Target="../activeX/activeX19.xml"/><Relationship Id="rId9" Type="http://schemas.openxmlformats.org/officeDocument/2006/relationships/image" Target="../media/image15.emf"/><Relationship Id="rId14" Type="http://schemas.openxmlformats.org/officeDocument/2006/relationships/control" Target="../activeX/activeX2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image" Target="../media/image23.emf"/><Relationship Id="rId4" Type="http://schemas.openxmlformats.org/officeDocument/2006/relationships/control" Target="../activeX/activeX2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pivotTable" Target="../pivotTables/pivotTable1.xml"/><Relationship Id="rId6" Type="http://schemas.openxmlformats.org/officeDocument/2006/relationships/image" Target="../media/image24.emf"/><Relationship Id="rId5" Type="http://schemas.openxmlformats.org/officeDocument/2006/relationships/control" Target="../activeX/activeX28.xml"/><Relationship Id="rId4"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29.xml"/><Relationship Id="rId7"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drawing" Target="../drawings/drawing13.xml"/><Relationship Id="rId6" Type="http://schemas.openxmlformats.org/officeDocument/2006/relationships/image" Target="../media/image26.emf"/><Relationship Id="rId5" Type="http://schemas.openxmlformats.org/officeDocument/2006/relationships/control" Target="../activeX/activeX30.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7"/>
  <sheetViews>
    <sheetView workbookViewId="0"/>
  </sheetViews>
  <sheetFormatPr defaultColWidth="11.453125" defaultRowHeight="14.5" x14ac:dyDescent="0.35"/>
  <cols>
    <col min="1" max="1" width="2.453125" style="27" customWidth="1"/>
    <col min="2" max="2" width="23.6328125" style="27" customWidth="1"/>
    <col min="3" max="3" width="21.453125" style="27" customWidth="1"/>
    <col min="4" max="4" width="2.6328125" style="27" customWidth="1"/>
    <col min="5" max="5" width="23.6328125" style="27" customWidth="1"/>
    <col min="6" max="6" width="21.6328125" style="27" customWidth="1"/>
    <col min="7" max="7" width="3.36328125" style="27" customWidth="1"/>
    <col min="8" max="9" width="11.453125" style="27"/>
    <col min="10" max="10" width="13" style="27" bestFit="1" customWidth="1"/>
    <col min="11" max="11" width="13.6328125" style="27" bestFit="1" customWidth="1"/>
    <col min="12" max="12" width="13.54296875" style="27" bestFit="1" customWidth="1"/>
    <col min="13" max="13" width="21.453125" style="27" bestFit="1" customWidth="1"/>
    <col min="14" max="16384" width="11.453125" style="27"/>
  </cols>
  <sheetData>
    <row r="1" spans="1:14" ht="7.5" customHeight="1" x14ac:dyDescent="0.35">
      <c r="B1" s="28"/>
      <c r="C1" s="28"/>
      <c r="E1" s="28"/>
      <c r="F1" s="28"/>
      <c r="H1" s="28"/>
      <c r="I1" s="28"/>
      <c r="J1" s="28"/>
      <c r="K1" s="28"/>
      <c r="L1" s="28"/>
      <c r="M1" s="28"/>
    </row>
    <row r="2" spans="1:14" ht="18" customHeight="1" x14ac:dyDescent="0.35">
      <c r="A2" s="29"/>
      <c r="B2" s="355" t="s">
        <v>731</v>
      </c>
      <c r="C2" s="355"/>
      <c r="D2" s="160"/>
      <c r="E2" s="355" t="s">
        <v>509</v>
      </c>
      <c r="F2" s="355"/>
      <c r="G2" s="160"/>
      <c r="H2" s="355" t="s">
        <v>109</v>
      </c>
      <c r="I2" s="355"/>
      <c r="J2" s="355"/>
      <c r="K2" s="355"/>
      <c r="L2" s="355"/>
      <c r="M2" s="355"/>
      <c r="N2" s="30"/>
    </row>
    <row r="3" spans="1:14" x14ac:dyDescent="0.35">
      <c r="A3" s="29"/>
      <c r="B3" s="243" t="s">
        <v>23</v>
      </c>
      <c r="C3" s="243" t="s">
        <v>733</v>
      </c>
      <c r="D3" s="160"/>
      <c r="E3" s="243" t="s">
        <v>23</v>
      </c>
      <c r="F3" s="243" t="s">
        <v>733</v>
      </c>
      <c r="G3" s="160"/>
      <c r="H3" s="243" t="s">
        <v>23</v>
      </c>
      <c r="I3" s="243" t="s">
        <v>105</v>
      </c>
      <c r="J3" s="243" t="s">
        <v>106</v>
      </c>
      <c r="K3" s="243" t="s">
        <v>107</v>
      </c>
      <c r="L3" s="243" t="s">
        <v>108</v>
      </c>
      <c r="M3" s="243" t="s">
        <v>732</v>
      </c>
      <c r="N3" s="30"/>
    </row>
    <row r="4" spans="1:14" x14ac:dyDescent="0.35">
      <c r="A4" s="29"/>
      <c r="B4" s="244" t="s">
        <v>22</v>
      </c>
      <c r="C4" s="245">
        <v>30</v>
      </c>
      <c r="D4" s="160"/>
      <c r="E4" s="244" t="s">
        <v>22</v>
      </c>
      <c r="F4" s="245">
        <v>20</v>
      </c>
      <c r="G4" s="160"/>
      <c r="H4" s="244" t="s">
        <v>22</v>
      </c>
      <c r="I4" s="245">
        <v>15</v>
      </c>
      <c r="J4" s="245">
        <v>10</v>
      </c>
      <c r="K4" s="245">
        <v>6</v>
      </c>
      <c r="L4" s="245">
        <v>9</v>
      </c>
      <c r="M4" s="246">
        <f>SUM(I4:L4)</f>
        <v>40</v>
      </c>
      <c r="N4" s="30"/>
    </row>
    <row r="5" spans="1:14" x14ac:dyDescent="0.35">
      <c r="A5" s="29"/>
      <c r="B5" s="244" t="s">
        <v>21</v>
      </c>
      <c r="C5" s="245">
        <v>25</v>
      </c>
      <c r="D5" s="160"/>
      <c r="E5" s="244" t="s">
        <v>21</v>
      </c>
      <c r="F5" s="245">
        <v>15</v>
      </c>
      <c r="G5" s="160"/>
      <c r="H5" s="244" t="s">
        <v>21</v>
      </c>
      <c r="I5" s="245">
        <v>7</v>
      </c>
      <c r="J5" s="245">
        <v>7</v>
      </c>
      <c r="K5" s="245">
        <v>3</v>
      </c>
      <c r="L5" s="245">
        <v>8</v>
      </c>
      <c r="M5" s="246">
        <f>SUM(I5:L5)</f>
        <v>25</v>
      </c>
      <c r="N5" s="30"/>
    </row>
    <row r="6" spans="1:14" x14ac:dyDescent="0.35">
      <c r="A6" s="29"/>
      <c r="B6" s="244" t="s">
        <v>20</v>
      </c>
      <c r="C6" s="245">
        <v>20</v>
      </c>
      <c r="D6" s="160"/>
      <c r="E6" s="244" t="s">
        <v>20</v>
      </c>
      <c r="F6" s="245">
        <v>10</v>
      </c>
      <c r="G6" s="160"/>
      <c r="H6" s="244" t="s">
        <v>20</v>
      </c>
      <c r="I6" s="245">
        <v>5</v>
      </c>
      <c r="J6" s="245">
        <v>6</v>
      </c>
      <c r="K6" s="245">
        <v>2</v>
      </c>
      <c r="L6" s="245">
        <v>7</v>
      </c>
      <c r="M6" s="246">
        <f>SUM(I6:L6)</f>
        <v>20</v>
      </c>
      <c r="N6" s="30"/>
    </row>
    <row r="7" spans="1:14" x14ac:dyDescent="0.35">
      <c r="B7" s="31"/>
      <c r="C7" s="31"/>
      <c r="E7" s="31"/>
      <c r="F7" s="31"/>
      <c r="H7" s="31"/>
      <c r="I7" s="31"/>
      <c r="J7" s="31"/>
      <c r="K7" s="31"/>
      <c r="L7" s="31"/>
      <c r="M7" s="31"/>
    </row>
  </sheetData>
  <sheetProtection algorithmName="SHA-512" hashValue="aD3kUlc+Lmk2KgNMouVTxu8gYbTvm/CgOiGo6Abs5AeoWGFVbWYIQ7OohLcrk3n3UX7wb06YozlIrV1sdjEw5g==" saltValue="ONfQGdyUx0GBsg6Es/s6hA==" spinCount="100000" sheet="1" objects="1" scenarios="1"/>
  <mergeCells count="3">
    <mergeCell ref="E2:F2"/>
    <mergeCell ref="H2:M2"/>
    <mergeCell ref="B2:C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V90"/>
  <sheetViews>
    <sheetView zoomScale="86" zoomScaleNormal="86" workbookViewId="0"/>
  </sheetViews>
  <sheetFormatPr defaultColWidth="11.453125" defaultRowHeight="14.5" x14ac:dyDescent="0.35"/>
  <cols>
    <col min="1" max="1" width="7" style="32" customWidth="1"/>
    <col min="2" max="2" width="2.54296875" style="32" customWidth="1"/>
    <col min="3" max="3" width="19.453125" style="32" customWidth="1"/>
    <col min="4" max="4" width="23.54296875" style="32" customWidth="1"/>
    <col min="5" max="5" width="14.6328125" style="32" customWidth="1"/>
    <col min="6" max="6" width="11.36328125" style="32" customWidth="1"/>
    <col min="7" max="7" width="17.36328125" style="32" customWidth="1"/>
    <col min="8" max="8" width="16.36328125" style="32" customWidth="1"/>
    <col min="9" max="9" width="16" style="32" customWidth="1"/>
    <col min="10" max="10" width="15.6328125" style="32" customWidth="1"/>
    <col min="11" max="11" width="16.453125" style="32" customWidth="1"/>
    <col min="12" max="12" width="14.453125" style="32" customWidth="1"/>
    <col min="13" max="13" width="2.54296875" style="32" customWidth="1"/>
    <col min="14" max="16384" width="11.453125" style="32"/>
  </cols>
  <sheetData>
    <row r="1" spans="2:22" ht="39" customHeight="1" x14ac:dyDescent="0.35">
      <c r="B1" s="374"/>
      <c r="C1" s="374"/>
      <c r="D1" s="403" t="s">
        <v>690</v>
      </c>
      <c r="E1" s="403"/>
      <c r="F1" s="403"/>
      <c r="G1" s="403"/>
      <c r="H1" s="403"/>
      <c r="I1" s="403"/>
      <c r="J1" s="403"/>
      <c r="K1" s="401" t="s">
        <v>1545</v>
      </c>
      <c r="L1" s="401"/>
      <c r="M1" s="401"/>
      <c r="V1" s="32" t="s">
        <v>8</v>
      </c>
    </row>
    <row r="2" spans="2:22" ht="21" customHeight="1" x14ac:dyDescent="0.35">
      <c r="B2" s="374"/>
      <c r="C2" s="374"/>
      <c r="D2" s="403" t="s">
        <v>19</v>
      </c>
      <c r="E2" s="403"/>
      <c r="F2" s="403"/>
      <c r="G2" s="403"/>
      <c r="H2" s="403"/>
      <c r="I2" s="403"/>
      <c r="J2" s="403"/>
      <c r="K2" s="401"/>
      <c r="L2" s="401"/>
      <c r="M2" s="401"/>
      <c r="N2" s="33"/>
      <c r="O2" s="34"/>
      <c r="P2" s="394"/>
      <c r="Q2" s="394"/>
      <c r="R2" s="394"/>
      <c r="S2" s="394"/>
      <c r="V2" s="32" t="s">
        <v>11</v>
      </c>
    </row>
    <row r="3" spans="2:22" x14ac:dyDescent="0.35">
      <c r="V3" s="32" t="s">
        <v>12</v>
      </c>
    </row>
    <row r="4" spans="2:22" ht="15.75" customHeight="1" x14ac:dyDescent="0.35">
      <c r="B4" s="389" t="s">
        <v>16</v>
      </c>
      <c r="C4" s="389"/>
      <c r="D4" s="389"/>
      <c r="E4" s="389"/>
      <c r="F4" s="389"/>
      <c r="G4" s="398"/>
      <c r="H4" s="398"/>
      <c r="I4" s="398"/>
      <c r="J4" s="398"/>
      <c r="K4" s="398"/>
      <c r="L4" s="398"/>
      <c r="M4" s="398"/>
      <c r="N4" s="397"/>
      <c r="O4" s="397"/>
      <c r="V4" s="32" t="s">
        <v>10</v>
      </c>
    </row>
    <row r="5" spans="2:22" ht="15.75" customHeight="1" x14ac:dyDescent="0.35">
      <c r="B5" s="389" t="s">
        <v>858</v>
      </c>
      <c r="C5" s="389"/>
      <c r="D5" s="389"/>
      <c r="E5" s="389"/>
      <c r="F5" s="389"/>
      <c r="G5" s="398" t="s">
        <v>753</v>
      </c>
      <c r="H5" s="398"/>
      <c r="I5" s="398"/>
      <c r="J5" s="398"/>
      <c r="K5" s="398"/>
      <c r="L5" s="398"/>
      <c r="M5" s="398"/>
      <c r="N5" s="35"/>
      <c r="O5" s="35"/>
      <c r="V5" s="32" t="s">
        <v>9</v>
      </c>
    </row>
    <row r="6" spans="2:22" ht="15.75" customHeight="1" x14ac:dyDescent="0.35">
      <c r="B6" s="389" t="s">
        <v>857</v>
      </c>
      <c r="C6" s="389"/>
      <c r="D6" s="389"/>
      <c r="E6" s="389"/>
      <c r="F6" s="389"/>
      <c r="G6" s="399"/>
      <c r="H6" s="399"/>
      <c r="I6" s="399"/>
      <c r="J6" s="399"/>
      <c r="K6" s="399"/>
      <c r="L6" s="399"/>
      <c r="M6" s="399"/>
      <c r="N6" s="35"/>
      <c r="O6" s="35"/>
      <c r="V6" s="32" t="s">
        <v>138</v>
      </c>
    </row>
    <row r="7" spans="2:22" ht="15.75" customHeight="1" x14ac:dyDescent="0.35">
      <c r="B7" s="402" t="s">
        <v>67</v>
      </c>
      <c r="C7" s="402"/>
      <c r="D7" s="402"/>
      <c r="E7" s="402"/>
      <c r="F7" s="402"/>
      <c r="G7" s="400"/>
      <c r="H7" s="400"/>
      <c r="I7" s="400"/>
      <c r="J7" s="400"/>
      <c r="K7" s="400"/>
      <c r="L7" s="400"/>
      <c r="M7" s="400"/>
      <c r="N7" s="35"/>
      <c r="O7" s="35"/>
    </row>
    <row r="8" spans="2:22" ht="15.75" customHeight="1" x14ac:dyDescent="0.35">
      <c r="B8" s="402" t="s">
        <v>148</v>
      </c>
      <c r="C8" s="402"/>
      <c r="D8" s="402"/>
      <c r="E8" s="402"/>
      <c r="F8" s="402"/>
      <c r="G8" s="400"/>
      <c r="H8" s="400"/>
      <c r="I8" s="400"/>
      <c r="J8" s="400"/>
      <c r="K8" s="400"/>
      <c r="L8" s="400"/>
      <c r="M8" s="400"/>
      <c r="N8" s="35"/>
      <c r="O8" s="35"/>
    </row>
    <row r="9" spans="2:22" ht="15.75" customHeight="1" x14ac:dyDescent="0.35">
      <c r="B9" s="389" t="s">
        <v>15</v>
      </c>
      <c r="C9" s="389"/>
      <c r="D9" s="389"/>
      <c r="E9" s="389"/>
      <c r="F9" s="389"/>
      <c r="G9" s="395"/>
      <c r="H9" s="395"/>
      <c r="I9" s="395"/>
      <c r="J9" s="395"/>
      <c r="K9" s="395"/>
      <c r="L9" s="395"/>
      <c r="M9" s="395"/>
      <c r="N9" s="35"/>
      <c r="O9" s="35"/>
    </row>
    <row r="10" spans="2:22" ht="19.5" customHeight="1" x14ac:dyDescent="0.35">
      <c r="B10" s="389" t="s">
        <v>1511</v>
      </c>
      <c r="C10" s="389"/>
      <c r="D10" s="389"/>
      <c r="E10" s="389"/>
      <c r="F10" s="393"/>
      <c r="G10" s="280" t="s">
        <v>1512</v>
      </c>
      <c r="H10" s="280" t="s">
        <v>1515</v>
      </c>
      <c r="I10" s="280" t="s">
        <v>145</v>
      </c>
      <c r="J10" s="280" t="s">
        <v>1513</v>
      </c>
      <c r="K10" s="280" t="s">
        <v>1514</v>
      </c>
      <c r="L10" s="400" t="s">
        <v>141</v>
      </c>
      <c r="M10" s="400"/>
      <c r="N10" s="35"/>
      <c r="O10" s="35"/>
    </row>
    <row r="11" spans="2:22" x14ac:dyDescent="0.35">
      <c r="B11" s="389" t="s">
        <v>158</v>
      </c>
      <c r="C11" s="389"/>
      <c r="D11" s="389"/>
      <c r="E11" s="389"/>
      <c r="F11" s="389"/>
      <c r="G11" s="281">
        <v>1</v>
      </c>
      <c r="H11" s="390" t="str">
        <f>Param_General!AO4</f>
        <v>Proveedor 1x</v>
      </c>
      <c r="I11" s="390"/>
      <c r="J11" s="281">
        <v>2</v>
      </c>
      <c r="K11" s="390" t="str">
        <f>Param_General!AO5</f>
        <v>Proveedor 2x</v>
      </c>
      <c r="L11" s="390"/>
      <c r="M11" s="390"/>
      <c r="N11" s="35"/>
      <c r="O11" s="35"/>
    </row>
    <row r="12" spans="2:22" x14ac:dyDescent="0.35">
      <c r="B12" s="389"/>
      <c r="C12" s="389"/>
      <c r="D12" s="389"/>
      <c r="E12" s="389"/>
      <c r="F12" s="389"/>
      <c r="G12" s="259">
        <v>3</v>
      </c>
      <c r="H12" s="391" t="str">
        <f>Param_General!AO6</f>
        <v>Proveedor 3x</v>
      </c>
      <c r="I12" s="391"/>
      <c r="J12" s="259">
        <v>4</v>
      </c>
      <c r="K12" s="391">
        <f>Param_General!AO7</f>
        <v>0</v>
      </c>
      <c r="L12" s="391"/>
      <c r="M12" s="391"/>
      <c r="N12" s="35"/>
      <c r="O12" s="35"/>
    </row>
    <row r="13" spans="2:22" ht="43.5" customHeight="1" x14ac:dyDescent="0.35">
      <c r="K13" s="396" t="s">
        <v>5</v>
      </c>
      <c r="L13" s="396"/>
      <c r="M13" s="396"/>
    </row>
    <row r="14" spans="2:22" ht="15" customHeight="1" x14ac:dyDescent="0.35">
      <c r="B14" s="389" t="s">
        <v>855</v>
      </c>
      <c r="C14" s="389"/>
      <c r="D14" s="389"/>
      <c r="E14" s="250"/>
      <c r="F14" s="389" t="s">
        <v>859</v>
      </c>
      <c r="G14" s="389"/>
      <c r="H14" s="389"/>
      <c r="I14" s="251" t="s">
        <v>80</v>
      </c>
    </row>
    <row r="15" spans="2:22" ht="15" customHeight="1" x14ac:dyDescent="0.35">
      <c r="B15" s="389" t="s">
        <v>59</v>
      </c>
      <c r="C15" s="389"/>
      <c r="D15" s="389"/>
      <c r="E15" s="250" t="s">
        <v>61</v>
      </c>
      <c r="F15" s="389" t="s">
        <v>78</v>
      </c>
      <c r="G15" s="389"/>
      <c r="H15" s="389"/>
      <c r="I15" s="252"/>
    </row>
    <row r="16" spans="2:22" ht="15" customHeight="1" x14ac:dyDescent="0.35">
      <c r="B16" s="389" t="s">
        <v>581</v>
      </c>
      <c r="C16" s="389"/>
      <c r="D16" s="389"/>
      <c r="E16" s="253"/>
      <c r="F16" s="389" t="s">
        <v>77</v>
      </c>
      <c r="G16" s="389"/>
      <c r="H16" s="389"/>
      <c r="I16" s="251"/>
    </row>
    <row r="17" spans="2:13" ht="15" customHeight="1" x14ac:dyDescent="0.35">
      <c r="B17" s="389" t="s">
        <v>521</v>
      </c>
      <c r="C17" s="389"/>
      <c r="D17" s="389"/>
      <c r="E17" s="253"/>
      <c r="F17" s="389" t="s">
        <v>93</v>
      </c>
      <c r="G17" s="389"/>
      <c r="H17" s="389"/>
      <c r="I17" s="251"/>
    </row>
    <row r="18" spans="2:13" ht="15" customHeight="1" x14ac:dyDescent="0.35">
      <c r="B18" s="389" t="s">
        <v>544</v>
      </c>
      <c r="C18" s="389"/>
      <c r="D18" s="389"/>
      <c r="E18" s="253"/>
      <c r="F18" s="389" t="s">
        <v>76</v>
      </c>
      <c r="G18" s="389"/>
      <c r="H18" s="389"/>
      <c r="I18" s="251">
        <v>100</v>
      </c>
    </row>
    <row r="19" spans="2:13" ht="15" customHeight="1" x14ac:dyDescent="0.35">
      <c r="B19" s="389" t="s">
        <v>522</v>
      </c>
      <c r="C19" s="389"/>
      <c r="D19" s="389"/>
      <c r="E19" s="253"/>
      <c r="F19" s="389" t="s">
        <v>876</v>
      </c>
      <c r="G19" s="389"/>
      <c r="H19" s="389"/>
      <c r="I19" s="254"/>
    </row>
    <row r="20" spans="2:13" ht="15" customHeight="1" x14ac:dyDescent="0.35">
      <c r="B20" s="389" t="s">
        <v>862</v>
      </c>
      <c r="C20" s="389"/>
      <c r="D20" s="389"/>
      <c r="E20" s="253"/>
      <c r="F20" s="389" t="s">
        <v>780</v>
      </c>
      <c r="G20" s="389"/>
      <c r="H20" s="389"/>
      <c r="I20" s="255" t="s">
        <v>22</v>
      </c>
    </row>
    <row r="21" spans="2:13" ht="15" customHeight="1" x14ac:dyDescent="0.35">
      <c r="B21" s="389" t="s">
        <v>863</v>
      </c>
      <c r="C21" s="389"/>
      <c r="D21" s="389"/>
      <c r="E21" s="253"/>
      <c r="F21" s="389" t="s">
        <v>872</v>
      </c>
      <c r="G21" s="389"/>
      <c r="H21" s="389"/>
      <c r="I21" s="256">
        <f>COUNT(Diseño!E11:E885)</f>
        <v>5</v>
      </c>
    </row>
    <row r="22" spans="2:13" ht="15" customHeight="1" x14ac:dyDescent="0.35">
      <c r="B22" s="389" t="s">
        <v>734</v>
      </c>
      <c r="C22" s="389"/>
      <c r="D22" s="389"/>
      <c r="E22" s="257"/>
      <c r="F22" s="389" t="s">
        <v>871</v>
      </c>
      <c r="G22" s="389"/>
      <c r="H22" s="259" t="s">
        <v>844</v>
      </c>
      <c r="I22" s="258">
        <v>0</v>
      </c>
    </row>
    <row r="23" spans="2:13" ht="15" customHeight="1" x14ac:dyDescent="0.35"/>
    <row r="24" spans="2:13" x14ac:dyDescent="0.35">
      <c r="J24" s="36"/>
      <c r="K24" s="36"/>
      <c r="L24" s="36"/>
      <c r="M24" s="36"/>
    </row>
    <row r="25" spans="2:13" x14ac:dyDescent="0.35">
      <c r="B25" s="405" t="s">
        <v>1</v>
      </c>
      <c r="C25" s="405"/>
      <c r="D25" s="405"/>
      <c r="E25" s="405"/>
      <c r="F25" s="405"/>
      <c r="G25" s="405"/>
      <c r="H25" s="405"/>
      <c r="I25" s="405"/>
      <c r="J25" s="405"/>
      <c r="K25" s="405"/>
      <c r="L25" s="405"/>
      <c r="M25" s="405"/>
    </row>
    <row r="26" spans="2:13" x14ac:dyDescent="0.35">
      <c r="B26" s="404" t="s">
        <v>2</v>
      </c>
      <c r="C26" s="404"/>
      <c r="D26" s="404"/>
      <c r="E26" s="404" t="s">
        <v>0</v>
      </c>
      <c r="F26" s="404"/>
      <c r="G26" s="404" t="s">
        <v>553</v>
      </c>
      <c r="H26" s="404"/>
      <c r="I26" s="404" t="s">
        <v>3</v>
      </c>
      <c r="J26" s="404"/>
      <c r="K26" s="404" t="s">
        <v>4</v>
      </c>
      <c r="L26" s="404"/>
      <c r="M26" s="404"/>
    </row>
    <row r="27" spans="2:13" x14ac:dyDescent="0.35">
      <c r="B27" s="363" t="s">
        <v>564</v>
      </c>
      <c r="C27" s="363"/>
      <c r="D27" s="363"/>
      <c r="E27" s="373"/>
      <c r="F27" s="373"/>
      <c r="G27" s="363"/>
      <c r="H27" s="363"/>
      <c r="I27" s="363"/>
      <c r="J27" s="363"/>
      <c r="K27" s="363"/>
      <c r="L27" s="363"/>
      <c r="M27" s="363"/>
    </row>
    <row r="28" spans="2:13" x14ac:dyDescent="0.35">
      <c r="B28" s="363"/>
      <c r="C28" s="363"/>
      <c r="D28" s="363"/>
      <c r="E28" s="373"/>
      <c r="F28" s="373"/>
      <c r="G28" s="363"/>
      <c r="H28" s="363"/>
      <c r="I28" s="363"/>
      <c r="J28" s="363"/>
      <c r="K28" s="363"/>
      <c r="L28" s="363"/>
      <c r="M28" s="363"/>
    </row>
    <row r="29" spans="2:13" x14ac:dyDescent="0.35">
      <c r="B29" s="363"/>
      <c r="C29" s="363"/>
      <c r="D29" s="363"/>
      <c r="E29" s="373"/>
      <c r="F29" s="373"/>
      <c r="G29" s="392"/>
      <c r="H29" s="392"/>
      <c r="I29" s="392"/>
      <c r="J29" s="392"/>
      <c r="K29" s="392"/>
      <c r="L29" s="392"/>
      <c r="M29" s="392"/>
    </row>
    <row r="30" spans="2:13" x14ac:dyDescent="0.35">
      <c r="B30" s="363"/>
      <c r="C30" s="363"/>
      <c r="D30" s="363"/>
      <c r="E30" s="373"/>
      <c r="F30" s="373"/>
      <c r="G30" s="363"/>
      <c r="H30" s="363"/>
      <c r="I30" s="363"/>
      <c r="J30" s="363"/>
      <c r="K30" s="363"/>
      <c r="L30" s="363"/>
      <c r="M30" s="363"/>
    </row>
    <row r="31" spans="2:13" ht="16.5" customHeight="1" x14ac:dyDescent="0.35">
      <c r="B31" s="363"/>
      <c r="C31" s="363"/>
      <c r="D31" s="363"/>
      <c r="E31" s="373"/>
      <c r="F31" s="373"/>
      <c r="G31" s="363"/>
      <c r="H31" s="363"/>
      <c r="I31" s="363"/>
      <c r="J31" s="363"/>
      <c r="K31" s="363"/>
      <c r="L31" s="363"/>
      <c r="M31" s="363"/>
    </row>
    <row r="32" spans="2:13" ht="30.75" customHeight="1" x14ac:dyDescent="0.35">
      <c r="D32" s="37"/>
      <c r="E32" s="37"/>
      <c r="F32" s="37"/>
      <c r="G32" s="38"/>
      <c r="H32" s="38"/>
      <c r="I32" s="37"/>
      <c r="J32" s="38"/>
      <c r="K32" s="38"/>
      <c r="L32" s="38"/>
      <c r="M32" s="38"/>
    </row>
    <row r="33" spans="2:13" ht="34.5" customHeight="1" x14ac:dyDescent="0.35">
      <c r="B33" s="383"/>
      <c r="C33" s="274"/>
      <c r="D33" s="379" t="s">
        <v>867</v>
      </c>
      <c r="E33" s="380"/>
      <c r="F33" s="380"/>
      <c r="G33" s="380"/>
      <c r="H33" s="380"/>
      <c r="I33" s="380"/>
      <c r="J33" s="380"/>
      <c r="K33" s="380"/>
      <c r="L33" s="275"/>
      <c r="M33" s="386"/>
    </row>
    <row r="34" spans="2:13" ht="15" customHeight="1" x14ac:dyDescent="0.35">
      <c r="B34" s="384"/>
      <c r="C34" s="368" t="s">
        <v>98</v>
      </c>
      <c r="D34" s="368"/>
      <c r="E34" s="359" t="s">
        <v>868</v>
      </c>
      <c r="F34" s="359" t="s">
        <v>869</v>
      </c>
      <c r="G34" s="372" t="s">
        <v>36</v>
      </c>
      <c r="H34" s="372"/>
      <c r="I34" s="372" t="s">
        <v>56</v>
      </c>
      <c r="J34" s="372"/>
      <c r="K34" s="372"/>
      <c r="L34" s="372"/>
      <c r="M34" s="387"/>
    </row>
    <row r="35" spans="2:13" ht="49.5" customHeight="1" x14ac:dyDescent="0.35">
      <c r="B35" s="384"/>
      <c r="C35" s="368"/>
      <c r="D35" s="368"/>
      <c r="E35" s="359"/>
      <c r="F35" s="359"/>
      <c r="G35" s="359" t="s">
        <v>711</v>
      </c>
      <c r="H35" s="359"/>
      <c r="I35" s="260" t="s">
        <v>160</v>
      </c>
      <c r="J35" s="261" t="s">
        <v>860</v>
      </c>
      <c r="K35" s="260" t="s">
        <v>861</v>
      </c>
      <c r="L35" s="261" t="s">
        <v>219</v>
      </c>
      <c r="M35" s="387"/>
    </row>
    <row r="36" spans="2:13" ht="19.5" customHeight="1" x14ac:dyDescent="0.35">
      <c r="B36" s="384"/>
      <c r="C36" s="360" t="s">
        <v>25</v>
      </c>
      <c r="D36" s="360"/>
      <c r="E36" s="279">
        <v>5</v>
      </c>
      <c r="F36" s="262">
        <f t="shared" ref="F36:F40" si="0">ROUNDUP(E36/8,0)</f>
        <v>1</v>
      </c>
      <c r="G36" s="369">
        <v>0</v>
      </c>
      <c r="H36" s="369"/>
      <c r="I36" s="278">
        <v>43040</v>
      </c>
      <c r="J36" s="263">
        <f>IF(I36&lt;&gt;0,IF(I18=100,(WORKDAY(I36,F36,0)),IF(I18=50,(WORKDAY(I36,F36*2,0)),IF(I18=25,(WORKDAY(I36,F36*4,0)),"F"))),"")</f>
        <v>43041</v>
      </c>
      <c r="K36" s="278">
        <v>43056</v>
      </c>
      <c r="L36" s="264">
        <f>IF(OR(I36=0,K36=0),0,NETWORKDAYS(I36,K36,0))</f>
        <v>13</v>
      </c>
      <c r="M36" s="387"/>
    </row>
    <row r="37" spans="2:13" ht="17.149999999999999" customHeight="1" x14ac:dyDescent="0.35">
      <c r="B37" s="384"/>
      <c r="C37" s="360" t="s">
        <v>543</v>
      </c>
      <c r="D37" s="360"/>
      <c r="E37" s="262">
        <v>0</v>
      </c>
      <c r="F37" s="262">
        <f t="shared" si="0"/>
        <v>0</v>
      </c>
      <c r="G37" s="369">
        <v>0</v>
      </c>
      <c r="H37" s="369"/>
      <c r="I37" s="278"/>
      <c r="J37" s="263" t="str">
        <f>IF(I37&lt;&gt;0,IF(I18=100,(WORKDAY(I37,F37,0)),IF(I18=50,(WORKDAY(I37,F37*2,0)),IF(I18=25,(WORKDAY(I37,F37*4,0)),"F"))),"")</f>
        <v/>
      </c>
      <c r="K37" s="278"/>
      <c r="L37" s="264">
        <f>IF(OR(I37=0,K37=0),0,NETWORKDAYS(I37,K37,0))</f>
        <v>0</v>
      </c>
      <c r="M37" s="387"/>
    </row>
    <row r="38" spans="2:13" ht="17.149999999999999" customHeight="1" x14ac:dyDescent="0.35">
      <c r="B38" s="384"/>
      <c r="C38" s="360" t="s">
        <v>542</v>
      </c>
      <c r="D38" s="360"/>
      <c r="E38" s="279">
        <v>0</v>
      </c>
      <c r="F38" s="262">
        <f>IF(OR(E38="",E38=0),0,ROUNDUP(E38/8,0))</f>
        <v>0</v>
      </c>
      <c r="G38" s="369">
        <v>0</v>
      </c>
      <c r="H38" s="369"/>
      <c r="I38" s="278"/>
      <c r="J38" s="263" t="str">
        <f>IF(I38&lt;&gt;0,WORKDAY(I38,F38,0),"")</f>
        <v/>
      </c>
      <c r="K38" s="278"/>
      <c r="L38" s="264">
        <f>IF(OR(I38=0,K38=0),0,NETWORKDAYS(I38,K38,0))</f>
        <v>0</v>
      </c>
      <c r="M38" s="387"/>
    </row>
    <row r="39" spans="2:13" ht="17.149999999999999" customHeight="1" x14ac:dyDescent="0.35">
      <c r="B39" s="384"/>
      <c r="C39" s="360" t="s">
        <v>26</v>
      </c>
      <c r="D39" s="360"/>
      <c r="E39" s="262">
        <v>0</v>
      </c>
      <c r="F39" s="262">
        <f t="shared" si="0"/>
        <v>0</v>
      </c>
      <c r="G39" s="369">
        <v>0</v>
      </c>
      <c r="H39" s="369"/>
      <c r="I39" s="278"/>
      <c r="J39" s="263" t="str">
        <f>IF(I39&lt;&gt;0,IF(I18=100,(WORKDAY(I39,F39,0)),IF(I18=50,(WORKDAY(I39,F39*2,0)),IF(I18=25,(WORKDAY(I39,F39*4,0)),"F"))),"")</f>
        <v/>
      </c>
      <c r="K39" s="278"/>
      <c r="L39" s="264">
        <f t="shared" ref="L39:L40" si="1">IF(OR(I39=0,K39=0),0,NETWORKDAYS(I39,K39,0))</f>
        <v>0</v>
      </c>
      <c r="M39" s="387"/>
    </row>
    <row r="40" spans="2:13" ht="19.5" customHeight="1" x14ac:dyDescent="0.35">
      <c r="B40" s="384"/>
      <c r="C40" s="360" t="s">
        <v>28</v>
      </c>
      <c r="D40" s="360"/>
      <c r="E40" s="279">
        <v>0</v>
      </c>
      <c r="F40" s="262">
        <f t="shared" si="0"/>
        <v>0</v>
      </c>
      <c r="G40" s="369">
        <v>0</v>
      </c>
      <c r="H40" s="369"/>
      <c r="I40" s="278"/>
      <c r="J40" s="263" t="str">
        <f>IF(I40&lt;&gt;0,IF(I18=100,(WORKDAY(I40,F40,0)),IF(I18=50,(WORKDAY(I40,F40*2,0)),IF(I18=25,(WORKDAY(I40,F40*4,0)),"F"))),"")</f>
        <v/>
      </c>
      <c r="K40" s="278"/>
      <c r="L40" s="264">
        <f t="shared" si="1"/>
        <v>0</v>
      </c>
      <c r="M40" s="387"/>
    </row>
    <row r="41" spans="2:13" ht="17.149999999999999" customHeight="1" x14ac:dyDescent="0.35">
      <c r="B41" s="384"/>
      <c r="C41" s="361" t="s">
        <v>27</v>
      </c>
      <c r="D41" s="362"/>
      <c r="E41" s="267">
        <v>0</v>
      </c>
      <c r="F41" s="262">
        <f>ROUNDUP(E41/8,0)</f>
        <v>0</v>
      </c>
      <c r="G41" s="268"/>
      <c r="H41" s="268"/>
      <c r="I41" s="268"/>
      <c r="J41" s="268"/>
      <c r="K41" s="268"/>
      <c r="L41" s="269"/>
      <c r="M41" s="387"/>
    </row>
    <row r="42" spans="2:13" ht="17.149999999999999" customHeight="1" x14ac:dyDescent="0.35">
      <c r="B42" s="384"/>
      <c r="C42" s="370" t="s">
        <v>102</v>
      </c>
      <c r="D42" s="371"/>
      <c r="E42" s="267">
        <f>SUM(E36:E41)</f>
        <v>5</v>
      </c>
      <c r="F42" s="262">
        <f>SUM(F36:F41)</f>
        <v>1</v>
      </c>
      <c r="G42" s="39"/>
      <c r="H42" s="40"/>
      <c r="I42" s="39"/>
      <c r="J42" s="39"/>
      <c r="K42" s="39"/>
      <c r="L42" s="270"/>
      <c r="M42" s="387"/>
    </row>
    <row r="43" spans="2:13" ht="15" customHeight="1" x14ac:dyDescent="0.35">
      <c r="B43" s="384"/>
      <c r="C43" s="366" t="s">
        <v>739</v>
      </c>
      <c r="D43" s="367"/>
      <c r="E43" s="265">
        <v>0</v>
      </c>
      <c r="F43" s="266">
        <f>ROUNDUP(((E43-E42)/8)+F42,0)</f>
        <v>1</v>
      </c>
      <c r="G43" s="39"/>
      <c r="H43" s="40"/>
      <c r="I43" s="39"/>
      <c r="J43" s="39"/>
      <c r="K43" s="39"/>
      <c r="L43" s="270"/>
      <c r="M43" s="387"/>
    </row>
    <row r="44" spans="2:13" ht="15" customHeight="1" x14ac:dyDescent="0.35">
      <c r="B44" s="384"/>
      <c r="C44" s="271"/>
      <c r="D44" s="272"/>
      <c r="E44" s="272"/>
      <c r="F44" s="272"/>
      <c r="G44" s="272"/>
      <c r="H44" s="272"/>
      <c r="I44" s="272"/>
      <c r="J44" s="272"/>
      <c r="K44" s="272"/>
      <c r="L44" s="273"/>
      <c r="M44" s="387"/>
    </row>
    <row r="45" spans="2:13" ht="15" customHeight="1" x14ac:dyDescent="0.35">
      <c r="B45" s="385"/>
      <c r="C45" s="276"/>
      <c r="D45" s="377"/>
      <c r="E45" s="377"/>
      <c r="F45" s="377"/>
      <c r="G45" s="377"/>
      <c r="H45" s="377"/>
      <c r="I45" s="377"/>
      <c r="J45" s="377"/>
      <c r="K45" s="377"/>
      <c r="L45" s="277"/>
      <c r="M45" s="388"/>
    </row>
    <row r="46" spans="2:13" ht="23.25" customHeight="1" x14ac:dyDescent="0.35">
      <c r="B46" s="55"/>
      <c r="C46" s="55"/>
      <c r="D46" s="56"/>
      <c r="E46" s="56"/>
      <c r="F46" s="56"/>
      <c r="G46" s="57"/>
      <c r="H46" s="57"/>
      <c r="I46" s="58"/>
      <c r="J46" s="56"/>
      <c r="K46" s="56"/>
      <c r="L46" s="56"/>
      <c r="M46" s="56"/>
    </row>
    <row r="47" spans="2:13" ht="25.5" customHeight="1" x14ac:dyDescent="0.35">
      <c r="B47" s="365" t="s">
        <v>738</v>
      </c>
      <c r="C47" s="365"/>
      <c r="D47" s="365"/>
      <c r="E47" s="365"/>
      <c r="F47" s="365"/>
      <c r="G47" s="365"/>
      <c r="H47" s="365"/>
      <c r="I47" s="365"/>
      <c r="J47" s="365"/>
      <c r="K47" s="365"/>
      <c r="L47" s="364" t="s">
        <v>747</v>
      </c>
      <c r="M47" s="364"/>
    </row>
    <row r="48" spans="2:13" s="55" customFormat="1" ht="15" customHeight="1" x14ac:dyDescent="0.35">
      <c r="B48" s="378" t="s">
        <v>740</v>
      </c>
      <c r="C48" s="378"/>
      <c r="D48" s="378"/>
      <c r="E48" s="378"/>
      <c r="F48" s="378"/>
      <c r="G48" s="378"/>
      <c r="H48" s="378"/>
      <c r="I48" s="378"/>
      <c r="J48" s="378"/>
      <c r="K48" s="378"/>
      <c r="L48" s="356"/>
      <c r="M48" s="357"/>
    </row>
    <row r="49" spans="1:13" s="55" customFormat="1" ht="15" customHeight="1" x14ac:dyDescent="0.35">
      <c r="B49" s="378" t="s">
        <v>745</v>
      </c>
      <c r="C49" s="378"/>
      <c r="D49" s="378"/>
      <c r="E49" s="378"/>
      <c r="F49" s="378"/>
      <c r="G49" s="378"/>
      <c r="H49" s="378"/>
      <c r="I49" s="378"/>
      <c r="J49" s="378"/>
      <c r="K49" s="378"/>
      <c r="L49" s="356"/>
      <c r="M49" s="357"/>
    </row>
    <row r="50" spans="1:13" s="55" customFormat="1" ht="15" customHeight="1" x14ac:dyDescent="0.35">
      <c r="B50" s="378" t="s">
        <v>746</v>
      </c>
      <c r="C50" s="378"/>
      <c r="D50" s="378"/>
      <c r="E50" s="378"/>
      <c r="F50" s="378"/>
      <c r="G50" s="378"/>
      <c r="H50" s="378"/>
      <c r="I50" s="378"/>
      <c r="J50" s="378"/>
      <c r="K50" s="378"/>
      <c r="L50" s="356"/>
      <c r="M50" s="357"/>
    </row>
    <row r="51" spans="1:13" s="55" customFormat="1" ht="15" customHeight="1" x14ac:dyDescent="0.35">
      <c r="B51" s="378" t="s">
        <v>741</v>
      </c>
      <c r="C51" s="378"/>
      <c r="D51" s="378"/>
      <c r="E51" s="378"/>
      <c r="F51" s="378"/>
      <c r="G51" s="378"/>
      <c r="H51" s="378"/>
      <c r="I51" s="378"/>
      <c r="J51" s="378"/>
      <c r="K51" s="378"/>
      <c r="L51" s="356"/>
      <c r="M51" s="357"/>
    </row>
    <row r="52" spans="1:13" s="55" customFormat="1" ht="15" customHeight="1" x14ac:dyDescent="0.35">
      <c r="B52" s="378" t="s">
        <v>742</v>
      </c>
      <c r="C52" s="378"/>
      <c r="D52" s="378"/>
      <c r="E52" s="378"/>
      <c r="F52" s="378"/>
      <c r="G52" s="378"/>
      <c r="H52" s="378"/>
      <c r="I52" s="378"/>
      <c r="J52" s="378"/>
      <c r="K52" s="378"/>
      <c r="L52" s="356"/>
      <c r="M52" s="357"/>
    </row>
    <row r="53" spans="1:13" s="55" customFormat="1" ht="15" customHeight="1" x14ac:dyDescent="0.35">
      <c r="B53" s="378" t="s">
        <v>743</v>
      </c>
      <c r="C53" s="378"/>
      <c r="D53" s="378"/>
      <c r="E53" s="378"/>
      <c r="F53" s="378"/>
      <c r="G53" s="378"/>
      <c r="H53" s="378"/>
      <c r="I53" s="378"/>
      <c r="J53" s="378"/>
      <c r="K53" s="378"/>
      <c r="L53" s="356"/>
      <c r="M53" s="357"/>
    </row>
    <row r="54" spans="1:13" s="55" customFormat="1" ht="15" customHeight="1" x14ac:dyDescent="0.35">
      <c r="B54" s="378" t="s">
        <v>744</v>
      </c>
      <c r="C54" s="378"/>
      <c r="D54" s="378"/>
      <c r="E54" s="378"/>
      <c r="F54" s="378"/>
      <c r="G54" s="378"/>
      <c r="H54" s="378"/>
      <c r="I54" s="378"/>
      <c r="J54" s="378"/>
      <c r="K54" s="378"/>
      <c r="L54" s="356"/>
      <c r="M54" s="357"/>
    </row>
    <row r="55" spans="1:13" s="55" customFormat="1" ht="15" customHeight="1" x14ac:dyDescent="0.35">
      <c r="B55" s="170"/>
      <c r="C55" s="170"/>
      <c r="D55" s="170"/>
      <c r="E55" s="170"/>
      <c r="F55" s="170"/>
      <c r="G55" s="170"/>
      <c r="H55" s="170"/>
      <c r="I55" s="170"/>
      <c r="J55" s="170"/>
      <c r="K55" s="170"/>
      <c r="L55" s="171"/>
      <c r="M55" s="171"/>
    </row>
    <row r="56" spans="1:13" ht="21.75" customHeight="1" x14ac:dyDescent="0.35">
      <c r="B56" s="41"/>
      <c r="C56" s="41"/>
      <c r="D56" s="41"/>
      <c r="E56" s="41"/>
      <c r="F56" s="41"/>
      <c r="G56" s="41"/>
      <c r="H56" s="41"/>
      <c r="I56" s="41"/>
      <c r="J56" s="41"/>
      <c r="K56" s="41"/>
      <c r="L56" s="41"/>
      <c r="M56" s="41"/>
    </row>
    <row r="57" spans="1:13" ht="30" customHeight="1" x14ac:dyDescent="0.35">
      <c r="B57" s="382" t="s">
        <v>878</v>
      </c>
      <c r="C57" s="382"/>
      <c r="D57" s="382"/>
      <c r="E57" s="382"/>
      <c r="F57" s="382"/>
      <c r="G57" s="382"/>
      <c r="H57" s="382"/>
      <c r="I57" s="382"/>
      <c r="J57" s="382"/>
      <c r="K57" s="381" t="s">
        <v>879</v>
      </c>
      <c r="L57" s="381"/>
      <c r="M57" s="381"/>
    </row>
    <row r="58" spans="1:13" x14ac:dyDescent="0.35">
      <c r="B58" s="358" t="s">
        <v>556</v>
      </c>
      <c r="C58" s="358"/>
      <c r="D58" s="358"/>
      <c r="E58" s="358"/>
      <c r="F58" s="358"/>
      <c r="G58" s="358"/>
      <c r="H58" s="358"/>
      <c r="I58" s="358"/>
      <c r="J58" s="358"/>
      <c r="K58" s="358"/>
      <c r="L58" s="358"/>
      <c r="M58" s="358"/>
    </row>
    <row r="59" spans="1:13" ht="51.75" customHeight="1" x14ac:dyDescent="0.35">
      <c r="A59" s="169"/>
      <c r="B59" s="375"/>
      <c r="C59" s="375"/>
      <c r="D59" s="375"/>
      <c r="E59" s="375"/>
      <c r="F59" s="375"/>
      <c r="G59" s="375"/>
      <c r="H59" s="375"/>
      <c r="I59" s="375"/>
      <c r="J59" s="375"/>
      <c r="K59" s="375"/>
      <c r="L59" s="375"/>
      <c r="M59" s="375"/>
    </row>
    <row r="60" spans="1:13" ht="51.75" customHeight="1" x14ac:dyDescent="0.35">
      <c r="A60" s="169"/>
      <c r="B60" s="375"/>
      <c r="C60" s="375"/>
      <c r="D60" s="375"/>
      <c r="E60" s="375"/>
      <c r="F60" s="375"/>
      <c r="G60" s="375"/>
      <c r="H60" s="375"/>
      <c r="I60" s="375"/>
      <c r="J60" s="375"/>
      <c r="K60" s="375"/>
      <c r="L60" s="375"/>
      <c r="M60" s="375"/>
    </row>
    <row r="61" spans="1:13" ht="51.75" customHeight="1" x14ac:dyDescent="0.35">
      <c r="A61" s="169"/>
      <c r="B61" s="375"/>
      <c r="C61" s="375"/>
      <c r="D61" s="375"/>
      <c r="E61" s="375"/>
      <c r="F61" s="375"/>
      <c r="G61" s="375"/>
      <c r="H61" s="375"/>
      <c r="I61" s="375"/>
      <c r="J61" s="375"/>
      <c r="K61" s="375"/>
      <c r="L61" s="375"/>
      <c r="M61" s="375"/>
    </row>
    <row r="62" spans="1:13" ht="15" customHeight="1" x14ac:dyDescent="0.35">
      <c r="A62" s="169"/>
      <c r="B62" s="376" t="s">
        <v>555</v>
      </c>
      <c r="C62" s="376"/>
      <c r="D62" s="376"/>
      <c r="E62" s="376"/>
      <c r="F62" s="376"/>
      <c r="G62" s="376"/>
      <c r="H62" s="376"/>
      <c r="I62" s="376"/>
      <c r="J62" s="376"/>
      <c r="K62" s="376"/>
      <c r="L62" s="376"/>
      <c r="M62" s="376"/>
    </row>
    <row r="63" spans="1:13" ht="60.75" customHeight="1" x14ac:dyDescent="0.35">
      <c r="B63" s="375"/>
      <c r="C63" s="375"/>
      <c r="D63" s="375"/>
      <c r="E63" s="375"/>
      <c r="F63" s="375"/>
      <c r="G63" s="375"/>
      <c r="H63" s="375"/>
      <c r="I63" s="375"/>
      <c r="J63" s="375"/>
      <c r="K63" s="375"/>
      <c r="L63" s="375"/>
      <c r="M63" s="375"/>
    </row>
    <row r="64" spans="1:13" ht="60.75" customHeight="1" x14ac:dyDescent="0.35">
      <c r="B64" s="375"/>
      <c r="C64" s="375"/>
      <c r="D64" s="375"/>
      <c r="E64" s="375"/>
      <c r="F64" s="375"/>
      <c r="G64" s="375"/>
      <c r="H64" s="375"/>
      <c r="I64" s="375"/>
      <c r="J64" s="375"/>
      <c r="K64" s="375"/>
      <c r="L64" s="375"/>
      <c r="M64" s="375"/>
    </row>
    <row r="65" spans="2:13" ht="60.75" customHeight="1" x14ac:dyDescent="0.35">
      <c r="B65" s="375"/>
      <c r="C65" s="375"/>
      <c r="D65" s="375"/>
      <c r="E65" s="375"/>
      <c r="F65" s="375"/>
      <c r="G65" s="375"/>
      <c r="H65" s="375"/>
      <c r="I65" s="375"/>
      <c r="J65" s="375"/>
      <c r="K65" s="375"/>
      <c r="L65" s="375"/>
      <c r="M65" s="375"/>
    </row>
    <row r="66" spans="2:13" ht="15" customHeight="1" x14ac:dyDescent="0.35">
      <c r="B66" s="376" t="s">
        <v>558</v>
      </c>
      <c r="C66" s="376"/>
      <c r="D66" s="376"/>
      <c r="E66" s="376"/>
      <c r="F66" s="376"/>
      <c r="G66" s="376"/>
      <c r="H66" s="376"/>
      <c r="I66" s="376"/>
      <c r="J66" s="376"/>
      <c r="K66" s="376"/>
      <c r="L66" s="376"/>
      <c r="M66" s="376"/>
    </row>
    <row r="67" spans="2:13" ht="60.75" customHeight="1" x14ac:dyDescent="0.35">
      <c r="B67" s="375"/>
      <c r="C67" s="375"/>
      <c r="D67" s="375"/>
      <c r="E67" s="375"/>
      <c r="F67" s="375"/>
      <c r="G67" s="375"/>
      <c r="H67" s="375"/>
      <c r="I67" s="375"/>
      <c r="J67" s="375"/>
      <c r="K67" s="375"/>
      <c r="L67" s="375"/>
      <c r="M67" s="375"/>
    </row>
    <row r="68" spans="2:13" ht="60.75" customHeight="1" x14ac:dyDescent="0.35">
      <c r="B68" s="375"/>
      <c r="C68" s="375"/>
      <c r="D68" s="375"/>
      <c r="E68" s="375"/>
      <c r="F68" s="375"/>
      <c r="G68" s="375"/>
      <c r="H68" s="375"/>
      <c r="I68" s="375"/>
      <c r="J68" s="375"/>
      <c r="K68" s="375"/>
      <c r="L68" s="375"/>
      <c r="M68" s="375"/>
    </row>
    <row r="69" spans="2:13" ht="60.75" customHeight="1" x14ac:dyDescent="0.35">
      <c r="B69" s="375"/>
      <c r="C69" s="375"/>
      <c r="D69" s="375"/>
      <c r="E69" s="375"/>
      <c r="F69" s="375"/>
      <c r="G69" s="375"/>
      <c r="H69" s="375"/>
      <c r="I69" s="375"/>
      <c r="J69" s="375"/>
      <c r="K69" s="375"/>
      <c r="L69" s="375"/>
      <c r="M69" s="375"/>
    </row>
    <row r="70" spans="2:13" x14ac:dyDescent="0.35">
      <c r="B70" s="358" t="s">
        <v>559</v>
      </c>
      <c r="C70" s="358"/>
      <c r="D70" s="358"/>
      <c r="E70" s="358"/>
      <c r="F70" s="358"/>
      <c r="G70" s="358"/>
      <c r="H70" s="358"/>
      <c r="I70" s="358"/>
      <c r="J70" s="358"/>
      <c r="K70" s="358"/>
      <c r="L70" s="358"/>
      <c r="M70" s="358"/>
    </row>
    <row r="71" spans="2:13" x14ac:dyDescent="0.35">
      <c r="B71" s="374">
        <v>1</v>
      </c>
      <c r="C71" s="374"/>
      <c r="D71" s="375"/>
      <c r="E71" s="375"/>
      <c r="F71" s="375"/>
      <c r="G71" s="375"/>
      <c r="H71" s="375"/>
      <c r="I71" s="375"/>
      <c r="J71" s="375"/>
      <c r="K71" s="375"/>
      <c r="L71" s="375"/>
      <c r="M71" s="375"/>
    </row>
    <row r="72" spans="2:13" x14ac:dyDescent="0.35">
      <c r="B72" s="374">
        <v>2</v>
      </c>
      <c r="C72" s="374"/>
      <c r="D72" s="375"/>
      <c r="E72" s="375"/>
      <c r="F72" s="375"/>
      <c r="G72" s="375"/>
      <c r="H72" s="375"/>
      <c r="I72" s="375"/>
      <c r="J72" s="375"/>
      <c r="K72" s="375"/>
      <c r="L72" s="375"/>
      <c r="M72" s="375"/>
    </row>
    <row r="73" spans="2:13" x14ac:dyDescent="0.35">
      <c r="B73" s="374">
        <v>3</v>
      </c>
      <c r="C73" s="374"/>
      <c r="D73" s="375"/>
      <c r="E73" s="375"/>
      <c r="F73" s="375"/>
      <c r="G73" s="375"/>
      <c r="H73" s="375"/>
      <c r="I73" s="375"/>
      <c r="J73" s="375"/>
      <c r="K73" s="375"/>
      <c r="L73" s="375"/>
      <c r="M73" s="375"/>
    </row>
    <row r="74" spans="2:13" x14ac:dyDescent="0.35">
      <c r="B74" s="374">
        <v>4</v>
      </c>
      <c r="C74" s="374"/>
      <c r="D74" s="375"/>
      <c r="E74" s="375"/>
      <c r="F74" s="375"/>
      <c r="G74" s="375"/>
      <c r="H74" s="375"/>
      <c r="I74" s="375"/>
      <c r="J74" s="375"/>
      <c r="K74" s="375"/>
      <c r="L74" s="375"/>
      <c r="M74" s="375"/>
    </row>
    <row r="75" spans="2:13" x14ac:dyDescent="0.35">
      <c r="B75" s="374">
        <v>5</v>
      </c>
      <c r="C75" s="374"/>
      <c r="D75" s="375"/>
      <c r="E75" s="375"/>
      <c r="F75" s="375"/>
      <c r="G75" s="375"/>
      <c r="H75" s="375"/>
      <c r="I75" s="375"/>
      <c r="J75" s="375"/>
      <c r="K75" s="375"/>
      <c r="L75" s="375"/>
      <c r="M75" s="375"/>
    </row>
    <row r="76" spans="2:13" x14ac:dyDescent="0.35">
      <c r="B76" s="374">
        <v>6</v>
      </c>
      <c r="C76" s="374"/>
      <c r="D76" s="375"/>
      <c r="E76" s="375"/>
      <c r="F76" s="375"/>
      <c r="G76" s="375"/>
      <c r="H76" s="375"/>
      <c r="I76" s="375"/>
      <c r="J76" s="375"/>
      <c r="K76" s="375"/>
      <c r="L76" s="375"/>
      <c r="M76" s="375"/>
    </row>
    <row r="77" spans="2:13" x14ac:dyDescent="0.35">
      <c r="B77" s="374">
        <v>7</v>
      </c>
      <c r="C77" s="374"/>
      <c r="D77" s="375"/>
      <c r="E77" s="375"/>
      <c r="F77" s="375"/>
      <c r="G77" s="375"/>
      <c r="H77" s="375"/>
      <c r="I77" s="375"/>
      <c r="J77" s="375"/>
      <c r="K77" s="375"/>
      <c r="L77" s="375"/>
      <c r="M77" s="375"/>
    </row>
    <row r="78" spans="2:13" x14ac:dyDescent="0.35">
      <c r="B78" s="374">
        <v>8</v>
      </c>
      <c r="C78" s="374"/>
      <c r="D78" s="375"/>
      <c r="E78" s="375"/>
      <c r="F78" s="375"/>
      <c r="G78" s="375"/>
      <c r="H78" s="375"/>
      <c r="I78" s="375"/>
      <c r="J78" s="375"/>
      <c r="K78" s="375"/>
      <c r="L78" s="375"/>
      <c r="M78" s="375"/>
    </row>
    <row r="79" spans="2:13" x14ac:dyDescent="0.35">
      <c r="B79" s="374">
        <v>9</v>
      </c>
      <c r="C79" s="374"/>
      <c r="D79" s="375"/>
      <c r="E79" s="375"/>
      <c r="F79" s="375"/>
      <c r="G79" s="375"/>
      <c r="H79" s="375"/>
      <c r="I79" s="375"/>
      <c r="J79" s="375"/>
      <c r="K79" s="375"/>
      <c r="L79" s="375"/>
      <c r="M79" s="375"/>
    </row>
    <row r="80" spans="2:13" x14ac:dyDescent="0.35">
      <c r="B80" s="374">
        <v>10</v>
      </c>
      <c r="C80" s="374"/>
      <c r="D80" s="375"/>
      <c r="E80" s="375"/>
      <c r="F80" s="375"/>
      <c r="G80" s="375"/>
      <c r="H80" s="375"/>
      <c r="I80" s="375"/>
      <c r="J80" s="375"/>
      <c r="K80" s="375"/>
      <c r="L80" s="375"/>
      <c r="M80" s="375"/>
    </row>
    <row r="81" spans="2:13" x14ac:dyDescent="0.35">
      <c r="B81" s="358" t="s">
        <v>557</v>
      </c>
      <c r="C81" s="358"/>
      <c r="D81" s="358"/>
      <c r="E81" s="358"/>
      <c r="F81" s="358"/>
      <c r="G81" s="358"/>
      <c r="H81" s="358"/>
      <c r="I81" s="358"/>
      <c r="J81" s="358"/>
      <c r="K81" s="358"/>
      <c r="L81" s="358"/>
      <c r="M81" s="358"/>
    </row>
    <row r="82" spans="2:13" x14ac:dyDescent="0.35">
      <c r="B82" s="374">
        <v>1</v>
      </c>
      <c r="C82" s="374"/>
      <c r="D82" s="375"/>
      <c r="E82" s="375"/>
      <c r="F82" s="375"/>
      <c r="G82" s="375"/>
      <c r="H82" s="375"/>
      <c r="I82" s="375"/>
      <c r="J82" s="375"/>
      <c r="K82" s="375"/>
      <c r="L82" s="375"/>
      <c r="M82" s="375"/>
    </row>
    <row r="83" spans="2:13" x14ac:dyDescent="0.35">
      <c r="B83" s="374">
        <v>2</v>
      </c>
      <c r="C83" s="374"/>
      <c r="D83" s="375"/>
      <c r="E83" s="375"/>
      <c r="F83" s="375"/>
      <c r="G83" s="375"/>
      <c r="H83" s="375"/>
      <c r="I83" s="375"/>
      <c r="J83" s="375"/>
      <c r="K83" s="375"/>
      <c r="L83" s="375"/>
      <c r="M83" s="375"/>
    </row>
    <row r="84" spans="2:13" x14ac:dyDescent="0.35">
      <c r="B84" s="374">
        <v>3</v>
      </c>
      <c r="C84" s="374"/>
      <c r="D84" s="375"/>
      <c r="E84" s="375"/>
      <c r="F84" s="375"/>
      <c r="G84" s="375"/>
      <c r="H84" s="375"/>
      <c r="I84" s="375"/>
      <c r="J84" s="375"/>
      <c r="K84" s="375"/>
      <c r="L84" s="375"/>
      <c r="M84" s="375"/>
    </row>
    <row r="85" spans="2:13" x14ac:dyDescent="0.35">
      <c r="B85" s="374">
        <v>4</v>
      </c>
      <c r="C85" s="374"/>
      <c r="D85" s="375"/>
      <c r="E85" s="375"/>
      <c r="F85" s="375"/>
      <c r="G85" s="375"/>
      <c r="H85" s="375"/>
      <c r="I85" s="375"/>
      <c r="J85" s="375"/>
      <c r="K85" s="375"/>
      <c r="L85" s="375"/>
      <c r="M85" s="375"/>
    </row>
    <row r="86" spans="2:13" x14ac:dyDescent="0.35">
      <c r="B86" s="374">
        <v>5</v>
      </c>
      <c r="C86" s="374"/>
      <c r="D86" s="375"/>
      <c r="E86" s="375"/>
      <c r="F86" s="375"/>
      <c r="G86" s="375"/>
      <c r="H86" s="375"/>
      <c r="I86" s="375"/>
      <c r="J86" s="375"/>
      <c r="K86" s="375"/>
      <c r="L86" s="375"/>
      <c r="M86" s="375"/>
    </row>
    <row r="87" spans="2:13" x14ac:dyDescent="0.35">
      <c r="B87" s="374">
        <v>6</v>
      </c>
      <c r="C87" s="374"/>
      <c r="D87" s="375"/>
      <c r="E87" s="375"/>
      <c r="F87" s="375"/>
      <c r="G87" s="375"/>
      <c r="H87" s="375"/>
      <c r="I87" s="375"/>
      <c r="J87" s="375"/>
      <c r="K87" s="375"/>
      <c r="L87" s="375"/>
      <c r="M87" s="375"/>
    </row>
    <row r="88" spans="2:13" x14ac:dyDescent="0.35">
      <c r="B88" s="374">
        <v>7</v>
      </c>
      <c r="C88" s="374"/>
      <c r="D88" s="375"/>
      <c r="E88" s="375"/>
      <c r="F88" s="375"/>
      <c r="G88" s="375"/>
      <c r="H88" s="375"/>
      <c r="I88" s="375"/>
      <c r="J88" s="375"/>
      <c r="K88" s="375"/>
      <c r="L88" s="375"/>
      <c r="M88" s="375"/>
    </row>
    <row r="89" spans="2:13" ht="24" customHeight="1" x14ac:dyDescent="0.35"/>
    <row r="90" spans="2:13" ht="24.75" customHeight="1" x14ac:dyDescent="0.35"/>
  </sheetData>
  <sheetProtection algorithmName="SHA-512" hashValue="BOyVWegN+H1SPq0xO8a4kpW3pTXY+zRKUDHGA2MjU6TMhL4GISzNtccaBceFlsB1mwIcXgkb3qKEGhJ/ibGNqg==" saltValue="7onZhfiTHmoYbHqvzU7VaQ==" spinCount="100000" sheet="1" objects="1"/>
  <dataConsolidate/>
  <mergeCells count="165">
    <mergeCell ref="I30:J30"/>
    <mergeCell ref="B88:C88"/>
    <mergeCell ref="D82:M82"/>
    <mergeCell ref="D83:M83"/>
    <mergeCell ref="D84:M84"/>
    <mergeCell ref="D85:M85"/>
    <mergeCell ref="D86:M86"/>
    <mergeCell ref="D87:M87"/>
    <mergeCell ref="D88:M88"/>
    <mergeCell ref="L50:M50"/>
    <mergeCell ref="B71:C71"/>
    <mergeCell ref="B72:C72"/>
    <mergeCell ref="B73:C73"/>
    <mergeCell ref="B74:C74"/>
    <mergeCell ref="B75:C75"/>
    <mergeCell ref="B76:C76"/>
    <mergeCell ref="B77:C77"/>
    <mergeCell ref="B78:C78"/>
    <mergeCell ref="D71:M71"/>
    <mergeCell ref="D72:M72"/>
    <mergeCell ref="D73:M73"/>
    <mergeCell ref="D74:M74"/>
    <mergeCell ref="D75:M75"/>
    <mergeCell ref="D76:M76"/>
    <mergeCell ref="F17:H17"/>
    <mergeCell ref="F18:H18"/>
    <mergeCell ref="B22:D22"/>
    <mergeCell ref="E28:F28"/>
    <mergeCell ref="E30:F30"/>
    <mergeCell ref="K30:M30"/>
    <mergeCell ref="K28:M28"/>
    <mergeCell ref="K29:M29"/>
    <mergeCell ref="I28:J28"/>
    <mergeCell ref="E27:F27"/>
    <mergeCell ref="K27:M27"/>
    <mergeCell ref="B30:D30"/>
    <mergeCell ref="E26:F26"/>
    <mergeCell ref="I26:J26"/>
    <mergeCell ref="K26:M26"/>
    <mergeCell ref="B25:M25"/>
    <mergeCell ref="B26:D26"/>
    <mergeCell ref="G26:H26"/>
    <mergeCell ref="I27:J27"/>
    <mergeCell ref="G28:H28"/>
    <mergeCell ref="G27:H27"/>
    <mergeCell ref="B28:D28"/>
    <mergeCell ref="B29:D29"/>
    <mergeCell ref="G30:H30"/>
    <mergeCell ref="B10:F10"/>
    <mergeCell ref="R2:S2"/>
    <mergeCell ref="P2:Q2"/>
    <mergeCell ref="G9:M9"/>
    <mergeCell ref="K13:M13"/>
    <mergeCell ref="N4:O4"/>
    <mergeCell ref="G5:M5"/>
    <mergeCell ref="G6:M6"/>
    <mergeCell ref="G7:M7"/>
    <mergeCell ref="G8:M8"/>
    <mergeCell ref="K1:M2"/>
    <mergeCell ref="B8:F8"/>
    <mergeCell ref="B9:F9"/>
    <mergeCell ref="K12:M12"/>
    <mergeCell ref="D1:J1"/>
    <mergeCell ref="D2:J2"/>
    <mergeCell ref="K11:M11"/>
    <mergeCell ref="L10:M10"/>
    <mergeCell ref="B4:F4"/>
    <mergeCell ref="G4:M4"/>
    <mergeCell ref="B1:C2"/>
    <mergeCell ref="B5:F5"/>
    <mergeCell ref="B6:F6"/>
    <mergeCell ref="B7:F7"/>
    <mergeCell ref="B33:B45"/>
    <mergeCell ref="M33:M45"/>
    <mergeCell ref="F19:H19"/>
    <mergeCell ref="F20:H20"/>
    <mergeCell ref="F21:H21"/>
    <mergeCell ref="B19:D19"/>
    <mergeCell ref="B17:D17"/>
    <mergeCell ref="H11:I11"/>
    <mergeCell ref="H12:I12"/>
    <mergeCell ref="B20:D20"/>
    <mergeCell ref="B16:D16"/>
    <mergeCell ref="F22:G22"/>
    <mergeCell ref="G29:H29"/>
    <mergeCell ref="E29:F29"/>
    <mergeCell ref="I29:J29"/>
    <mergeCell ref="B27:D27"/>
    <mergeCell ref="B18:D18"/>
    <mergeCell ref="B21:D21"/>
    <mergeCell ref="B14:D14"/>
    <mergeCell ref="B15:D15"/>
    <mergeCell ref="F14:H14"/>
    <mergeCell ref="F15:H15"/>
    <mergeCell ref="F16:H16"/>
    <mergeCell ref="B11:F12"/>
    <mergeCell ref="D45:K45"/>
    <mergeCell ref="B51:K51"/>
    <mergeCell ref="B53:K53"/>
    <mergeCell ref="B48:K48"/>
    <mergeCell ref="B49:K49"/>
    <mergeCell ref="D33:K33"/>
    <mergeCell ref="B54:K54"/>
    <mergeCell ref="D78:M78"/>
    <mergeCell ref="G36:H36"/>
    <mergeCell ref="G35:H35"/>
    <mergeCell ref="G37:H37"/>
    <mergeCell ref="G34:H34"/>
    <mergeCell ref="B60:M60"/>
    <mergeCell ref="K57:M57"/>
    <mergeCell ref="B57:J57"/>
    <mergeCell ref="L51:M51"/>
    <mergeCell ref="B61:M61"/>
    <mergeCell ref="B59:M59"/>
    <mergeCell ref="B50:K50"/>
    <mergeCell ref="B52:K52"/>
    <mergeCell ref="L48:M48"/>
    <mergeCell ref="L49:M49"/>
    <mergeCell ref="L54:M54"/>
    <mergeCell ref="L53:M53"/>
    <mergeCell ref="B82:C82"/>
    <mergeCell ref="B83:C83"/>
    <mergeCell ref="B84:C84"/>
    <mergeCell ref="B85:C85"/>
    <mergeCell ref="B86:C86"/>
    <mergeCell ref="B87:C87"/>
    <mergeCell ref="B67:M67"/>
    <mergeCell ref="B66:M66"/>
    <mergeCell ref="B62:M62"/>
    <mergeCell ref="B63:M63"/>
    <mergeCell ref="B69:M69"/>
    <mergeCell ref="B68:M68"/>
    <mergeCell ref="B65:M65"/>
    <mergeCell ref="B64:M64"/>
    <mergeCell ref="B81:M81"/>
    <mergeCell ref="B70:M70"/>
    <mergeCell ref="B79:C79"/>
    <mergeCell ref="D79:M79"/>
    <mergeCell ref="B80:C80"/>
    <mergeCell ref="D80:M80"/>
    <mergeCell ref="D77:M77"/>
    <mergeCell ref="L52:M52"/>
    <mergeCell ref="B58:M58"/>
    <mergeCell ref="E34:E35"/>
    <mergeCell ref="C39:D39"/>
    <mergeCell ref="C40:D40"/>
    <mergeCell ref="C41:D41"/>
    <mergeCell ref="I31:J31"/>
    <mergeCell ref="L47:M47"/>
    <mergeCell ref="B47:K47"/>
    <mergeCell ref="C43:D43"/>
    <mergeCell ref="C34:D35"/>
    <mergeCell ref="C36:D36"/>
    <mergeCell ref="C37:D37"/>
    <mergeCell ref="C38:D38"/>
    <mergeCell ref="G38:H38"/>
    <mergeCell ref="G39:H39"/>
    <mergeCell ref="G40:H40"/>
    <mergeCell ref="C42:D42"/>
    <mergeCell ref="I34:L34"/>
    <mergeCell ref="F34:F35"/>
    <mergeCell ref="B31:D31"/>
    <mergeCell ref="K31:M31"/>
    <mergeCell ref="E31:F31"/>
    <mergeCell ref="G31:H31"/>
  </mergeCells>
  <conditionalFormatting sqref="L36:L40">
    <cfRule type="cellIs" dxfId="104" priority="50" operator="lessThan">
      <formula>0</formula>
    </cfRule>
    <cfRule type="cellIs" dxfId="103" priority="51" operator="lessThan">
      <formula>0</formula>
    </cfRule>
  </conditionalFormatting>
  <conditionalFormatting sqref="I36">
    <cfRule type="cellIs" dxfId="102" priority="33" operator="greaterThan">
      <formula>$G$36</formula>
    </cfRule>
  </conditionalFormatting>
  <conditionalFormatting sqref="I37">
    <cfRule type="cellIs" dxfId="101" priority="32" operator="greaterThan">
      <formula>$G$37</formula>
    </cfRule>
  </conditionalFormatting>
  <conditionalFormatting sqref="I38">
    <cfRule type="cellIs" dxfId="100" priority="31" operator="greaterThan">
      <formula>$G$38</formula>
    </cfRule>
  </conditionalFormatting>
  <conditionalFormatting sqref="I39">
    <cfRule type="cellIs" dxfId="99" priority="30" operator="greaterThan">
      <formula>$G$39</formula>
    </cfRule>
  </conditionalFormatting>
  <conditionalFormatting sqref="I40">
    <cfRule type="cellIs" dxfId="98" priority="29" operator="greaterThan">
      <formula>$G$40</formula>
    </cfRule>
  </conditionalFormatting>
  <conditionalFormatting sqref="K36">
    <cfRule type="cellIs" dxfId="97" priority="23" operator="greaterThan">
      <formula>$J$36</formula>
    </cfRule>
  </conditionalFormatting>
  <conditionalFormatting sqref="K37">
    <cfRule type="cellIs" dxfId="96" priority="22" operator="greaterThan">
      <formula>$J$37</formula>
    </cfRule>
  </conditionalFormatting>
  <conditionalFormatting sqref="K38">
    <cfRule type="cellIs" dxfId="95" priority="21" operator="greaterThan">
      <formula>$J$38</formula>
    </cfRule>
  </conditionalFormatting>
  <conditionalFormatting sqref="K39">
    <cfRule type="cellIs" dxfId="94" priority="20" operator="greaterThan">
      <formula>$J$39</formula>
    </cfRule>
  </conditionalFormatting>
  <conditionalFormatting sqref="K40">
    <cfRule type="cellIs" dxfId="93" priority="19" operator="greaterThan">
      <formula>$J$40</formula>
    </cfRule>
  </conditionalFormatting>
  <conditionalFormatting sqref="I22">
    <cfRule type="expression" dxfId="92" priority="1">
      <formula>$H$22="No aplican"</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62" r:id="rId4" name="CommandButton2">
          <controlPr defaultSize="0" autoLine="0" r:id="rId5">
            <anchor moveWithCells="1">
              <from>
                <xdr:col>3</xdr:col>
                <xdr:colOff>901700</xdr:colOff>
                <xdr:row>39</xdr:row>
                <xdr:rowOff>25400</xdr:rowOff>
              </from>
              <to>
                <xdr:col>3</xdr:col>
                <xdr:colOff>1587500</xdr:colOff>
                <xdr:row>40</xdr:row>
                <xdr:rowOff>12700</xdr:rowOff>
              </to>
            </anchor>
          </controlPr>
        </control>
      </mc:Choice>
      <mc:Fallback>
        <control shapeId="1062" r:id="rId4" name="CommandButton2"/>
      </mc:Fallback>
    </mc:AlternateContent>
    <mc:AlternateContent xmlns:mc="http://schemas.openxmlformats.org/markup-compatibility/2006">
      <mc:Choice Requires="x14">
        <control shapeId="1059" r:id="rId6" name="CommandButton1">
          <controlPr defaultSize="0" autoLine="0" r:id="rId7">
            <anchor moveWithCells="1">
              <from>
                <xdr:col>3</xdr:col>
                <xdr:colOff>901700</xdr:colOff>
                <xdr:row>35</xdr:row>
                <xdr:rowOff>25400</xdr:rowOff>
              </from>
              <to>
                <xdr:col>3</xdr:col>
                <xdr:colOff>1587500</xdr:colOff>
                <xdr:row>36</xdr:row>
                <xdr:rowOff>12700</xdr:rowOff>
              </to>
            </anchor>
          </controlPr>
        </control>
      </mc:Choice>
      <mc:Fallback>
        <control shapeId="1059" r:id="rId6" name="CommandButton1"/>
      </mc:Fallback>
    </mc:AlternateContent>
    <mc:AlternateContent xmlns:mc="http://schemas.openxmlformats.org/markup-compatibility/2006">
      <mc:Choice Requires="x14">
        <control shapeId="1070" r:id="rId8" name="CheckBox1">
          <controlPr defaultSize="0" autoLine="0" r:id="rId9">
            <anchor moveWithCells="1">
              <from>
                <xdr:col>11</xdr:col>
                <xdr:colOff>450850</xdr:colOff>
                <xdr:row>47</xdr:row>
                <xdr:rowOff>31750</xdr:rowOff>
              </from>
              <to>
                <xdr:col>11</xdr:col>
                <xdr:colOff>603250</xdr:colOff>
                <xdr:row>47</xdr:row>
                <xdr:rowOff>165100</xdr:rowOff>
              </to>
            </anchor>
          </controlPr>
        </control>
      </mc:Choice>
      <mc:Fallback>
        <control shapeId="1070" r:id="rId8" name="CheckBox1"/>
      </mc:Fallback>
    </mc:AlternateContent>
    <mc:AlternateContent xmlns:mc="http://schemas.openxmlformats.org/markup-compatibility/2006">
      <mc:Choice Requires="x14">
        <control shapeId="1077" r:id="rId10" name="CheckBox2">
          <controlPr defaultSize="0" autoLine="0" r:id="rId9">
            <anchor moveWithCells="1">
              <from>
                <xdr:col>11</xdr:col>
                <xdr:colOff>450850</xdr:colOff>
                <xdr:row>48</xdr:row>
                <xdr:rowOff>38100</xdr:rowOff>
              </from>
              <to>
                <xdr:col>11</xdr:col>
                <xdr:colOff>603250</xdr:colOff>
                <xdr:row>48</xdr:row>
                <xdr:rowOff>171450</xdr:rowOff>
              </to>
            </anchor>
          </controlPr>
        </control>
      </mc:Choice>
      <mc:Fallback>
        <control shapeId="1077" r:id="rId10" name="CheckBox2"/>
      </mc:Fallback>
    </mc:AlternateContent>
    <mc:AlternateContent xmlns:mc="http://schemas.openxmlformats.org/markup-compatibility/2006">
      <mc:Choice Requires="x14">
        <control shapeId="1079" r:id="rId11" name="CheckBox3">
          <controlPr defaultSize="0" autoLine="0" r:id="rId9">
            <anchor moveWithCells="1">
              <from>
                <xdr:col>11</xdr:col>
                <xdr:colOff>450850</xdr:colOff>
                <xdr:row>49</xdr:row>
                <xdr:rowOff>31750</xdr:rowOff>
              </from>
              <to>
                <xdr:col>11</xdr:col>
                <xdr:colOff>603250</xdr:colOff>
                <xdr:row>49</xdr:row>
                <xdr:rowOff>165100</xdr:rowOff>
              </to>
            </anchor>
          </controlPr>
        </control>
      </mc:Choice>
      <mc:Fallback>
        <control shapeId="1079" r:id="rId11" name="CheckBox3"/>
      </mc:Fallback>
    </mc:AlternateContent>
    <mc:AlternateContent xmlns:mc="http://schemas.openxmlformats.org/markup-compatibility/2006">
      <mc:Choice Requires="x14">
        <control shapeId="1080" r:id="rId12" name="CheckBox4">
          <controlPr defaultSize="0" autoLine="0" r:id="rId9">
            <anchor moveWithCells="1">
              <from>
                <xdr:col>11</xdr:col>
                <xdr:colOff>450850</xdr:colOff>
                <xdr:row>50</xdr:row>
                <xdr:rowOff>38100</xdr:rowOff>
              </from>
              <to>
                <xdr:col>11</xdr:col>
                <xdr:colOff>603250</xdr:colOff>
                <xdr:row>50</xdr:row>
                <xdr:rowOff>171450</xdr:rowOff>
              </to>
            </anchor>
          </controlPr>
        </control>
      </mc:Choice>
      <mc:Fallback>
        <control shapeId="1080" r:id="rId12" name="CheckBox4"/>
      </mc:Fallback>
    </mc:AlternateContent>
    <mc:AlternateContent xmlns:mc="http://schemas.openxmlformats.org/markup-compatibility/2006">
      <mc:Choice Requires="x14">
        <control shapeId="1081" r:id="rId13" name="CheckBox5">
          <controlPr defaultSize="0" autoLine="0" r:id="rId9">
            <anchor moveWithCells="1">
              <from>
                <xdr:col>11</xdr:col>
                <xdr:colOff>450850</xdr:colOff>
                <xdr:row>51</xdr:row>
                <xdr:rowOff>63500</xdr:rowOff>
              </from>
              <to>
                <xdr:col>11</xdr:col>
                <xdr:colOff>603250</xdr:colOff>
                <xdr:row>52</xdr:row>
                <xdr:rowOff>6350</xdr:rowOff>
              </to>
            </anchor>
          </controlPr>
        </control>
      </mc:Choice>
      <mc:Fallback>
        <control shapeId="1081" r:id="rId13" name="CheckBox5"/>
      </mc:Fallback>
    </mc:AlternateContent>
    <mc:AlternateContent xmlns:mc="http://schemas.openxmlformats.org/markup-compatibility/2006">
      <mc:Choice Requires="x14">
        <control shapeId="1082" r:id="rId14" name="CheckBox6">
          <controlPr defaultSize="0" autoLine="0" r:id="rId9">
            <anchor moveWithCells="1">
              <from>
                <xdr:col>11</xdr:col>
                <xdr:colOff>450850</xdr:colOff>
                <xdr:row>52</xdr:row>
                <xdr:rowOff>38100</xdr:rowOff>
              </from>
              <to>
                <xdr:col>11</xdr:col>
                <xdr:colOff>603250</xdr:colOff>
                <xdr:row>52</xdr:row>
                <xdr:rowOff>171450</xdr:rowOff>
              </to>
            </anchor>
          </controlPr>
        </control>
      </mc:Choice>
      <mc:Fallback>
        <control shapeId="1082" r:id="rId14" name="CheckBox6"/>
      </mc:Fallback>
    </mc:AlternateContent>
    <mc:AlternateContent xmlns:mc="http://schemas.openxmlformats.org/markup-compatibility/2006">
      <mc:Choice Requires="x14">
        <control shapeId="1083" r:id="rId15" name="CheckBox7">
          <controlPr defaultSize="0" autoLine="0" r:id="rId9">
            <anchor moveWithCells="1">
              <from>
                <xdr:col>11</xdr:col>
                <xdr:colOff>450850</xdr:colOff>
                <xdr:row>53</xdr:row>
                <xdr:rowOff>63500</xdr:rowOff>
              </from>
              <to>
                <xdr:col>11</xdr:col>
                <xdr:colOff>603250</xdr:colOff>
                <xdr:row>54</xdr:row>
                <xdr:rowOff>6350</xdr:rowOff>
              </to>
            </anchor>
          </controlPr>
        </control>
      </mc:Choice>
      <mc:Fallback>
        <control shapeId="1083" r:id="rId15" name="CheckBox7"/>
      </mc:Fallback>
    </mc:AlternateContent>
    <mc:AlternateContent xmlns:mc="http://schemas.openxmlformats.org/markup-compatibility/2006">
      <mc:Choice Requires="x14">
        <control shapeId="1085" r:id="rId16" name="CommandButton3">
          <controlPr defaultSize="0" autoLine="0" r:id="rId17">
            <anchor moveWithCells="1">
              <from>
                <xdr:col>2</xdr:col>
                <xdr:colOff>31750</xdr:colOff>
                <xdr:row>32</xdr:row>
                <xdr:rowOff>76200</xdr:rowOff>
              </from>
              <to>
                <xdr:col>2</xdr:col>
                <xdr:colOff>1073150</xdr:colOff>
                <xdr:row>32</xdr:row>
                <xdr:rowOff>361950</xdr:rowOff>
              </to>
            </anchor>
          </controlPr>
        </control>
      </mc:Choice>
      <mc:Fallback>
        <control shapeId="1085" r:id="rId16" name="CommandButton3"/>
      </mc:Fallback>
    </mc:AlternateContent>
    <mc:AlternateContent xmlns:mc="http://schemas.openxmlformats.org/markup-compatibility/2006">
      <mc:Choice Requires="x14">
        <control shapeId="1086" r:id="rId18" name="CheckBox8">
          <controlPr defaultSize="0" autoLine="0" r:id="rId19">
            <anchor moveWithCells="1">
              <from>
                <xdr:col>11</xdr:col>
                <xdr:colOff>831850</xdr:colOff>
                <xdr:row>46</xdr:row>
                <xdr:rowOff>139700</xdr:rowOff>
              </from>
              <to>
                <xdr:col>11</xdr:col>
                <xdr:colOff>996950</xdr:colOff>
                <xdr:row>46</xdr:row>
                <xdr:rowOff>273050</xdr:rowOff>
              </to>
            </anchor>
          </controlPr>
        </control>
      </mc:Choice>
      <mc:Fallback>
        <control shapeId="1086" r:id="rId18" name="CheckBox8"/>
      </mc:Fallback>
    </mc:AlternateContent>
    <mc:AlternateContent xmlns:mc="http://schemas.openxmlformats.org/markup-compatibility/2006">
      <mc:Choice Requires="x14">
        <control shapeId="1091" r:id="rId20" name="nfila">
          <controlPr defaultSize="0" autoLine="0" r:id="rId21">
            <anchor moveWithCells="1">
              <from>
                <xdr:col>10</xdr:col>
                <xdr:colOff>571500</xdr:colOff>
                <xdr:row>56</xdr:row>
                <xdr:rowOff>63500</xdr:rowOff>
              </from>
              <to>
                <xdr:col>10</xdr:col>
                <xdr:colOff>1035050</xdr:colOff>
                <xdr:row>56</xdr:row>
                <xdr:rowOff>336550</xdr:rowOff>
              </to>
            </anchor>
          </controlPr>
        </control>
      </mc:Choice>
      <mc:Fallback>
        <control shapeId="1091" r:id="rId20" name="nfila"/>
      </mc:Fallback>
    </mc:AlternateContent>
    <mc:AlternateContent xmlns:mc="http://schemas.openxmlformats.org/markup-compatibility/2006">
      <mc:Choice Requires="x14">
        <control shapeId="1094" r:id="rId22" name="agregarFila">
          <controlPr defaultSize="0" autoLine="0" r:id="rId23">
            <anchor moveWithCells="1">
              <from>
                <xdr:col>11</xdr:col>
                <xdr:colOff>184150</xdr:colOff>
                <xdr:row>56</xdr:row>
                <xdr:rowOff>63500</xdr:rowOff>
              </from>
              <to>
                <xdr:col>11</xdr:col>
                <xdr:colOff>527050</xdr:colOff>
                <xdr:row>56</xdr:row>
                <xdr:rowOff>336550</xdr:rowOff>
              </to>
            </anchor>
          </controlPr>
        </control>
      </mc:Choice>
      <mc:Fallback>
        <control shapeId="1094" r:id="rId22" name="agregarFila"/>
      </mc:Fallback>
    </mc:AlternateContent>
    <mc:AlternateContent xmlns:mc="http://schemas.openxmlformats.org/markup-compatibility/2006">
      <mc:Choice Requires="x14">
        <control shapeId="1095" r:id="rId24" name="eliminarFila">
          <controlPr defaultSize="0" autoLine="0" r:id="rId25">
            <anchor moveWithCells="1">
              <from>
                <xdr:col>11</xdr:col>
                <xdr:colOff>596900</xdr:colOff>
                <xdr:row>56</xdr:row>
                <xdr:rowOff>63500</xdr:rowOff>
              </from>
              <to>
                <xdr:col>11</xdr:col>
                <xdr:colOff>939800</xdr:colOff>
                <xdr:row>56</xdr:row>
                <xdr:rowOff>349250</xdr:rowOff>
              </to>
            </anchor>
          </controlPr>
        </control>
      </mc:Choice>
      <mc:Fallback>
        <control shapeId="1095" r:id="rId24" name="eliminarFila"/>
      </mc:Fallback>
    </mc:AlternateContent>
    <mc:AlternateContent xmlns:mc="http://schemas.openxmlformats.org/markup-compatibility/2006">
      <mc:Choice Requires="x14">
        <control shapeId="1100" r:id="rId26" name="habilitarFormato">
          <controlPr defaultSize="0" autoLine="0" r:id="rId27">
            <anchor moveWithCells="1">
              <from>
                <xdr:col>1</xdr:col>
                <xdr:colOff>0</xdr:colOff>
                <xdr:row>54</xdr:row>
                <xdr:rowOff>177800</xdr:rowOff>
              </from>
              <to>
                <xdr:col>2</xdr:col>
                <xdr:colOff>1003300</xdr:colOff>
                <xdr:row>55</xdr:row>
                <xdr:rowOff>260350</xdr:rowOff>
              </to>
            </anchor>
          </controlPr>
        </control>
      </mc:Choice>
      <mc:Fallback>
        <control shapeId="1100" r:id="rId26" name="habilitarFormato"/>
      </mc:Fallback>
    </mc:AlternateContent>
    <mc:AlternateContent xmlns:mc="http://schemas.openxmlformats.org/markup-compatibility/2006">
      <mc:Choice Requires="x14">
        <control shapeId="1101" r:id="rId28" name="deshabilitarFormato">
          <controlPr defaultSize="0" autoLine="0" r:id="rId29">
            <anchor moveWithCells="1">
              <from>
                <xdr:col>2</xdr:col>
                <xdr:colOff>1060450</xdr:colOff>
                <xdr:row>54</xdr:row>
                <xdr:rowOff>152400</xdr:rowOff>
              </from>
              <to>
                <xdr:col>3</xdr:col>
                <xdr:colOff>977900</xdr:colOff>
                <xdr:row>55</xdr:row>
                <xdr:rowOff>247650</xdr:rowOff>
              </to>
            </anchor>
          </controlPr>
        </control>
      </mc:Choice>
      <mc:Fallback>
        <control shapeId="1101" r:id="rId28" name="deshabilitarFormato"/>
      </mc:Fallback>
    </mc:AlternateContent>
    <mc:AlternateContent xmlns:mc="http://schemas.openxmlformats.org/markup-compatibility/2006">
      <mc:Choice Requires="x14">
        <control shapeId="1102" r:id="rId30" name="CommandButton4">
          <controlPr defaultSize="0" autoLine="0" r:id="rId31">
            <anchor moveWithCells="1">
              <from>
                <xdr:col>1</xdr:col>
                <xdr:colOff>0</xdr:colOff>
                <xdr:row>12</xdr:row>
                <xdr:rowOff>76200</xdr:rowOff>
              </from>
              <to>
                <xdr:col>2</xdr:col>
                <xdr:colOff>946150</xdr:colOff>
                <xdr:row>12</xdr:row>
                <xdr:rowOff>450850</xdr:rowOff>
              </to>
            </anchor>
          </controlPr>
        </control>
      </mc:Choice>
      <mc:Fallback>
        <control shapeId="1102" r:id="rId30" name="CommandButton4"/>
      </mc:Fallback>
    </mc:AlternateContent>
    <mc:AlternateContent xmlns:mc="http://schemas.openxmlformats.org/markup-compatibility/2006">
      <mc:Choice Requires="x14">
        <control shapeId="1103" r:id="rId32" name="CheckBox9">
          <controlPr defaultSize="0" autoLine="0" r:id="rId19">
            <anchor moveWithCells="1">
              <from>
                <xdr:col>12</xdr:col>
                <xdr:colOff>25400</xdr:colOff>
                <xdr:row>46</xdr:row>
                <xdr:rowOff>292100</xdr:rowOff>
              </from>
              <to>
                <xdr:col>13</xdr:col>
                <xdr:colOff>12700</xdr:colOff>
                <xdr:row>47</xdr:row>
                <xdr:rowOff>101600</xdr:rowOff>
              </to>
            </anchor>
          </controlPr>
        </control>
      </mc:Choice>
      <mc:Fallback>
        <control shapeId="1103" r:id="rId32" name="CheckBox9"/>
      </mc:Fallback>
    </mc:AlternateContent>
    <mc:AlternateContent xmlns:mc="http://schemas.openxmlformats.org/markup-compatibility/2006">
      <mc:Choice Requires="x14">
        <control shapeId="1110" r:id="rId33" name="Check Box 86">
          <controlPr defaultSize="0" autoFill="0" autoLine="0" autoPict="0">
            <anchor moveWithCells="1">
              <from>
                <xdr:col>6</xdr:col>
                <xdr:colOff>901700</xdr:colOff>
                <xdr:row>9</xdr:row>
                <xdr:rowOff>31750</xdr:rowOff>
              </from>
              <to>
                <xdr:col>6</xdr:col>
                <xdr:colOff>1136650</xdr:colOff>
                <xdr:row>10</xdr:row>
                <xdr:rowOff>25400</xdr:rowOff>
              </to>
            </anchor>
          </controlPr>
        </control>
      </mc:Choice>
    </mc:AlternateContent>
    <mc:AlternateContent xmlns:mc="http://schemas.openxmlformats.org/markup-compatibility/2006">
      <mc:Choice Requires="x14">
        <control shapeId="1111" r:id="rId34" name="Check Box 87">
          <controlPr defaultSize="0" autoFill="0" autoLine="0" autoPict="0">
            <anchor moveWithCells="1">
              <from>
                <xdr:col>7</xdr:col>
                <xdr:colOff>838200</xdr:colOff>
                <xdr:row>9</xdr:row>
                <xdr:rowOff>31750</xdr:rowOff>
              </from>
              <to>
                <xdr:col>7</xdr:col>
                <xdr:colOff>1092200</xdr:colOff>
                <xdr:row>10</xdr:row>
                <xdr:rowOff>25400</xdr:rowOff>
              </to>
            </anchor>
          </controlPr>
        </control>
      </mc:Choice>
    </mc:AlternateContent>
    <mc:AlternateContent xmlns:mc="http://schemas.openxmlformats.org/markup-compatibility/2006">
      <mc:Choice Requires="x14">
        <control shapeId="1112" r:id="rId35" name="Check Box 88">
          <controlPr defaultSize="0" autoFill="0" autoLine="0" autoPict="0">
            <anchor moveWithCells="1">
              <from>
                <xdr:col>8</xdr:col>
                <xdr:colOff>825500</xdr:colOff>
                <xdr:row>9</xdr:row>
                <xdr:rowOff>31750</xdr:rowOff>
              </from>
              <to>
                <xdr:col>8</xdr:col>
                <xdr:colOff>1054100</xdr:colOff>
                <xdr:row>10</xdr:row>
                <xdr:rowOff>25400</xdr:rowOff>
              </to>
            </anchor>
          </controlPr>
        </control>
      </mc:Choice>
    </mc:AlternateContent>
    <mc:AlternateContent xmlns:mc="http://schemas.openxmlformats.org/markup-compatibility/2006">
      <mc:Choice Requires="x14">
        <control shapeId="1113" r:id="rId36" name="Check Box 89">
          <controlPr defaultSize="0" autoFill="0" autoLine="0" autoPict="0">
            <anchor moveWithCells="1">
              <from>
                <xdr:col>9</xdr:col>
                <xdr:colOff>825500</xdr:colOff>
                <xdr:row>9</xdr:row>
                <xdr:rowOff>31750</xdr:rowOff>
              </from>
              <to>
                <xdr:col>9</xdr:col>
                <xdr:colOff>1054100</xdr:colOff>
                <xdr:row>10</xdr:row>
                <xdr:rowOff>25400</xdr:rowOff>
              </to>
            </anchor>
          </controlPr>
        </control>
      </mc:Choice>
    </mc:AlternateContent>
    <mc:AlternateContent xmlns:mc="http://schemas.openxmlformats.org/markup-compatibility/2006">
      <mc:Choice Requires="x14">
        <control shapeId="1114" r:id="rId37" name="Check Box 90">
          <controlPr defaultSize="0" autoFill="0" autoLine="0" autoPict="0">
            <anchor moveWithCells="1">
              <from>
                <xdr:col>10</xdr:col>
                <xdr:colOff>838200</xdr:colOff>
                <xdr:row>9</xdr:row>
                <xdr:rowOff>31750</xdr:rowOff>
              </from>
              <to>
                <xdr:col>10</xdr:col>
                <xdr:colOff>1092200</xdr:colOff>
                <xdr:row>10</xdr:row>
                <xdr:rowOff>25400</xdr:rowOff>
              </to>
            </anchor>
          </controlPr>
        </control>
      </mc:Choice>
    </mc:AlternateContent>
    <mc:AlternateContent xmlns:mc="http://schemas.openxmlformats.org/markup-compatibility/2006">
      <mc:Choice Requires="x14">
        <control shapeId="1115" r:id="rId38" name="Check Box 91">
          <controlPr defaultSize="0" autoFill="0" autoLine="0" autoPict="0">
            <anchor moveWithCells="1">
              <from>
                <xdr:col>11</xdr:col>
                <xdr:colOff>876300</xdr:colOff>
                <xdr:row>9</xdr:row>
                <xdr:rowOff>31750</xdr:rowOff>
              </from>
              <to>
                <xdr:col>12</xdr:col>
                <xdr:colOff>146050</xdr:colOff>
                <xdr:row>10</xdr:row>
                <xdr:rowOff>25400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ellIs" priority="28" operator="lessThan" id="{A987596E-ECD4-4948-9A5D-44010F1B59F0}">
            <xm:f>Param_General!$R$10</xm:f>
            <x14:dxf>
              <font>
                <color rgb="FF9C0006"/>
              </font>
              <fill>
                <patternFill>
                  <bgColor rgb="FFFFC7CE"/>
                </patternFill>
              </fill>
            </x14:dxf>
          </x14:cfRule>
          <xm:sqref>J36</xm:sqref>
        </x14:conditionalFormatting>
        <x14:conditionalFormatting xmlns:xm="http://schemas.microsoft.com/office/excel/2006/main">
          <x14:cfRule type="cellIs" priority="27" operator="lessThan" id="{2588EC5B-0546-4984-965A-071405994C2D}">
            <xm:f>Param_General!$R$10</xm:f>
            <x14:dxf>
              <font>
                <color rgb="FF9C0006"/>
              </font>
              <fill>
                <patternFill>
                  <bgColor rgb="FFFFC7CE"/>
                </patternFill>
              </fill>
            </x14:dxf>
          </x14:cfRule>
          <xm:sqref>J37</xm:sqref>
        </x14:conditionalFormatting>
        <x14:conditionalFormatting xmlns:xm="http://schemas.microsoft.com/office/excel/2006/main">
          <x14:cfRule type="cellIs" priority="26" operator="lessThan" id="{9430690D-6229-4D90-B877-E48968C1D3AC}">
            <xm:f>Param_General!$R$10</xm:f>
            <x14:dxf>
              <font>
                <color rgb="FF9C0006"/>
              </font>
              <fill>
                <patternFill>
                  <bgColor rgb="FFFFC7CE"/>
                </patternFill>
              </fill>
            </x14:dxf>
          </x14:cfRule>
          <xm:sqref>J38</xm:sqref>
        </x14:conditionalFormatting>
        <x14:conditionalFormatting xmlns:xm="http://schemas.microsoft.com/office/excel/2006/main">
          <x14:cfRule type="cellIs" priority="25" operator="lessThan" id="{05F09E0C-6800-404D-BEB6-315F18CD92BB}">
            <xm:f>Param_General!$R$10</xm:f>
            <x14:dxf>
              <font>
                <color rgb="FF9C0006"/>
              </font>
              <fill>
                <patternFill>
                  <bgColor rgb="FFFFC7CE"/>
                </patternFill>
              </fill>
            </x14:dxf>
          </x14:cfRule>
          <xm:sqref>J39</xm:sqref>
        </x14:conditionalFormatting>
        <x14:conditionalFormatting xmlns:xm="http://schemas.microsoft.com/office/excel/2006/main">
          <x14:cfRule type="cellIs" priority="24" operator="lessThan" id="{DBA24564-3170-4CA9-8340-9ADB7E6E4245}">
            <xm:f>Param_General!$R$10</xm:f>
            <x14:dxf>
              <font>
                <color rgb="FF9C0006"/>
              </font>
              <fill>
                <patternFill>
                  <bgColor rgb="FFFFC7CE"/>
                </patternFill>
              </fill>
            </x14:dxf>
          </x14:cfRule>
          <xm:sqref>J40</xm:sqref>
        </x14:conditionalFormatting>
      </x14:conditionalFormattings>
    </ext>
    <ext xmlns:x14="http://schemas.microsoft.com/office/spreadsheetml/2009/9/main" uri="{CCE6A557-97BC-4b89-ADB6-D9C93CAAB3DF}">
      <x14:dataValidations xmlns:xm="http://schemas.microsoft.com/office/excel/2006/main" xWindow="419" yWindow="330" count="9">
        <x14:dataValidation type="list" allowBlank="1" showInputMessage="1" showErrorMessage="1">
          <x14:formula1>
            <xm:f>Param_General!$J$4:$J$6</xm:f>
          </x14:formula1>
          <xm:sqref>E14</xm:sqref>
        </x14:dataValidation>
        <x14:dataValidation type="list" allowBlank="1" showInputMessage="1" showErrorMessage="1">
          <x14:formula1>
            <xm:f>Param_General!$AF$4:$AF$6</xm:f>
          </x14:formula1>
          <xm:sqref>I18</xm:sqref>
        </x14:dataValidation>
        <x14:dataValidation type="list" allowBlank="1" showInputMessage="1" showErrorMessage="1">
          <x14:formula1>
            <xm:f>Param_General!$D$10:$D$11</xm:f>
          </x14:formula1>
          <xm:sqref>I14</xm:sqref>
        </x14:dataValidation>
        <x14:dataValidation type="list" allowBlank="1" showInputMessage="1" showErrorMessage="1">
          <x14:formula1>
            <xm:f>Param_General!$Z$4:$Z$7</xm:f>
          </x14:formula1>
          <xm:sqref>E15</xm:sqref>
        </x14:dataValidation>
        <x14:dataValidation type="list" allowBlank="1" showInputMessage="1" showErrorMessage="1">
          <x14:formula1>
            <xm:f>Param_General!$D$15:$D$16</xm:f>
          </x14:formula1>
          <xm:sqref>I16</xm:sqref>
        </x14:dataValidation>
        <x14:dataValidation type="list" allowBlank="1" showInputMessage="1" showErrorMessage="1">
          <x14:formula1>
            <xm:f>Param_General!$AN$4:$AN$8</xm:f>
          </x14:formula1>
          <xm:sqref>B27:D31</xm:sqref>
        </x14:dataValidation>
        <x14:dataValidation type="list" allowBlank="1" showInputMessage="1" showErrorMessage="1">
          <x14:formula1>
            <xm:f>Param_General!$AT$4:$AT$5</xm:f>
          </x14:formula1>
          <xm:sqref>G5:M5</xm:sqref>
        </x14:dataValidation>
        <x14:dataValidation type="list" allowBlank="1" showInputMessage="1" showErrorMessage="1">
          <x14:formula1>
            <xm:f>Param_General!$BA$4:$BA$5</xm:f>
          </x14:formula1>
          <xm:sqref>H22</xm:sqref>
        </x14:dataValidation>
        <x14:dataValidation type="list" allowBlank="1" showInputMessage="1" showErrorMessage="1">
          <x14:formula1>
            <xm:f>Param_General!$U$4:$U$6</xm:f>
          </x14:formula1>
          <xm:sqref>I20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D52"/>
  <sheetViews>
    <sheetView topLeftCell="A26" workbookViewId="0">
      <selection activeCell="B27" sqref="B27:J27"/>
    </sheetView>
  </sheetViews>
  <sheetFormatPr defaultColWidth="11.453125" defaultRowHeight="14.5" x14ac:dyDescent="0.35"/>
  <cols>
    <col min="1" max="1" width="7.36328125" style="161" customWidth="1"/>
    <col min="2" max="2" width="7.54296875" style="161" customWidth="1"/>
    <col min="3" max="3" width="10" style="161" customWidth="1"/>
    <col min="4" max="4" width="9.36328125" style="161" customWidth="1"/>
    <col min="5" max="10" width="12.6328125" style="161" customWidth="1"/>
    <col min="11" max="11" width="11.453125" style="161"/>
    <col min="12" max="12" width="9.36328125" style="161" customWidth="1"/>
    <col min="13" max="13" width="10" style="161" customWidth="1"/>
    <col min="14" max="14" width="8.6328125" style="161" customWidth="1"/>
    <col min="15" max="20" width="12.6328125" style="161" customWidth="1"/>
    <col min="21" max="24" width="11.453125" style="161"/>
    <col min="25" max="30" width="12.6328125" style="161" customWidth="1"/>
    <col min="31" max="16384" width="11.453125" style="161"/>
  </cols>
  <sheetData>
    <row r="1" spans="1:30" s="27" customFormat="1" x14ac:dyDescent="0.35">
      <c r="A1" s="29"/>
      <c r="B1" s="39"/>
      <c r="C1" s="39"/>
      <c r="D1" s="39"/>
      <c r="E1" s="39"/>
      <c r="F1" s="39"/>
      <c r="G1" s="39"/>
      <c r="H1" s="39"/>
      <c r="I1" s="39"/>
      <c r="J1" s="39"/>
      <c r="K1" s="30"/>
    </row>
    <row r="2" spans="1:30" s="27" customFormat="1" ht="22.5" customHeight="1" x14ac:dyDescent="0.35">
      <c r="A2" s="29"/>
      <c r="B2" s="434"/>
      <c r="C2" s="434"/>
      <c r="D2" s="432" t="str">
        <f>Planeación!D1</f>
        <v>VERIFICACIÓN Y VALIDACIÓN</v>
      </c>
      <c r="E2" s="432"/>
      <c r="F2" s="432"/>
      <c r="G2" s="432"/>
      <c r="H2" s="433"/>
      <c r="I2" s="424" t="s">
        <v>1562</v>
      </c>
      <c r="J2" s="425"/>
      <c r="K2" s="30"/>
    </row>
    <row r="3" spans="1:30" s="27" customFormat="1" ht="28.5" customHeight="1" x14ac:dyDescent="0.35">
      <c r="A3" s="29"/>
      <c r="B3" s="434"/>
      <c r="C3" s="434"/>
      <c r="D3" s="432" t="str">
        <f>Planeación!D2</f>
        <v>FORMATO: Prueba interna</v>
      </c>
      <c r="E3" s="432"/>
      <c r="F3" s="432"/>
      <c r="G3" s="432"/>
      <c r="H3" s="433"/>
      <c r="I3" s="426"/>
      <c r="J3" s="427"/>
      <c r="K3" s="30"/>
    </row>
    <row r="4" spans="1:30" ht="12.75" customHeight="1" x14ac:dyDescent="0.35">
      <c r="B4" s="162"/>
      <c r="C4" s="162"/>
      <c r="D4" s="330"/>
      <c r="E4" s="330"/>
      <c r="F4" s="330"/>
      <c r="G4" s="330"/>
      <c r="H4" s="330"/>
      <c r="I4" s="162"/>
      <c r="J4" s="162"/>
    </row>
    <row r="5" spans="1:30" ht="26.25" customHeight="1" x14ac:dyDescent="0.35">
      <c r="C5" s="163"/>
      <c r="D5" s="429" t="s">
        <v>899</v>
      </c>
      <c r="E5" s="430"/>
      <c r="F5" s="430"/>
      <c r="G5" s="431"/>
      <c r="H5" s="329"/>
      <c r="I5" s="329"/>
    </row>
    <row r="6" spans="1:30" ht="5.25" customHeight="1" x14ac:dyDescent="0.35">
      <c r="B6" s="331"/>
      <c r="C6" s="331"/>
      <c r="D6" s="330"/>
      <c r="E6" s="330"/>
      <c r="F6" s="330"/>
      <c r="G6" s="330"/>
      <c r="H6" s="330"/>
      <c r="I6" s="331"/>
      <c r="J6" s="331"/>
    </row>
    <row r="7" spans="1:30" x14ac:dyDescent="0.35">
      <c r="A7" s="163"/>
      <c r="B7" s="408" t="s">
        <v>1526</v>
      </c>
      <c r="C7" s="408"/>
      <c r="D7" s="418"/>
      <c r="E7" s="419" t="s">
        <v>1561</v>
      </c>
      <c r="F7" s="420"/>
      <c r="G7" s="420"/>
      <c r="H7" s="420"/>
      <c r="I7" s="420"/>
      <c r="J7" s="421"/>
      <c r="K7" s="329"/>
      <c r="L7" s="37"/>
      <c r="M7" s="37"/>
      <c r="N7" s="37"/>
      <c r="O7" s="37"/>
      <c r="P7" s="37"/>
      <c r="Q7" s="37"/>
      <c r="R7" s="37"/>
      <c r="S7" s="37"/>
      <c r="T7" s="37"/>
      <c r="V7" s="37"/>
      <c r="W7" s="37"/>
      <c r="X7" s="37"/>
      <c r="Y7" s="37"/>
      <c r="Z7" s="37"/>
      <c r="AA7" s="37"/>
      <c r="AB7" s="37"/>
      <c r="AC7" s="37"/>
      <c r="AD7" s="37"/>
    </row>
    <row r="8" spans="1:30" ht="5.25" customHeight="1" x14ac:dyDescent="0.35">
      <c r="A8" s="163"/>
      <c r="B8" s="37"/>
      <c r="C8" s="37"/>
      <c r="D8" s="37"/>
      <c r="E8" s="37"/>
      <c r="F8" s="37"/>
      <c r="G8" s="37"/>
      <c r="H8" s="37"/>
      <c r="I8" s="37"/>
      <c r="J8" s="37"/>
      <c r="L8" s="37"/>
      <c r="M8" s="37"/>
      <c r="N8" s="37"/>
      <c r="O8" s="37"/>
      <c r="P8" s="37"/>
      <c r="Q8" s="37"/>
      <c r="R8" s="37"/>
      <c r="S8" s="37"/>
      <c r="T8" s="37"/>
      <c r="V8" s="37"/>
      <c r="W8" s="37"/>
      <c r="X8" s="37"/>
      <c r="Y8" s="37"/>
      <c r="Z8" s="37"/>
      <c r="AA8" s="37"/>
      <c r="AB8" s="37"/>
      <c r="AC8" s="37"/>
      <c r="AD8" s="37"/>
    </row>
    <row r="9" spans="1:30" x14ac:dyDescent="0.35">
      <c r="A9" s="163"/>
      <c r="B9" s="418" t="s">
        <v>1527</v>
      </c>
      <c r="C9" s="422"/>
      <c r="D9" s="410"/>
      <c r="E9" s="303">
        <v>1</v>
      </c>
      <c r="F9" s="329"/>
      <c r="G9" s="329"/>
      <c r="H9" s="329"/>
      <c r="I9" s="329"/>
      <c r="J9" s="329"/>
      <c r="L9" s="37"/>
      <c r="M9" s="37"/>
      <c r="N9" s="37"/>
      <c r="O9" s="37"/>
      <c r="P9" s="37"/>
      <c r="Q9" s="37"/>
      <c r="R9" s="37"/>
      <c r="S9" s="37"/>
      <c r="T9" s="37"/>
      <c r="V9" s="37"/>
      <c r="W9" s="37"/>
      <c r="X9" s="37"/>
      <c r="Y9" s="37"/>
      <c r="Z9" s="37"/>
      <c r="AA9" s="37"/>
      <c r="AB9" s="37"/>
      <c r="AC9" s="37"/>
      <c r="AD9" s="37"/>
    </row>
    <row r="10" spans="1:30" ht="15.75" customHeight="1" x14ac:dyDescent="0.35">
      <c r="A10" s="163"/>
      <c r="B10" s="37"/>
      <c r="C10" s="37"/>
      <c r="D10" s="37"/>
      <c r="E10" s="37"/>
      <c r="F10" s="37"/>
      <c r="G10" s="37"/>
      <c r="H10" s="37"/>
      <c r="I10" s="37"/>
      <c r="J10" s="37"/>
      <c r="L10" s="37"/>
      <c r="M10" s="37"/>
      <c r="N10" s="37"/>
      <c r="O10" s="37"/>
      <c r="P10" s="37"/>
      <c r="Q10" s="37"/>
      <c r="R10" s="37"/>
      <c r="S10" s="37"/>
      <c r="T10" s="37"/>
      <c r="V10" s="37"/>
      <c r="W10" s="37"/>
      <c r="X10" s="37"/>
      <c r="Y10" s="37"/>
      <c r="Z10" s="37"/>
      <c r="AA10" s="37"/>
      <c r="AB10" s="37"/>
      <c r="AC10" s="37"/>
      <c r="AD10" s="37"/>
    </row>
    <row r="11" spans="1:30" ht="12.75" customHeight="1" x14ac:dyDescent="0.35">
      <c r="A11" s="163"/>
      <c r="B11" s="407" t="s">
        <v>1547</v>
      </c>
      <c r="C11" s="407"/>
      <c r="D11" s="407"/>
      <c r="E11" s="407"/>
      <c r="F11" s="407"/>
      <c r="G11" s="407"/>
      <c r="H11" s="407"/>
      <c r="I11" s="407"/>
      <c r="J11" s="407"/>
      <c r="L11" s="407" t="s">
        <v>1518</v>
      </c>
      <c r="M11" s="407"/>
      <c r="N11" s="407"/>
      <c r="O11" s="407"/>
      <c r="P11" s="407"/>
      <c r="Q11" s="407"/>
      <c r="R11" s="407"/>
      <c r="S11" s="407"/>
      <c r="T11" s="407"/>
      <c r="V11" s="407" t="s">
        <v>1517</v>
      </c>
      <c r="W11" s="407"/>
      <c r="X11" s="407"/>
      <c r="Y11" s="407"/>
      <c r="Z11" s="407"/>
      <c r="AA11" s="407"/>
      <c r="AB11" s="407"/>
      <c r="AC11" s="407"/>
      <c r="AD11" s="407"/>
    </row>
    <row r="12" spans="1:30" x14ac:dyDescent="0.35">
      <c r="A12" s="332"/>
      <c r="B12" s="408" t="s">
        <v>1528</v>
      </c>
      <c r="C12" s="408"/>
      <c r="D12" s="408"/>
      <c r="E12" s="428"/>
      <c r="F12" s="428"/>
      <c r="G12" s="410" t="s">
        <v>1529</v>
      </c>
      <c r="H12" s="408"/>
      <c r="I12" s="428"/>
      <c r="J12" s="428"/>
      <c r="L12" s="408" t="s">
        <v>890</v>
      </c>
      <c r="M12" s="408"/>
      <c r="N12" s="408"/>
      <c r="O12" s="409"/>
      <c r="P12" s="409"/>
      <c r="Q12" s="410" t="s">
        <v>891</v>
      </c>
      <c r="R12" s="408"/>
      <c r="S12" s="409"/>
      <c r="T12" s="409"/>
      <c r="V12" s="408" t="s">
        <v>890</v>
      </c>
      <c r="W12" s="408"/>
      <c r="X12" s="408"/>
      <c r="Y12" s="409"/>
      <c r="Z12" s="409"/>
      <c r="AA12" s="410" t="s">
        <v>891</v>
      </c>
      <c r="AB12" s="408"/>
      <c r="AC12" s="409"/>
      <c r="AD12" s="409"/>
    </row>
    <row r="13" spans="1:30" ht="5.25" customHeight="1" x14ac:dyDescent="0.35">
      <c r="A13" s="333"/>
      <c r="B13" s="411"/>
      <c r="C13" s="411"/>
      <c r="D13" s="411"/>
      <c r="E13" s="411"/>
      <c r="F13" s="411"/>
      <c r="G13" s="411"/>
      <c r="H13" s="411"/>
      <c r="I13" s="411"/>
      <c r="J13" s="411"/>
      <c r="L13" s="411"/>
      <c r="M13" s="411"/>
      <c r="N13" s="411"/>
      <c r="O13" s="411"/>
      <c r="P13" s="411"/>
      <c r="Q13" s="411"/>
      <c r="R13" s="411"/>
      <c r="S13" s="411"/>
      <c r="T13" s="411"/>
      <c r="V13" s="411"/>
      <c r="W13" s="411"/>
      <c r="X13" s="411"/>
      <c r="Y13" s="411"/>
      <c r="Z13" s="411"/>
      <c r="AA13" s="411"/>
      <c r="AB13" s="411"/>
      <c r="AC13" s="411"/>
      <c r="AD13" s="411"/>
    </row>
    <row r="14" spans="1:30" x14ac:dyDescent="0.35">
      <c r="A14" s="332"/>
      <c r="B14" s="408" t="s">
        <v>1530</v>
      </c>
      <c r="C14" s="408"/>
      <c r="D14" s="408"/>
      <c r="E14" s="428"/>
      <c r="F14" s="428"/>
      <c r="G14" s="410" t="s">
        <v>1531</v>
      </c>
      <c r="H14" s="408"/>
      <c r="I14" s="428"/>
      <c r="J14" s="428"/>
      <c r="L14" s="408" t="s">
        <v>1530</v>
      </c>
      <c r="M14" s="408"/>
      <c r="N14" s="408"/>
      <c r="O14" s="428"/>
      <c r="P14" s="428"/>
      <c r="Q14" s="410" t="s">
        <v>1531</v>
      </c>
      <c r="R14" s="408"/>
      <c r="S14" s="435"/>
      <c r="T14" s="436"/>
      <c r="V14" s="408" t="s">
        <v>1530</v>
      </c>
      <c r="W14" s="408"/>
      <c r="X14" s="408"/>
      <c r="Y14" s="428"/>
      <c r="Z14" s="428"/>
      <c r="AA14" s="410" t="s">
        <v>1531</v>
      </c>
      <c r="AB14" s="408"/>
      <c r="AC14" s="435"/>
      <c r="AD14" s="436"/>
    </row>
    <row r="15" spans="1:30" ht="6" customHeight="1" x14ac:dyDescent="0.35">
      <c r="A15" s="332"/>
      <c r="B15" s="411"/>
      <c r="C15" s="411"/>
      <c r="D15" s="411"/>
      <c r="E15" s="411"/>
      <c r="F15" s="411"/>
      <c r="G15" s="411"/>
      <c r="H15" s="411"/>
      <c r="I15" s="411"/>
      <c r="J15" s="411"/>
      <c r="L15" s="411"/>
      <c r="M15" s="411"/>
      <c r="N15" s="411"/>
      <c r="O15" s="411"/>
      <c r="P15" s="411"/>
      <c r="Q15" s="411"/>
      <c r="R15" s="411"/>
      <c r="S15" s="411"/>
      <c r="T15" s="411"/>
      <c r="V15" s="411"/>
      <c r="W15" s="411"/>
      <c r="X15" s="411"/>
      <c r="Y15" s="411"/>
      <c r="Z15" s="411"/>
      <c r="AA15" s="411"/>
      <c r="AB15" s="411"/>
      <c r="AC15" s="411"/>
      <c r="AD15" s="411"/>
    </row>
    <row r="16" spans="1:30" x14ac:dyDescent="0.35">
      <c r="A16" s="332"/>
      <c r="B16" s="408" t="s">
        <v>1544</v>
      </c>
      <c r="C16" s="408"/>
      <c r="D16" s="408"/>
      <c r="E16" s="423"/>
      <c r="F16" s="423"/>
      <c r="L16" s="408" t="s">
        <v>1544</v>
      </c>
      <c r="M16" s="408"/>
      <c r="N16" s="408"/>
      <c r="O16" s="440"/>
      <c r="P16" s="440"/>
      <c r="V16" s="408" t="s">
        <v>1544</v>
      </c>
      <c r="W16" s="408"/>
      <c r="X16" s="408"/>
      <c r="Y16" s="440"/>
      <c r="Z16" s="440"/>
    </row>
    <row r="17" spans="1:30" ht="5.25" customHeight="1" x14ac:dyDescent="0.35">
      <c r="A17" s="333"/>
      <c r="B17" s="411"/>
      <c r="C17" s="411"/>
      <c r="D17" s="411"/>
      <c r="E17" s="411"/>
      <c r="F17" s="411"/>
      <c r="G17" s="411"/>
      <c r="H17" s="411"/>
      <c r="I17" s="411"/>
      <c r="J17" s="411"/>
      <c r="L17" s="411"/>
      <c r="M17" s="411"/>
      <c r="N17" s="411"/>
      <c r="O17" s="411"/>
      <c r="P17" s="411"/>
      <c r="Q17" s="411"/>
      <c r="R17" s="411"/>
      <c r="S17" s="411"/>
      <c r="T17" s="411"/>
      <c r="V17" s="411"/>
      <c r="W17" s="411"/>
      <c r="X17" s="411"/>
      <c r="Y17" s="411"/>
      <c r="Z17" s="411"/>
      <c r="AA17" s="411"/>
      <c r="AB17" s="411"/>
      <c r="AC17" s="411"/>
      <c r="AD17" s="411"/>
    </row>
    <row r="18" spans="1:30" x14ac:dyDescent="0.35">
      <c r="A18" s="163"/>
      <c r="B18" s="408" t="s">
        <v>1516</v>
      </c>
      <c r="C18" s="408"/>
      <c r="D18" s="408"/>
      <c r="E18" s="288" t="s">
        <v>1512</v>
      </c>
      <c r="F18" s="288" t="s">
        <v>1515</v>
      </c>
      <c r="G18" s="288"/>
      <c r="H18" s="288"/>
      <c r="I18" s="288"/>
      <c r="J18" s="288"/>
      <c r="K18" s="329"/>
      <c r="L18" s="408" t="s">
        <v>1516</v>
      </c>
      <c r="M18" s="408"/>
      <c r="N18" s="408"/>
      <c r="O18" s="288" t="s">
        <v>1512</v>
      </c>
      <c r="P18" s="288"/>
      <c r="Q18" s="288"/>
      <c r="R18" s="288"/>
      <c r="S18" s="288"/>
      <c r="T18" s="288"/>
      <c r="V18" s="408" t="s">
        <v>1516</v>
      </c>
      <c r="W18" s="408"/>
      <c r="X18" s="408"/>
      <c r="Y18" s="288" t="s">
        <v>1512</v>
      </c>
      <c r="Z18" s="288"/>
      <c r="AA18" s="288"/>
      <c r="AB18" s="288"/>
      <c r="AC18" s="288"/>
      <c r="AD18" s="288"/>
    </row>
    <row r="19" spans="1:30" ht="5.25" customHeight="1" x14ac:dyDescent="0.35">
      <c r="A19" s="333"/>
      <c r="B19" s="411"/>
      <c r="C19" s="411"/>
      <c r="D19" s="411"/>
      <c r="E19" s="411"/>
      <c r="F19" s="411"/>
      <c r="G19" s="411"/>
      <c r="H19" s="411"/>
      <c r="I19" s="411"/>
      <c r="J19" s="411"/>
      <c r="L19" s="411"/>
      <c r="M19" s="411"/>
      <c r="N19" s="411"/>
      <c r="O19" s="411"/>
      <c r="P19" s="411"/>
      <c r="Q19" s="411"/>
      <c r="R19" s="411"/>
      <c r="S19" s="411"/>
      <c r="T19" s="411"/>
      <c r="V19" s="411"/>
      <c r="W19" s="411"/>
      <c r="X19" s="411"/>
      <c r="Y19" s="411"/>
      <c r="Z19" s="411"/>
      <c r="AA19" s="411"/>
      <c r="AB19" s="411"/>
      <c r="AC19" s="411"/>
      <c r="AD19" s="411"/>
    </row>
    <row r="20" spans="1:30" x14ac:dyDescent="0.35">
      <c r="A20" s="163"/>
      <c r="B20" s="437" t="s">
        <v>900</v>
      </c>
      <c r="C20" s="438"/>
      <c r="D20" s="438"/>
      <c r="E20" s="438"/>
      <c r="F20" s="438"/>
      <c r="G20" s="438"/>
      <c r="H20" s="438"/>
      <c r="I20" s="438"/>
      <c r="J20" s="439"/>
      <c r="L20" s="282"/>
      <c r="M20" s="283"/>
      <c r="N20" s="283"/>
      <c r="O20" s="283"/>
      <c r="P20" s="283"/>
      <c r="Q20" s="283"/>
      <c r="R20" s="283"/>
      <c r="S20" s="283"/>
      <c r="T20" s="284"/>
      <c r="V20" s="282"/>
      <c r="W20" s="283"/>
      <c r="X20" s="283"/>
      <c r="Y20" s="283"/>
      <c r="Z20" s="283"/>
      <c r="AA20" s="283"/>
      <c r="AB20" s="283"/>
      <c r="AC20" s="283"/>
      <c r="AD20" s="284"/>
    </row>
    <row r="21" spans="1:30" ht="54.75" customHeight="1" x14ac:dyDescent="0.35">
      <c r="A21" s="163"/>
      <c r="B21" s="416" t="s">
        <v>1568</v>
      </c>
      <c r="C21" s="413"/>
      <c r="D21" s="413"/>
      <c r="E21" s="413"/>
      <c r="F21" s="413"/>
      <c r="G21" s="413"/>
      <c r="H21" s="413"/>
      <c r="I21" s="413"/>
      <c r="J21" s="414"/>
      <c r="L21" s="412"/>
      <c r="M21" s="413"/>
      <c r="N21" s="413"/>
      <c r="O21" s="413"/>
      <c r="P21" s="413"/>
      <c r="Q21" s="413"/>
      <c r="R21" s="413"/>
      <c r="S21" s="413"/>
      <c r="T21" s="414"/>
      <c r="V21" s="412"/>
      <c r="W21" s="413"/>
      <c r="X21" s="413"/>
      <c r="Y21" s="413"/>
      <c r="Z21" s="413"/>
      <c r="AA21" s="413"/>
      <c r="AB21" s="413"/>
      <c r="AC21" s="413"/>
      <c r="AD21" s="414"/>
    </row>
    <row r="22" spans="1:30" ht="54.75" customHeight="1" x14ac:dyDescent="0.35">
      <c r="A22" s="163"/>
      <c r="B22" s="417" t="s">
        <v>1548</v>
      </c>
      <c r="C22" s="413"/>
      <c r="D22" s="413"/>
      <c r="E22" s="413"/>
      <c r="F22" s="413"/>
      <c r="G22" s="413"/>
      <c r="H22" s="413"/>
      <c r="I22" s="413"/>
      <c r="J22" s="414"/>
      <c r="L22" s="339"/>
      <c r="M22" s="340"/>
      <c r="N22" s="340"/>
      <c r="O22" s="340"/>
      <c r="P22" s="340"/>
      <c r="Q22" s="340"/>
      <c r="R22" s="340"/>
      <c r="S22" s="340"/>
      <c r="T22" s="341"/>
      <c r="V22" s="339"/>
      <c r="W22" s="340"/>
      <c r="X22" s="340"/>
      <c r="Y22" s="340"/>
      <c r="Z22" s="340"/>
      <c r="AA22" s="340"/>
      <c r="AB22" s="340"/>
      <c r="AC22" s="340"/>
      <c r="AD22" s="341"/>
    </row>
    <row r="23" spans="1:30" ht="54.75" customHeight="1" x14ac:dyDescent="0.35">
      <c r="A23" s="163"/>
      <c r="B23" s="417"/>
      <c r="C23" s="413"/>
      <c r="D23" s="413"/>
      <c r="E23" s="413"/>
      <c r="F23" s="413"/>
      <c r="G23" s="413"/>
      <c r="H23" s="413"/>
      <c r="I23" s="413"/>
      <c r="J23" s="414"/>
      <c r="L23" s="412"/>
      <c r="M23" s="413"/>
      <c r="N23" s="413"/>
      <c r="O23" s="413"/>
      <c r="P23" s="413"/>
      <c r="Q23" s="413"/>
      <c r="R23" s="413"/>
      <c r="S23" s="413"/>
      <c r="T23" s="414"/>
      <c r="V23" s="412"/>
      <c r="W23" s="413"/>
      <c r="X23" s="413"/>
      <c r="Y23" s="413"/>
      <c r="Z23" s="413"/>
      <c r="AA23" s="413"/>
      <c r="AB23" s="413"/>
      <c r="AC23" s="413"/>
      <c r="AD23" s="414"/>
    </row>
    <row r="24" spans="1:30" x14ac:dyDescent="0.35">
      <c r="A24" s="163"/>
      <c r="B24" s="406" t="s">
        <v>901</v>
      </c>
      <c r="C24" s="406"/>
      <c r="D24" s="406"/>
      <c r="E24" s="406"/>
      <c r="F24" s="406"/>
      <c r="G24" s="406"/>
      <c r="H24" s="406"/>
      <c r="I24" s="406"/>
      <c r="J24" s="406"/>
      <c r="L24" s="406" t="s">
        <v>901</v>
      </c>
      <c r="M24" s="406"/>
      <c r="N24" s="406"/>
      <c r="O24" s="406"/>
      <c r="P24" s="406"/>
      <c r="Q24" s="406"/>
      <c r="R24" s="406"/>
      <c r="S24" s="406"/>
      <c r="T24" s="406"/>
      <c r="V24" s="406" t="s">
        <v>901</v>
      </c>
      <c r="W24" s="406"/>
      <c r="X24" s="406"/>
      <c r="Y24" s="406"/>
      <c r="Z24" s="406"/>
      <c r="AA24" s="406"/>
      <c r="AB24" s="406"/>
      <c r="AC24" s="406"/>
      <c r="AD24" s="406"/>
    </row>
    <row r="25" spans="1:30" ht="54.75" customHeight="1" x14ac:dyDescent="0.35">
      <c r="A25" s="163"/>
      <c r="B25" s="416" t="s">
        <v>1565</v>
      </c>
      <c r="C25" s="413"/>
      <c r="D25" s="413"/>
      <c r="E25" s="413"/>
      <c r="F25" s="413"/>
      <c r="G25" s="413"/>
      <c r="H25" s="413"/>
      <c r="I25" s="413"/>
      <c r="J25" s="414"/>
      <c r="L25" s="412"/>
      <c r="M25" s="413"/>
      <c r="N25" s="413"/>
      <c r="O25" s="413"/>
      <c r="P25" s="413"/>
      <c r="Q25" s="413"/>
      <c r="R25" s="413"/>
      <c r="S25" s="413"/>
      <c r="T25" s="414"/>
      <c r="V25" s="412"/>
      <c r="W25" s="413"/>
      <c r="X25" s="413"/>
      <c r="Y25" s="413"/>
      <c r="Z25" s="413"/>
      <c r="AA25" s="413"/>
      <c r="AB25" s="413"/>
      <c r="AC25" s="413"/>
      <c r="AD25" s="414"/>
    </row>
    <row r="26" spans="1:30" ht="54.75" customHeight="1" x14ac:dyDescent="0.35">
      <c r="A26" s="163"/>
      <c r="B26" s="416" t="s">
        <v>1566</v>
      </c>
      <c r="C26" s="413"/>
      <c r="D26" s="413"/>
      <c r="E26" s="413"/>
      <c r="F26" s="413"/>
      <c r="G26" s="413"/>
      <c r="H26" s="413"/>
      <c r="I26" s="413"/>
      <c r="J26" s="414"/>
      <c r="L26" s="412"/>
      <c r="M26" s="413"/>
      <c r="N26" s="413"/>
      <c r="O26" s="413"/>
      <c r="P26" s="413"/>
      <c r="Q26" s="413"/>
      <c r="R26" s="413"/>
      <c r="S26" s="413"/>
      <c r="T26" s="414"/>
      <c r="V26" s="412"/>
      <c r="W26" s="413"/>
      <c r="X26" s="413"/>
      <c r="Y26" s="413"/>
      <c r="Z26" s="413"/>
      <c r="AA26" s="413"/>
      <c r="AB26" s="413"/>
      <c r="AC26" s="413"/>
      <c r="AD26" s="414"/>
    </row>
    <row r="27" spans="1:30" ht="54.75" customHeight="1" x14ac:dyDescent="0.35">
      <c r="A27" s="163"/>
      <c r="B27" s="412"/>
      <c r="C27" s="413"/>
      <c r="D27" s="413"/>
      <c r="E27" s="413"/>
      <c r="F27" s="413"/>
      <c r="G27" s="413"/>
      <c r="H27" s="413"/>
      <c r="I27" s="413"/>
      <c r="J27" s="414"/>
      <c r="L27" s="412"/>
      <c r="M27" s="413"/>
      <c r="N27" s="413"/>
      <c r="O27" s="413"/>
      <c r="P27" s="413"/>
      <c r="Q27" s="413"/>
      <c r="R27" s="413"/>
      <c r="S27" s="413"/>
      <c r="T27" s="414"/>
      <c r="V27" s="412"/>
      <c r="W27" s="413"/>
      <c r="X27" s="413"/>
      <c r="Y27" s="413"/>
      <c r="Z27" s="413"/>
      <c r="AA27" s="413"/>
      <c r="AB27" s="413"/>
      <c r="AC27" s="413"/>
      <c r="AD27" s="414"/>
    </row>
    <row r="28" spans="1:30" x14ac:dyDescent="0.35">
      <c r="A28" s="163"/>
      <c r="B28" s="406" t="s">
        <v>902</v>
      </c>
      <c r="C28" s="406"/>
      <c r="D28" s="406"/>
      <c r="E28" s="406"/>
      <c r="F28" s="406"/>
      <c r="G28" s="406"/>
      <c r="H28" s="406"/>
      <c r="I28" s="406"/>
      <c r="J28" s="406"/>
      <c r="L28" s="406" t="s">
        <v>902</v>
      </c>
      <c r="M28" s="406"/>
      <c r="N28" s="406"/>
      <c r="O28" s="406"/>
      <c r="P28" s="406"/>
      <c r="Q28" s="406"/>
      <c r="R28" s="406"/>
      <c r="S28" s="406"/>
      <c r="T28" s="406"/>
      <c r="V28" s="406" t="s">
        <v>902</v>
      </c>
      <c r="W28" s="406"/>
      <c r="X28" s="406"/>
      <c r="Y28" s="406"/>
      <c r="Z28" s="406"/>
      <c r="AA28" s="406"/>
      <c r="AB28" s="406"/>
      <c r="AC28" s="406"/>
      <c r="AD28" s="406"/>
    </row>
    <row r="29" spans="1:30" ht="110.4" customHeight="1" x14ac:dyDescent="0.35">
      <c r="A29" s="163"/>
      <c r="B29" s="417" t="s">
        <v>1575</v>
      </c>
      <c r="C29" s="413"/>
      <c r="D29" s="413"/>
      <c r="E29" s="413"/>
      <c r="F29" s="413"/>
      <c r="G29" s="413"/>
      <c r="H29" s="413"/>
      <c r="I29" s="413"/>
      <c r="J29" s="414"/>
      <c r="L29" s="412"/>
      <c r="M29" s="413"/>
      <c r="N29" s="413"/>
      <c r="O29" s="413"/>
      <c r="P29" s="413"/>
      <c r="Q29" s="413"/>
      <c r="R29" s="413"/>
      <c r="S29" s="413"/>
      <c r="T29" s="414"/>
      <c r="V29" s="412"/>
      <c r="W29" s="413"/>
      <c r="X29" s="413"/>
      <c r="Y29" s="413"/>
      <c r="Z29" s="413"/>
      <c r="AA29" s="413"/>
      <c r="AB29" s="413"/>
      <c r="AC29" s="413"/>
      <c r="AD29" s="414"/>
    </row>
    <row r="30" spans="1:30" ht="58.5" customHeight="1" x14ac:dyDescent="0.35">
      <c r="A30" s="163"/>
      <c r="B30" s="417" t="s">
        <v>1567</v>
      </c>
      <c r="C30" s="413"/>
      <c r="D30" s="413"/>
      <c r="E30" s="413"/>
      <c r="F30" s="413"/>
      <c r="G30" s="413"/>
      <c r="H30" s="413"/>
      <c r="I30" s="413"/>
      <c r="J30" s="414"/>
      <c r="L30" s="412"/>
      <c r="M30" s="413"/>
      <c r="N30" s="413"/>
      <c r="O30" s="413"/>
      <c r="P30" s="413"/>
      <c r="Q30" s="413"/>
      <c r="R30" s="413"/>
      <c r="S30" s="413"/>
      <c r="T30" s="414"/>
      <c r="V30" s="412"/>
      <c r="W30" s="413"/>
      <c r="X30" s="413"/>
      <c r="Y30" s="413"/>
      <c r="Z30" s="413"/>
      <c r="AA30" s="413"/>
      <c r="AB30" s="413"/>
      <c r="AC30" s="413"/>
      <c r="AD30" s="414"/>
    </row>
    <row r="31" spans="1:30" ht="54.75" customHeight="1" x14ac:dyDescent="0.35">
      <c r="A31" s="163"/>
      <c r="B31" s="412"/>
      <c r="C31" s="413"/>
      <c r="D31" s="413"/>
      <c r="E31" s="413"/>
      <c r="F31" s="413"/>
      <c r="G31" s="413"/>
      <c r="H31" s="413"/>
      <c r="I31" s="413"/>
      <c r="J31" s="414"/>
      <c r="L31" s="412"/>
      <c r="M31" s="413"/>
      <c r="N31" s="413"/>
      <c r="O31" s="413"/>
      <c r="P31" s="413"/>
      <c r="Q31" s="413"/>
      <c r="R31" s="413"/>
      <c r="S31" s="413"/>
      <c r="T31" s="414"/>
      <c r="V31" s="412"/>
      <c r="W31" s="413"/>
      <c r="X31" s="413"/>
      <c r="Y31" s="413"/>
      <c r="Z31" s="413"/>
      <c r="AA31" s="413"/>
      <c r="AB31" s="413"/>
      <c r="AC31" s="413"/>
      <c r="AD31" s="414"/>
    </row>
    <row r="32" spans="1:30" x14ac:dyDescent="0.35">
      <c r="A32" s="163"/>
      <c r="B32" s="415" t="s">
        <v>903</v>
      </c>
      <c r="C32" s="415"/>
      <c r="D32" s="415"/>
      <c r="E32" s="415"/>
      <c r="F32" s="415"/>
      <c r="G32" s="415"/>
      <c r="H32" s="415"/>
      <c r="I32" s="415"/>
      <c r="J32" s="415"/>
      <c r="L32" s="415" t="s">
        <v>903</v>
      </c>
      <c r="M32" s="415"/>
      <c r="N32" s="415"/>
      <c r="O32" s="415"/>
      <c r="P32" s="415"/>
      <c r="Q32" s="415"/>
      <c r="R32" s="415"/>
      <c r="S32" s="415"/>
      <c r="T32" s="415"/>
      <c r="V32" s="415" t="s">
        <v>903</v>
      </c>
      <c r="W32" s="415"/>
      <c r="X32" s="415"/>
      <c r="Y32" s="415"/>
      <c r="Z32" s="415"/>
      <c r="AA32" s="415"/>
      <c r="AB32" s="415"/>
      <c r="AC32" s="415"/>
      <c r="AD32" s="415"/>
    </row>
    <row r="33" spans="1:30" x14ac:dyDescent="0.35">
      <c r="A33" s="163"/>
      <c r="B33" s="363" t="s">
        <v>1573</v>
      </c>
      <c r="C33" s="363"/>
      <c r="D33" s="363"/>
      <c r="E33" s="363"/>
      <c r="F33" s="363"/>
      <c r="G33" s="363"/>
      <c r="H33" s="363"/>
      <c r="I33" s="363"/>
      <c r="J33" s="363"/>
      <c r="L33" s="363" t="s">
        <v>892</v>
      </c>
      <c r="M33" s="363"/>
      <c r="N33" s="363"/>
      <c r="O33" s="363"/>
      <c r="P33" s="363"/>
      <c r="Q33" s="363"/>
      <c r="R33" s="363"/>
      <c r="S33" s="363"/>
      <c r="T33" s="363"/>
      <c r="V33" s="363" t="s">
        <v>892</v>
      </c>
      <c r="W33" s="363"/>
      <c r="X33" s="363"/>
      <c r="Y33" s="363"/>
      <c r="Z33" s="363"/>
      <c r="AA33" s="363"/>
      <c r="AB33" s="363"/>
      <c r="AC33" s="363"/>
      <c r="AD33" s="363"/>
    </row>
    <row r="34" spans="1:30" x14ac:dyDescent="0.35">
      <c r="A34" s="163"/>
      <c r="B34" s="363" t="s">
        <v>1569</v>
      </c>
      <c r="C34" s="363"/>
      <c r="D34" s="363"/>
      <c r="E34" s="363"/>
      <c r="F34" s="363"/>
      <c r="G34" s="363"/>
      <c r="H34" s="363"/>
      <c r="I34" s="363"/>
      <c r="J34" s="363"/>
      <c r="L34" s="363" t="s">
        <v>893</v>
      </c>
      <c r="M34" s="363"/>
      <c r="N34" s="363"/>
      <c r="O34" s="363"/>
      <c r="P34" s="363"/>
      <c r="Q34" s="363"/>
      <c r="R34" s="363"/>
      <c r="S34" s="363"/>
      <c r="T34" s="363"/>
      <c r="V34" s="363" t="s">
        <v>893</v>
      </c>
      <c r="W34" s="363"/>
      <c r="X34" s="363"/>
      <c r="Y34" s="363"/>
      <c r="Z34" s="363"/>
      <c r="AA34" s="363"/>
      <c r="AB34" s="363"/>
      <c r="AC34" s="363"/>
      <c r="AD34" s="363"/>
    </row>
    <row r="35" spans="1:30" x14ac:dyDescent="0.35">
      <c r="A35" s="163"/>
      <c r="B35" s="363" t="s">
        <v>1570</v>
      </c>
      <c r="C35" s="363"/>
      <c r="D35" s="363"/>
      <c r="E35" s="363"/>
      <c r="F35" s="363"/>
      <c r="G35" s="363"/>
      <c r="H35" s="363"/>
      <c r="I35" s="363"/>
      <c r="J35" s="363"/>
      <c r="L35" s="363" t="s">
        <v>894</v>
      </c>
      <c r="M35" s="363"/>
      <c r="N35" s="363"/>
      <c r="O35" s="363"/>
      <c r="P35" s="363"/>
      <c r="Q35" s="363"/>
      <c r="R35" s="363"/>
      <c r="S35" s="363"/>
      <c r="T35" s="363"/>
      <c r="V35" s="363" t="s">
        <v>894</v>
      </c>
      <c r="W35" s="363"/>
      <c r="X35" s="363"/>
      <c r="Y35" s="363"/>
      <c r="Z35" s="363"/>
      <c r="AA35" s="363"/>
      <c r="AB35" s="363"/>
      <c r="AC35" s="363"/>
      <c r="AD35" s="363"/>
    </row>
    <row r="36" spans="1:30" x14ac:dyDescent="0.35">
      <c r="A36" s="163"/>
      <c r="B36" s="363" t="s">
        <v>1571</v>
      </c>
      <c r="C36" s="363"/>
      <c r="D36" s="363"/>
      <c r="E36" s="363"/>
      <c r="F36" s="363"/>
      <c r="G36" s="363"/>
      <c r="H36" s="363"/>
      <c r="I36" s="363"/>
      <c r="J36" s="363"/>
      <c r="L36" s="363" t="s">
        <v>895</v>
      </c>
      <c r="M36" s="363"/>
      <c r="N36" s="363"/>
      <c r="O36" s="363"/>
      <c r="P36" s="363"/>
      <c r="Q36" s="363"/>
      <c r="R36" s="363"/>
      <c r="S36" s="363"/>
      <c r="T36" s="363"/>
      <c r="V36" s="363" t="s">
        <v>895</v>
      </c>
      <c r="W36" s="363"/>
      <c r="X36" s="363"/>
      <c r="Y36" s="363"/>
      <c r="Z36" s="363"/>
      <c r="AA36" s="363"/>
      <c r="AB36" s="363"/>
      <c r="AC36" s="363"/>
      <c r="AD36" s="363"/>
    </row>
    <row r="37" spans="1:30" x14ac:dyDescent="0.35">
      <c r="A37" s="163"/>
      <c r="B37" s="363" t="s">
        <v>1572</v>
      </c>
      <c r="C37" s="363"/>
      <c r="D37" s="363"/>
      <c r="E37" s="363"/>
      <c r="F37" s="363"/>
      <c r="G37" s="363"/>
      <c r="H37" s="363"/>
      <c r="I37" s="363"/>
      <c r="J37" s="363"/>
      <c r="L37" s="363" t="s">
        <v>896</v>
      </c>
      <c r="M37" s="363"/>
      <c r="N37" s="363"/>
      <c r="O37" s="363"/>
      <c r="P37" s="363"/>
      <c r="Q37" s="363"/>
      <c r="R37" s="363"/>
      <c r="S37" s="363"/>
      <c r="T37" s="363"/>
      <c r="V37" s="363" t="s">
        <v>896</v>
      </c>
      <c r="W37" s="363"/>
      <c r="X37" s="363"/>
      <c r="Y37" s="363"/>
      <c r="Z37" s="363"/>
      <c r="AA37" s="363"/>
      <c r="AB37" s="363"/>
      <c r="AC37" s="363"/>
      <c r="AD37" s="363"/>
    </row>
    <row r="38" spans="1:30" x14ac:dyDescent="0.35">
      <c r="A38" s="163"/>
      <c r="B38" s="363" t="s">
        <v>1574</v>
      </c>
      <c r="C38" s="363"/>
      <c r="D38" s="363"/>
      <c r="E38" s="363"/>
      <c r="F38" s="363"/>
      <c r="G38" s="363"/>
      <c r="H38" s="363"/>
      <c r="I38" s="363"/>
      <c r="J38" s="363"/>
      <c r="L38" s="363" t="s">
        <v>897</v>
      </c>
      <c r="M38" s="363"/>
      <c r="N38" s="363"/>
      <c r="O38" s="363"/>
      <c r="P38" s="363"/>
      <c r="Q38" s="363"/>
      <c r="R38" s="363"/>
      <c r="S38" s="363"/>
      <c r="T38" s="363"/>
      <c r="V38" s="363" t="s">
        <v>897</v>
      </c>
      <c r="W38" s="363"/>
      <c r="X38" s="363"/>
      <c r="Y38" s="363"/>
      <c r="Z38" s="363"/>
      <c r="AA38" s="363"/>
      <c r="AB38" s="363"/>
      <c r="AC38" s="363"/>
      <c r="AD38" s="363"/>
    </row>
    <row r="39" spans="1:30" x14ac:dyDescent="0.35">
      <c r="A39" s="163"/>
      <c r="B39" s="406" t="s">
        <v>1532</v>
      </c>
      <c r="C39" s="406"/>
      <c r="D39" s="406"/>
      <c r="E39" s="406"/>
      <c r="F39" s="406"/>
      <c r="G39" s="406"/>
      <c r="H39" s="406"/>
      <c r="I39" s="406"/>
      <c r="J39" s="406"/>
      <c r="L39" s="406" t="s">
        <v>1532</v>
      </c>
      <c r="M39" s="406"/>
      <c r="N39" s="406"/>
      <c r="O39" s="406"/>
      <c r="P39" s="406"/>
      <c r="Q39" s="406"/>
      <c r="R39" s="406"/>
      <c r="S39" s="406"/>
      <c r="T39" s="406"/>
      <c r="V39" s="406" t="s">
        <v>1523</v>
      </c>
      <c r="W39" s="406"/>
      <c r="X39" s="406"/>
      <c r="Y39" s="406"/>
      <c r="Z39" s="406"/>
      <c r="AA39" s="406"/>
      <c r="AB39" s="406"/>
      <c r="AC39" s="406"/>
      <c r="AD39" s="406"/>
    </row>
    <row r="40" spans="1:30" x14ac:dyDescent="0.35">
      <c r="A40" s="163"/>
      <c r="B40" s="363"/>
      <c r="C40" s="363"/>
      <c r="D40" s="363"/>
      <c r="E40" s="363"/>
      <c r="F40" s="363"/>
      <c r="G40" s="363"/>
      <c r="H40" s="363"/>
      <c r="I40" s="363"/>
      <c r="J40" s="363"/>
      <c r="L40" s="363" t="s">
        <v>892</v>
      </c>
      <c r="M40" s="363"/>
      <c r="N40" s="363"/>
      <c r="O40" s="363"/>
      <c r="P40" s="363"/>
      <c r="Q40" s="363"/>
      <c r="R40" s="363"/>
      <c r="S40" s="363"/>
      <c r="T40" s="363"/>
      <c r="V40" s="363" t="s">
        <v>892</v>
      </c>
      <c r="W40" s="363"/>
      <c r="X40" s="363"/>
      <c r="Y40" s="363"/>
      <c r="Z40" s="363"/>
      <c r="AA40" s="363"/>
      <c r="AB40" s="363"/>
      <c r="AC40" s="363"/>
      <c r="AD40" s="363"/>
    </row>
    <row r="41" spans="1:30" x14ac:dyDescent="0.35">
      <c r="A41" s="163"/>
      <c r="B41" s="363"/>
      <c r="C41" s="363"/>
      <c r="D41" s="363"/>
      <c r="E41" s="363"/>
      <c r="F41" s="363"/>
      <c r="G41" s="363"/>
      <c r="H41" s="363"/>
      <c r="I41" s="363"/>
      <c r="J41" s="363"/>
      <c r="L41" s="363" t="s">
        <v>893</v>
      </c>
      <c r="M41" s="363"/>
      <c r="N41" s="363"/>
      <c r="O41" s="363"/>
      <c r="P41" s="363"/>
      <c r="Q41" s="363"/>
      <c r="R41" s="363"/>
      <c r="S41" s="363"/>
      <c r="T41" s="363"/>
      <c r="V41" s="363" t="s">
        <v>893</v>
      </c>
      <c r="W41" s="363"/>
      <c r="X41" s="363"/>
      <c r="Y41" s="363"/>
      <c r="Z41" s="363"/>
      <c r="AA41" s="363"/>
      <c r="AB41" s="363"/>
      <c r="AC41" s="363"/>
      <c r="AD41" s="363"/>
    </row>
    <row r="42" spans="1:30" x14ac:dyDescent="0.35">
      <c r="A42" s="163"/>
      <c r="B42" s="363"/>
      <c r="C42" s="363"/>
      <c r="D42" s="363"/>
      <c r="E42" s="363"/>
      <c r="F42" s="363"/>
      <c r="G42" s="363"/>
      <c r="H42" s="363"/>
      <c r="I42" s="363"/>
      <c r="J42" s="363"/>
      <c r="L42" s="363" t="s">
        <v>894</v>
      </c>
      <c r="M42" s="363"/>
      <c r="N42" s="363"/>
      <c r="O42" s="363"/>
      <c r="P42" s="363"/>
      <c r="Q42" s="363"/>
      <c r="R42" s="363"/>
      <c r="S42" s="363"/>
      <c r="T42" s="363"/>
      <c r="V42" s="363" t="s">
        <v>894</v>
      </c>
      <c r="W42" s="363"/>
      <c r="X42" s="363"/>
      <c r="Y42" s="363"/>
      <c r="Z42" s="363"/>
      <c r="AA42" s="363"/>
      <c r="AB42" s="363"/>
      <c r="AC42" s="363"/>
      <c r="AD42" s="363"/>
    </row>
    <row r="43" spans="1:30" x14ac:dyDescent="0.35">
      <c r="A43" s="163"/>
      <c r="B43" s="363"/>
      <c r="C43" s="363"/>
      <c r="D43" s="363"/>
      <c r="E43" s="363"/>
      <c r="F43" s="363"/>
      <c r="G43" s="363"/>
      <c r="H43" s="363"/>
      <c r="I43" s="363"/>
      <c r="J43" s="363"/>
      <c r="L43" s="363" t="s">
        <v>895</v>
      </c>
      <c r="M43" s="363"/>
      <c r="N43" s="363"/>
      <c r="O43" s="363"/>
      <c r="P43" s="363"/>
      <c r="Q43" s="363"/>
      <c r="R43" s="363"/>
      <c r="S43" s="363"/>
      <c r="T43" s="363"/>
      <c r="V43" s="363" t="s">
        <v>895</v>
      </c>
      <c r="W43" s="363"/>
      <c r="X43" s="363"/>
      <c r="Y43" s="363"/>
      <c r="Z43" s="363"/>
      <c r="AA43" s="363"/>
      <c r="AB43" s="363"/>
      <c r="AC43" s="363"/>
      <c r="AD43" s="363"/>
    </row>
    <row r="44" spans="1:30" x14ac:dyDescent="0.35">
      <c r="A44" s="163"/>
      <c r="B44" s="363"/>
      <c r="C44" s="363"/>
      <c r="D44" s="363"/>
      <c r="E44" s="363"/>
      <c r="F44" s="363"/>
      <c r="G44" s="363"/>
      <c r="H44" s="363"/>
      <c r="I44" s="363"/>
      <c r="J44" s="363"/>
      <c r="L44" s="363" t="s">
        <v>896</v>
      </c>
      <c r="M44" s="363"/>
      <c r="N44" s="363"/>
      <c r="O44" s="363"/>
      <c r="P44" s="363"/>
      <c r="Q44" s="363"/>
      <c r="R44" s="363"/>
      <c r="S44" s="363"/>
      <c r="T44" s="363"/>
      <c r="V44" s="363" t="s">
        <v>896</v>
      </c>
      <c r="W44" s="363"/>
      <c r="X44" s="363"/>
      <c r="Y44" s="363"/>
      <c r="Z44" s="363"/>
      <c r="AA44" s="363"/>
      <c r="AB44" s="363"/>
      <c r="AC44" s="363"/>
      <c r="AD44" s="363"/>
    </row>
    <row r="45" spans="1:30" x14ac:dyDescent="0.35">
      <c r="A45" s="163"/>
      <c r="B45" s="363"/>
      <c r="C45" s="363"/>
      <c r="D45" s="363"/>
      <c r="E45" s="363"/>
      <c r="F45" s="363"/>
      <c r="G45" s="363"/>
      <c r="H45" s="363"/>
      <c r="I45" s="363"/>
      <c r="J45" s="363"/>
      <c r="L45" s="363" t="s">
        <v>897</v>
      </c>
      <c r="M45" s="363"/>
      <c r="N45" s="363"/>
      <c r="O45" s="363"/>
      <c r="P45" s="363"/>
      <c r="Q45" s="363"/>
      <c r="R45" s="363"/>
      <c r="S45" s="363"/>
      <c r="T45" s="363"/>
      <c r="V45" s="363" t="s">
        <v>897</v>
      </c>
      <c r="W45" s="363"/>
      <c r="X45" s="363"/>
      <c r="Y45" s="363"/>
      <c r="Z45" s="363"/>
      <c r="AA45" s="363"/>
      <c r="AB45" s="363"/>
      <c r="AC45" s="363"/>
      <c r="AD45" s="363"/>
    </row>
    <row r="46" spans="1:30" x14ac:dyDescent="0.35">
      <c r="B46" s="406" t="s">
        <v>1539</v>
      </c>
      <c r="C46" s="406"/>
      <c r="D46" s="406"/>
      <c r="E46" s="406"/>
      <c r="F46" s="406"/>
      <c r="G46" s="406"/>
      <c r="H46" s="406"/>
      <c r="I46" s="406"/>
      <c r="J46" s="406"/>
      <c r="L46" s="406" t="s">
        <v>1539</v>
      </c>
      <c r="M46" s="406"/>
      <c r="N46" s="406"/>
      <c r="O46" s="406"/>
      <c r="P46" s="406"/>
      <c r="Q46" s="406"/>
      <c r="R46" s="406"/>
      <c r="S46" s="406"/>
      <c r="T46" s="406"/>
      <c r="V46" s="406" t="s">
        <v>1539</v>
      </c>
      <c r="W46" s="406"/>
      <c r="X46" s="406"/>
      <c r="Y46" s="406"/>
      <c r="Z46" s="406"/>
      <c r="AA46" s="406"/>
      <c r="AB46" s="406"/>
      <c r="AC46" s="406"/>
      <c r="AD46" s="406"/>
    </row>
    <row r="47" spans="1:30" x14ac:dyDescent="0.35">
      <c r="B47" s="363"/>
      <c r="C47" s="363"/>
      <c r="D47" s="363"/>
      <c r="E47" s="363"/>
      <c r="F47" s="363"/>
      <c r="G47" s="363"/>
      <c r="H47" s="363"/>
      <c r="I47" s="363"/>
      <c r="J47" s="363"/>
      <c r="L47" s="363" t="s">
        <v>892</v>
      </c>
      <c r="M47" s="363"/>
      <c r="N47" s="363"/>
      <c r="O47" s="363"/>
      <c r="P47" s="363"/>
      <c r="Q47" s="363"/>
      <c r="R47" s="363"/>
      <c r="S47" s="363"/>
      <c r="T47" s="363"/>
      <c r="V47" s="363" t="s">
        <v>892</v>
      </c>
      <c r="W47" s="363"/>
      <c r="X47" s="363"/>
      <c r="Y47" s="363"/>
      <c r="Z47" s="363"/>
      <c r="AA47" s="363"/>
      <c r="AB47" s="363"/>
      <c r="AC47" s="363"/>
      <c r="AD47" s="363"/>
    </row>
    <row r="48" spans="1:30" x14ac:dyDescent="0.35">
      <c r="B48" s="363"/>
      <c r="C48" s="363"/>
      <c r="D48" s="363"/>
      <c r="E48" s="363"/>
      <c r="F48" s="363"/>
      <c r="G48" s="363"/>
      <c r="H48" s="363"/>
      <c r="I48" s="363"/>
      <c r="J48" s="363"/>
      <c r="L48" s="363" t="s">
        <v>893</v>
      </c>
      <c r="M48" s="363"/>
      <c r="N48" s="363"/>
      <c r="O48" s="363"/>
      <c r="P48" s="363"/>
      <c r="Q48" s="363"/>
      <c r="R48" s="363"/>
      <c r="S48" s="363"/>
      <c r="T48" s="363"/>
      <c r="V48" s="363" t="s">
        <v>893</v>
      </c>
      <c r="W48" s="363"/>
      <c r="X48" s="363"/>
      <c r="Y48" s="363"/>
      <c r="Z48" s="363"/>
      <c r="AA48" s="363"/>
      <c r="AB48" s="363"/>
      <c r="AC48" s="363"/>
      <c r="AD48" s="363"/>
    </row>
    <row r="49" spans="2:30" x14ac:dyDescent="0.35">
      <c r="B49" s="363"/>
      <c r="C49" s="363"/>
      <c r="D49" s="363"/>
      <c r="E49" s="363"/>
      <c r="F49" s="363"/>
      <c r="G49" s="363"/>
      <c r="H49" s="363"/>
      <c r="I49" s="363"/>
      <c r="J49" s="363"/>
      <c r="L49" s="363" t="s">
        <v>894</v>
      </c>
      <c r="M49" s="363"/>
      <c r="N49" s="363"/>
      <c r="O49" s="363"/>
      <c r="P49" s="363"/>
      <c r="Q49" s="363"/>
      <c r="R49" s="363"/>
      <c r="S49" s="363"/>
      <c r="T49" s="363"/>
      <c r="V49" s="363" t="s">
        <v>894</v>
      </c>
      <c r="W49" s="363"/>
      <c r="X49" s="363"/>
      <c r="Y49" s="363"/>
      <c r="Z49" s="363"/>
      <c r="AA49" s="363"/>
      <c r="AB49" s="363"/>
      <c r="AC49" s="363"/>
      <c r="AD49" s="363"/>
    </row>
    <row r="50" spans="2:30" x14ac:dyDescent="0.35">
      <c r="B50" s="363"/>
      <c r="C50" s="363"/>
      <c r="D50" s="363"/>
      <c r="E50" s="363"/>
      <c r="F50" s="363"/>
      <c r="G50" s="363"/>
      <c r="H50" s="363"/>
      <c r="I50" s="363"/>
      <c r="J50" s="363"/>
      <c r="L50" s="363" t="s">
        <v>895</v>
      </c>
      <c r="M50" s="363"/>
      <c r="N50" s="363"/>
      <c r="O50" s="363"/>
      <c r="P50" s="363"/>
      <c r="Q50" s="363"/>
      <c r="R50" s="363"/>
      <c r="S50" s="363"/>
      <c r="T50" s="363"/>
      <c r="V50" s="363" t="s">
        <v>895</v>
      </c>
      <c r="W50" s="363"/>
      <c r="X50" s="363"/>
      <c r="Y50" s="363"/>
      <c r="Z50" s="363"/>
      <c r="AA50" s="363"/>
      <c r="AB50" s="363"/>
      <c r="AC50" s="363"/>
      <c r="AD50" s="363"/>
    </row>
    <row r="51" spans="2:30" x14ac:dyDescent="0.35">
      <c r="B51" s="363"/>
      <c r="C51" s="363"/>
      <c r="D51" s="363"/>
      <c r="E51" s="363"/>
      <c r="F51" s="363"/>
      <c r="G51" s="363"/>
      <c r="H51" s="363"/>
      <c r="I51" s="363"/>
      <c r="J51" s="363"/>
      <c r="L51" s="363" t="s">
        <v>896</v>
      </c>
      <c r="M51" s="363"/>
      <c r="N51" s="363"/>
      <c r="O51" s="363"/>
      <c r="P51" s="363"/>
      <c r="Q51" s="363"/>
      <c r="R51" s="363"/>
      <c r="S51" s="363"/>
      <c r="T51" s="363"/>
      <c r="V51" s="363" t="s">
        <v>896</v>
      </c>
      <c r="W51" s="363"/>
      <c r="X51" s="363"/>
      <c r="Y51" s="363"/>
      <c r="Z51" s="363"/>
      <c r="AA51" s="363"/>
      <c r="AB51" s="363"/>
      <c r="AC51" s="363"/>
      <c r="AD51" s="363"/>
    </row>
    <row r="52" spans="2:30" x14ac:dyDescent="0.35">
      <c r="B52" s="363"/>
      <c r="C52" s="363"/>
      <c r="D52" s="363"/>
      <c r="E52" s="363"/>
      <c r="F52" s="363"/>
      <c r="G52" s="363"/>
      <c r="H52" s="363"/>
      <c r="I52" s="363"/>
      <c r="J52" s="363"/>
      <c r="L52" s="363" t="s">
        <v>897</v>
      </c>
      <c r="M52" s="363"/>
      <c r="N52" s="363"/>
      <c r="O52" s="363"/>
      <c r="P52" s="363"/>
      <c r="Q52" s="363"/>
      <c r="R52" s="363"/>
      <c r="S52" s="363"/>
      <c r="T52" s="363"/>
      <c r="V52" s="363" t="s">
        <v>897</v>
      </c>
      <c r="W52" s="363"/>
      <c r="X52" s="363"/>
      <c r="Y52" s="363"/>
      <c r="Z52" s="363"/>
      <c r="AA52" s="363"/>
      <c r="AB52" s="363"/>
      <c r="AC52" s="363"/>
      <c r="AD52" s="363"/>
    </row>
  </sheetData>
  <mergeCells count="151">
    <mergeCell ref="B22:J22"/>
    <mergeCell ref="L15:T15"/>
    <mergeCell ref="L16:N16"/>
    <mergeCell ref="O16:P16"/>
    <mergeCell ref="V15:AD15"/>
    <mergeCell ref="V16:X16"/>
    <mergeCell ref="Y16:Z16"/>
    <mergeCell ref="L36:T36"/>
    <mergeCell ref="L13:T13"/>
    <mergeCell ref="B23:J23"/>
    <mergeCell ref="L19:T19"/>
    <mergeCell ref="V19:AD19"/>
    <mergeCell ref="B18:D18"/>
    <mergeCell ref="L18:N18"/>
    <mergeCell ref="V21:AD21"/>
    <mergeCell ref="L37:T37"/>
    <mergeCell ref="L38:T38"/>
    <mergeCell ref="L39:T39"/>
    <mergeCell ref="V13:AD13"/>
    <mergeCell ref="B14:D14"/>
    <mergeCell ref="E14:F14"/>
    <mergeCell ref="G14:H14"/>
    <mergeCell ref="I14:J14"/>
    <mergeCell ref="L14:N14"/>
    <mergeCell ref="O14:P14"/>
    <mergeCell ref="Q14:R14"/>
    <mergeCell ref="S14:T14"/>
    <mergeCell ref="V14:X14"/>
    <mergeCell ref="Y14:Z14"/>
    <mergeCell ref="AA14:AB14"/>
    <mergeCell ref="AC14:AD14"/>
    <mergeCell ref="B31:J31"/>
    <mergeCell ref="B34:J34"/>
    <mergeCell ref="B35:J35"/>
    <mergeCell ref="B36:J36"/>
    <mergeCell ref="B37:J37"/>
    <mergeCell ref="V23:AD23"/>
    <mergeCell ref="B20:J20"/>
    <mergeCell ref="B19:J19"/>
    <mergeCell ref="L11:T11"/>
    <mergeCell ref="D2:H2"/>
    <mergeCell ref="B2:C3"/>
    <mergeCell ref="B25:J25"/>
    <mergeCell ref="L17:T17"/>
    <mergeCell ref="B41:J41"/>
    <mergeCell ref="B42:J42"/>
    <mergeCell ref="B44:J44"/>
    <mergeCell ref="B43:J43"/>
    <mergeCell ref="L21:T21"/>
    <mergeCell ref="L27:T27"/>
    <mergeCell ref="L12:N12"/>
    <mergeCell ref="O12:P12"/>
    <mergeCell ref="L24:T24"/>
    <mergeCell ref="L25:T25"/>
    <mergeCell ref="L26:T26"/>
    <mergeCell ref="Q12:R12"/>
    <mergeCell ref="S12:T12"/>
    <mergeCell ref="L32:T32"/>
    <mergeCell ref="L33:T33"/>
    <mergeCell ref="L34:T34"/>
    <mergeCell ref="L35:T35"/>
    <mergeCell ref="D3:H3"/>
    <mergeCell ref="B11:J11"/>
    <mergeCell ref="B7:D7"/>
    <mergeCell ref="E7:J7"/>
    <mergeCell ref="B9:D9"/>
    <mergeCell ref="B13:J13"/>
    <mergeCell ref="B17:J17"/>
    <mergeCell ref="B15:J15"/>
    <mergeCell ref="B16:D16"/>
    <mergeCell ref="E16:F16"/>
    <mergeCell ref="I2:J3"/>
    <mergeCell ref="B12:D12"/>
    <mergeCell ref="E12:F12"/>
    <mergeCell ref="G12:H12"/>
    <mergeCell ref="I12:J12"/>
    <mergeCell ref="D5:G5"/>
    <mergeCell ref="B38:J38"/>
    <mergeCell ref="L28:T28"/>
    <mergeCell ref="L44:T44"/>
    <mergeCell ref="L45:T45"/>
    <mergeCell ref="B26:J26"/>
    <mergeCell ref="B27:J27"/>
    <mergeCell ref="B29:J29"/>
    <mergeCell ref="B30:J30"/>
    <mergeCell ref="B21:J21"/>
    <mergeCell ref="L40:T40"/>
    <mergeCell ref="L41:T41"/>
    <mergeCell ref="L23:T23"/>
    <mergeCell ref="B45:J45"/>
    <mergeCell ref="B28:J28"/>
    <mergeCell ref="B24:J24"/>
    <mergeCell ref="B40:J40"/>
    <mergeCell ref="B32:J32"/>
    <mergeCell ref="B33:J33"/>
    <mergeCell ref="L29:T29"/>
    <mergeCell ref="L30:T30"/>
    <mergeCell ref="L31:T31"/>
    <mergeCell ref="L43:T43"/>
    <mergeCell ref="B39:J39"/>
    <mergeCell ref="L42:T42"/>
    <mergeCell ref="V44:AD44"/>
    <mergeCell ref="V45:AD45"/>
    <mergeCell ref="V27:AD27"/>
    <mergeCell ref="V28:AD28"/>
    <mergeCell ref="V29:AD29"/>
    <mergeCell ref="V30:AD30"/>
    <mergeCell ref="V31:AD31"/>
    <mergeCell ref="V32:AD32"/>
    <mergeCell ref="V33:AD33"/>
    <mergeCell ref="V34:AD34"/>
    <mergeCell ref="V35:AD35"/>
    <mergeCell ref="V36:AD36"/>
    <mergeCell ref="V37:AD37"/>
    <mergeCell ref="V38:AD38"/>
    <mergeCell ref="V39:AD39"/>
    <mergeCell ref="V40:AD40"/>
    <mergeCell ref="V41:AD41"/>
    <mergeCell ref="V42:AD42"/>
    <mergeCell ref="V43:AD43"/>
    <mergeCell ref="V11:AD11"/>
    <mergeCell ref="V12:X12"/>
    <mergeCell ref="Y12:Z12"/>
    <mergeCell ref="AA12:AB12"/>
    <mergeCell ref="AC12:AD12"/>
    <mergeCell ref="V17:AD17"/>
    <mergeCell ref="V24:AD24"/>
    <mergeCell ref="V25:AD25"/>
    <mergeCell ref="V26:AD26"/>
    <mergeCell ref="V18:X18"/>
    <mergeCell ref="V46:AD46"/>
    <mergeCell ref="V47:AD47"/>
    <mergeCell ref="V48:AD48"/>
    <mergeCell ref="V49:AD49"/>
    <mergeCell ref="V50:AD50"/>
    <mergeCell ref="V51:AD51"/>
    <mergeCell ref="V52:AD52"/>
    <mergeCell ref="B46:J46"/>
    <mergeCell ref="B47:J47"/>
    <mergeCell ref="B48:J48"/>
    <mergeCell ref="B49:J49"/>
    <mergeCell ref="B50:J50"/>
    <mergeCell ref="B51:J51"/>
    <mergeCell ref="B52:J52"/>
    <mergeCell ref="L46:T46"/>
    <mergeCell ref="L47:T47"/>
    <mergeCell ref="L48:T48"/>
    <mergeCell ref="L49:T49"/>
    <mergeCell ref="L50:T50"/>
    <mergeCell ref="L51:T51"/>
    <mergeCell ref="L52:T52"/>
  </mergeCells>
  <pageMargins left="0.7" right="0.7" top="0.75" bottom="0.75" header="0.3" footer="0.3"/>
  <pageSetup orientation="portrait" r:id="rId1"/>
  <drawing r:id="rId2"/>
  <legacyDrawing r:id="rId3"/>
  <controls>
    <mc:AlternateContent xmlns:mc="http://schemas.openxmlformats.org/markup-compatibility/2006">
      <mc:Choice Requires="x14">
        <control shapeId="2050" r:id="rId4" name="BtcNewSprint">
          <controlPr defaultSize="0" autoLine="0" r:id="rId5">
            <anchor moveWithCells="1">
              <from>
                <xdr:col>7</xdr:col>
                <xdr:colOff>114300</xdr:colOff>
                <xdr:row>4</xdr:row>
                <xdr:rowOff>25400</xdr:rowOff>
              </from>
              <to>
                <xdr:col>8</xdr:col>
                <xdr:colOff>419100</xdr:colOff>
                <xdr:row>5</xdr:row>
                <xdr:rowOff>6350</xdr:rowOff>
              </to>
            </anchor>
          </controlPr>
        </control>
      </mc:Choice>
      <mc:Fallback>
        <control shapeId="2050" r:id="rId4" name="BtcNewSprint"/>
      </mc:Fallback>
    </mc:AlternateContent>
    <mc:AlternateContent xmlns:mc="http://schemas.openxmlformats.org/markup-compatibility/2006">
      <mc:Choice Requires="x14">
        <control shapeId="2051" r:id="rId6" name="nFila">
          <controlPr defaultSize="0" autoLine="0" r:id="rId7">
            <anchor moveWithCells="1">
              <from>
                <xdr:col>5</xdr:col>
                <xdr:colOff>152400</xdr:colOff>
                <xdr:row>4</xdr:row>
                <xdr:rowOff>38100</xdr:rowOff>
              </from>
              <to>
                <xdr:col>5</xdr:col>
                <xdr:colOff>717550</xdr:colOff>
                <xdr:row>4</xdr:row>
                <xdr:rowOff>311150</xdr:rowOff>
              </to>
            </anchor>
          </controlPr>
        </control>
      </mc:Choice>
      <mc:Fallback>
        <control shapeId="2051" r:id="rId6" name="nFila"/>
      </mc:Fallback>
    </mc:AlternateContent>
    <mc:AlternateContent xmlns:mc="http://schemas.openxmlformats.org/markup-compatibility/2006">
      <mc:Choice Requires="x14">
        <control shapeId="2052" r:id="rId8" name="agregarFila">
          <controlPr defaultSize="0" autoLine="0" r:id="rId9">
            <anchor moveWithCells="1">
              <from>
                <xdr:col>5</xdr:col>
                <xdr:colOff>793750</xdr:colOff>
                <xdr:row>4</xdr:row>
                <xdr:rowOff>31750</xdr:rowOff>
              </from>
              <to>
                <xdr:col>6</xdr:col>
                <xdr:colOff>298450</xdr:colOff>
                <xdr:row>4</xdr:row>
                <xdr:rowOff>323850</xdr:rowOff>
              </to>
            </anchor>
          </controlPr>
        </control>
      </mc:Choice>
      <mc:Fallback>
        <control shapeId="2052" r:id="rId8" name="agregarFila"/>
      </mc:Fallback>
    </mc:AlternateContent>
    <mc:AlternateContent xmlns:mc="http://schemas.openxmlformats.org/markup-compatibility/2006">
      <mc:Choice Requires="x14">
        <control shapeId="2053" r:id="rId10" name="eliminarFila">
          <controlPr defaultSize="0" autoLine="0" r:id="rId11">
            <anchor moveWithCells="1">
              <from>
                <xdr:col>6</xdr:col>
                <xdr:colOff>419100</xdr:colOff>
                <xdr:row>4</xdr:row>
                <xdr:rowOff>31750</xdr:rowOff>
              </from>
              <to>
                <xdr:col>6</xdr:col>
                <xdr:colOff>781050</xdr:colOff>
                <xdr:row>4</xdr:row>
                <xdr:rowOff>317500</xdr:rowOff>
              </to>
            </anchor>
          </controlPr>
        </control>
      </mc:Choice>
      <mc:Fallback>
        <control shapeId="2053" r:id="rId10" name="eliminarFila"/>
      </mc:Fallback>
    </mc:AlternateContent>
    <mc:AlternateContent xmlns:mc="http://schemas.openxmlformats.org/markup-compatibility/2006">
      <mc:Choice Requires="x14">
        <control shapeId="2054" r:id="rId12" name="BtcDeleteSprint">
          <controlPr defaultSize="0" autoLine="0" r:id="rId13">
            <anchor moveWithCells="1">
              <from>
                <xdr:col>8</xdr:col>
                <xdr:colOff>533400</xdr:colOff>
                <xdr:row>4</xdr:row>
                <xdr:rowOff>0</xdr:rowOff>
              </from>
              <to>
                <xdr:col>9</xdr:col>
                <xdr:colOff>800100</xdr:colOff>
                <xdr:row>4</xdr:row>
                <xdr:rowOff>323850</xdr:rowOff>
              </to>
            </anchor>
          </controlPr>
        </control>
      </mc:Choice>
      <mc:Fallback>
        <control shapeId="2054" r:id="rId12" name="BtcDeleteSprint"/>
      </mc:Fallback>
    </mc:AlternateContent>
    <mc:AlternateContent xmlns:mc="http://schemas.openxmlformats.org/markup-compatibility/2006">
      <mc:Choice Requires="x14">
        <control shapeId="2055" r:id="rId14" name="CommandButton1">
          <controlPr defaultSize="0" autoLine="0" r:id="rId15">
            <anchor moveWithCells="1">
              <from>
                <xdr:col>1</xdr:col>
                <xdr:colOff>25400</xdr:colOff>
                <xdr:row>4</xdr:row>
                <xdr:rowOff>25400</xdr:rowOff>
              </from>
              <to>
                <xdr:col>2</xdr:col>
                <xdr:colOff>527050</xdr:colOff>
                <xdr:row>5</xdr:row>
                <xdr:rowOff>25400</xdr:rowOff>
              </to>
            </anchor>
          </controlPr>
        </control>
      </mc:Choice>
      <mc:Fallback>
        <control shapeId="2055" r:id="rId14" name="CommandButton1"/>
      </mc:Fallback>
    </mc:AlternateContent>
    <mc:AlternateContent xmlns:mc="http://schemas.openxmlformats.org/markup-compatibility/2006">
      <mc:Choice Requires="x14">
        <control shapeId="2058" r:id="rId16" name="cmdHabilitarFormato">
          <controlPr defaultSize="0" autoLine="0" r:id="rId17">
            <anchor moveWithCells="1">
              <from>
                <xdr:col>7</xdr:col>
                <xdr:colOff>146050</xdr:colOff>
                <xdr:row>8</xdr:row>
                <xdr:rowOff>31750</xdr:rowOff>
              </from>
              <to>
                <xdr:col>8</xdr:col>
                <xdr:colOff>412750</xdr:colOff>
                <xdr:row>9</xdr:row>
                <xdr:rowOff>120650</xdr:rowOff>
              </to>
            </anchor>
          </controlPr>
        </control>
      </mc:Choice>
      <mc:Fallback>
        <control shapeId="2058" r:id="rId16" name="cmdHabilitarFormato"/>
      </mc:Fallback>
    </mc:AlternateContent>
    <mc:AlternateContent xmlns:mc="http://schemas.openxmlformats.org/markup-compatibility/2006">
      <mc:Choice Requires="x14">
        <control shapeId="2059" r:id="rId18" name="cmdBloquearFormato">
          <controlPr defaultSize="0" autoLine="0" r:id="rId19">
            <anchor moveWithCells="1">
              <from>
                <xdr:col>8</xdr:col>
                <xdr:colOff>527050</xdr:colOff>
                <xdr:row>8</xdr:row>
                <xdr:rowOff>25400</xdr:rowOff>
              </from>
              <to>
                <xdr:col>9</xdr:col>
                <xdr:colOff>806450</xdr:colOff>
                <xdr:row>9</xdr:row>
                <xdr:rowOff>127000</xdr:rowOff>
              </to>
            </anchor>
          </controlPr>
        </control>
      </mc:Choice>
      <mc:Fallback>
        <control shapeId="2059" r:id="rId18" name="cmdBloquearFormato"/>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Param_General!$BC$4:$BC$10</xm:f>
          </x14:formula1>
          <xm:sqref>E18:J18 O18:T18 Y18:AD18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W1048560"/>
  <sheetViews>
    <sheetView tabSelected="1" zoomScale="70" zoomScaleNormal="70" workbookViewId="0">
      <pane ySplit="10" topLeftCell="A11" activePane="bottomLeft" state="frozen"/>
      <selection pane="bottomLeft" activeCell="A11" sqref="A11"/>
    </sheetView>
  </sheetViews>
  <sheetFormatPr defaultColWidth="11.453125" defaultRowHeight="14" x14ac:dyDescent="0.3"/>
  <cols>
    <col min="1" max="1" width="22.6328125" style="99" customWidth="1"/>
    <col min="2" max="2" width="17.6328125" style="99" bestFit="1" customWidth="1"/>
    <col min="3" max="3" width="73" style="342" customWidth="1"/>
    <col min="4" max="4" width="41.36328125" style="343" bestFit="1" customWidth="1"/>
    <col min="5" max="5" width="15.08984375" style="345" bestFit="1" customWidth="1"/>
    <col min="6" max="6" width="19.36328125" style="345" bestFit="1" customWidth="1"/>
    <col min="7" max="7" width="56.6328125" style="342" customWidth="1"/>
    <col min="8" max="8" width="39.453125" style="342" customWidth="1"/>
    <col min="9" max="9" width="139.36328125" style="354" bestFit="1" customWidth="1"/>
    <col min="10" max="10" width="43.6328125" style="342" customWidth="1"/>
    <col min="11" max="11" width="67.54296875" style="342" customWidth="1"/>
    <col min="12" max="12" width="30" style="99" customWidth="1"/>
    <col min="13" max="22" width="26.36328125" style="99" customWidth="1"/>
    <col min="23" max="16384" width="11.453125" style="99"/>
  </cols>
  <sheetData>
    <row r="1" spans="1:23" ht="21" customHeight="1" x14ac:dyDescent="0.3">
      <c r="A1" s="434"/>
      <c r="B1" s="448" t="str">
        <f>Planeación!D1</f>
        <v>VERIFICACIÓN Y VALIDACIÓN</v>
      </c>
      <c r="C1" s="448"/>
      <c r="D1" s="448"/>
      <c r="E1" s="448"/>
      <c r="F1" s="448"/>
      <c r="G1" s="448"/>
      <c r="H1" s="448"/>
      <c r="I1" s="448"/>
      <c r="J1" s="448"/>
      <c r="K1" s="448"/>
      <c r="L1" s="448"/>
      <c r="M1" s="448"/>
      <c r="N1" s="448"/>
      <c r="O1" s="448"/>
      <c r="P1" s="448"/>
      <c r="Q1" s="448"/>
      <c r="R1" s="448"/>
      <c r="S1" s="448"/>
      <c r="T1" s="448"/>
      <c r="U1" s="448"/>
      <c r="V1" s="447" t="str">
        <f>Planeación!K1</f>
        <v>Versión: 10
Fecha de emisión:  21/03/2018
Código: F-TAI-010-001</v>
      </c>
      <c r="W1" s="102"/>
    </row>
    <row r="2" spans="1:23" ht="39" customHeight="1" x14ac:dyDescent="0.3">
      <c r="A2" s="434"/>
      <c r="B2" s="448" t="str">
        <f>Planeación!D2</f>
        <v>FORMATO: Prueba interna</v>
      </c>
      <c r="C2" s="448"/>
      <c r="D2" s="448"/>
      <c r="E2" s="448"/>
      <c r="F2" s="448"/>
      <c r="G2" s="448"/>
      <c r="H2" s="448"/>
      <c r="I2" s="448"/>
      <c r="J2" s="448"/>
      <c r="K2" s="448"/>
      <c r="L2" s="448"/>
      <c r="M2" s="448"/>
      <c r="N2" s="448"/>
      <c r="O2" s="448"/>
      <c r="P2" s="448"/>
      <c r="Q2" s="448"/>
      <c r="R2" s="448"/>
      <c r="S2" s="448"/>
      <c r="T2" s="448"/>
      <c r="U2" s="448"/>
      <c r="V2" s="447"/>
      <c r="W2" s="102"/>
    </row>
    <row r="3" spans="1:23" ht="12" customHeight="1" x14ac:dyDescent="0.3">
      <c r="A3" s="104"/>
      <c r="B3" s="104"/>
      <c r="C3" s="104"/>
      <c r="D3" s="104"/>
      <c r="E3" s="105"/>
      <c r="F3" s="105"/>
      <c r="G3" s="104"/>
      <c r="H3" s="104"/>
      <c r="I3" s="351"/>
      <c r="J3" s="104"/>
      <c r="K3" s="104"/>
      <c r="L3" s="104"/>
      <c r="M3" s="104"/>
      <c r="N3" s="104"/>
      <c r="O3" s="104"/>
      <c r="P3" s="104"/>
      <c r="Q3" s="104"/>
      <c r="R3" s="104"/>
      <c r="S3" s="104"/>
      <c r="T3" s="104"/>
      <c r="U3" s="104"/>
      <c r="V3" s="104"/>
    </row>
    <row r="4" spans="1:23" ht="25.5" customHeight="1" x14ac:dyDescent="0.3">
      <c r="A4" s="449" t="s">
        <v>1552</v>
      </c>
      <c r="B4" s="449"/>
      <c r="C4" s="449"/>
      <c r="D4" s="449"/>
      <c r="E4" s="449"/>
      <c r="F4" s="449"/>
      <c r="G4" s="444" t="s">
        <v>17</v>
      </c>
      <c r="H4" s="444"/>
      <c r="I4" s="349" t="s">
        <v>24</v>
      </c>
      <c r="J4" s="450" t="s">
        <v>11</v>
      </c>
      <c r="K4" s="450"/>
      <c r="L4" s="241">
        <f>COUNTIF(L11:L1048576,"Exitoso")</f>
        <v>5</v>
      </c>
      <c r="M4" s="241">
        <v>0</v>
      </c>
      <c r="N4" s="241">
        <f t="shared" ref="N4:V4" si="0">COUNTIF(N11:N1048576,"Exitoso")</f>
        <v>0</v>
      </c>
      <c r="O4" s="241">
        <f t="shared" si="0"/>
        <v>0</v>
      </c>
      <c r="P4" s="241">
        <f t="shared" si="0"/>
        <v>0</v>
      </c>
      <c r="Q4" s="241">
        <f t="shared" si="0"/>
        <v>0</v>
      </c>
      <c r="R4" s="241">
        <f t="shared" si="0"/>
        <v>0</v>
      </c>
      <c r="S4" s="241">
        <f t="shared" si="0"/>
        <v>0</v>
      </c>
      <c r="T4" s="241">
        <f t="shared" si="0"/>
        <v>0</v>
      </c>
      <c r="U4" s="241">
        <f t="shared" si="0"/>
        <v>0</v>
      </c>
      <c r="V4" s="241">
        <f t="shared" si="0"/>
        <v>0</v>
      </c>
      <c r="W4" s="102"/>
    </row>
    <row r="5" spans="1:23" ht="15" customHeight="1" x14ac:dyDescent="0.3">
      <c r="A5" s="452" t="s">
        <v>1549</v>
      </c>
      <c r="B5" s="452"/>
      <c r="C5" s="452"/>
      <c r="D5" s="452"/>
      <c r="E5" s="452"/>
      <c r="F5" s="240">
        <v>5</v>
      </c>
      <c r="G5" s="445" t="s">
        <v>57</v>
      </c>
      <c r="H5" s="445"/>
      <c r="I5" s="352" t="s">
        <v>774</v>
      </c>
      <c r="J5" s="442" t="s">
        <v>12</v>
      </c>
      <c r="K5" s="442"/>
      <c r="L5" s="241">
        <f>COUNTIF(L11:L1048576,"Fallido")</f>
        <v>0</v>
      </c>
      <c r="M5" s="241">
        <v>0</v>
      </c>
      <c r="N5" s="241">
        <f t="shared" ref="N5:V5" si="1">COUNTIF(N11:N1048576,"Fallido")</f>
        <v>0</v>
      </c>
      <c r="O5" s="241">
        <f t="shared" si="1"/>
        <v>0</v>
      </c>
      <c r="P5" s="241">
        <f t="shared" si="1"/>
        <v>0</v>
      </c>
      <c r="Q5" s="241">
        <f t="shared" si="1"/>
        <v>0</v>
      </c>
      <c r="R5" s="241">
        <f t="shared" si="1"/>
        <v>0</v>
      </c>
      <c r="S5" s="241">
        <f t="shared" si="1"/>
        <v>0</v>
      </c>
      <c r="T5" s="241">
        <f t="shared" si="1"/>
        <v>0</v>
      </c>
      <c r="U5" s="241">
        <f t="shared" si="1"/>
        <v>0</v>
      </c>
      <c r="V5" s="241">
        <f t="shared" si="1"/>
        <v>0</v>
      </c>
      <c r="W5" s="102"/>
    </row>
    <row r="6" spans="1:23" ht="15" customHeight="1" x14ac:dyDescent="0.3">
      <c r="A6" s="452" t="s">
        <v>1550</v>
      </c>
      <c r="B6" s="452"/>
      <c r="C6" s="452"/>
      <c r="D6" s="452"/>
      <c r="E6" s="452"/>
      <c r="F6" s="334">
        <v>0</v>
      </c>
      <c r="G6" s="446" t="s">
        <v>1555</v>
      </c>
      <c r="H6" s="446"/>
      <c r="I6" s="336">
        <v>5</v>
      </c>
      <c r="J6" s="441" t="s">
        <v>9</v>
      </c>
      <c r="K6" s="442"/>
      <c r="L6" s="241">
        <v>0</v>
      </c>
      <c r="M6" s="241">
        <v>0</v>
      </c>
      <c r="N6" s="241">
        <v>0</v>
      </c>
      <c r="O6" s="241">
        <v>0</v>
      </c>
      <c r="P6" s="241">
        <v>0</v>
      </c>
      <c r="Q6" s="241">
        <v>0</v>
      </c>
      <c r="R6" s="241">
        <v>0</v>
      </c>
      <c r="S6" s="241">
        <v>0</v>
      </c>
      <c r="T6" s="241">
        <v>0</v>
      </c>
      <c r="U6" s="241">
        <v>0</v>
      </c>
      <c r="V6" s="241">
        <v>0</v>
      </c>
      <c r="W6" s="102"/>
    </row>
    <row r="7" spans="1:23" ht="18.75" customHeight="1" x14ac:dyDescent="0.3">
      <c r="A7" s="451" t="s">
        <v>1551</v>
      </c>
      <c r="B7" s="451"/>
      <c r="C7" s="451"/>
      <c r="D7" s="451"/>
      <c r="E7" s="451"/>
      <c r="F7" s="335">
        <v>0</v>
      </c>
      <c r="G7" s="337" t="s">
        <v>1556</v>
      </c>
      <c r="H7" s="338">
        <v>5</v>
      </c>
      <c r="I7" s="353">
        <f>COUNTIFS($E$11:$E$2994,"&gt;0",$B$11:$B$2994,$H$7)</f>
        <v>0</v>
      </c>
      <c r="J7" s="441" t="s">
        <v>138</v>
      </c>
      <c r="K7" s="442"/>
      <c r="L7" s="241">
        <f t="shared" ref="L7:V7" si="2">COUNTIF(L11:L1048576,"No se pudo ejecutar")</f>
        <v>0</v>
      </c>
      <c r="M7" s="241">
        <f t="shared" si="2"/>
        <v>0</v>
      </c>
      <c r="N7" s="241">
        <f t="shared" si="2"/>
        <v>0</v>
      </c>
      <c r="O7" s="241">
        <f t="shared" si="2"/>
        <v>0</v>
      </c>
      <c r="P7" s="241">
        <f t="shared" si="2"/>
        <v>0</v>
      </c>
      <c r="Q7" s="241">
        <f t="shared" si="2"/>
        <v>0</v>
      </c>
      <c r="R7" s="241">
        <f t="shared" si="2"/>
        <v>0</v>
      </c>
      <c r="S7" s="241">
        <f t="shared" si="2"/>
        <v>0</v>
      </c>
      <c r="T7" s="241">
        <f t="shared" si="2"/>
        <v>0</v>
      </c>
      <c r="U7" s="241">
        <f t="shared" si="2"/>
        <v>0</v>
      </c>
      <c r="V7" s="241">
        <f t="shared" si="2"/>
        <v>0</v>
      </c>
      <c r="W7" s="102"/>
    </row>
    <row r="8" spans="1:23" ht="22.5" customHeight="1" x14ac:dyDescent="0.3">
      <c r="A8" s="453" t="s">
        <v>735</v>
      </c>
      <c r="B8" s="453"/>
      <c r="C8" s="453"/>
      <c r="D8" s="453"/>
      <c r="E8" s="453"/>
      <c r="F8" s="453"/>
      <c r="G8" s="453"/>
      <c r="H8" s="453"/>
      <c r="I8" s="454"/>
      <c r="J8" s="443" t="s">
        <v>13</v>
      </c>
      <c r="K8" s="443"/>
      <c r="L8" s="237" t="str">
        <f t="shared" ref="L8:V8" si="3">IF(COUNTIF(L11:L1048576, "Fallido")&gt;=1, "Con errores", IF(OR($A$5=0, COUNTBLANK(L11:L1048576)=1048567), " ","Exitoso"))</f>
        <v>Exitoso</v>
      </c>
      <c r="M8" s="237" t="str">
        <f t="shared" si="3"/>
        <v>Exitoso</v>
      </c>
      <c r="N8" s="237" t="str">
        <f t="shared" si="3"/>
        <v>Exitoso</v>
      </c>
      <c r="O8" s="237" t="str">
        <f t="shared" si="3"/>
        <v>Exitoso</v>
      </c>
      <c r="P8" s="237" t="str">
        <f t="shared" si="3"/>
        <v>Exitoso</v>
      </c>
      <c r="Q8" s="237" t="str">
        <f t="shared" si="3"/>
        <v>Exitoso</v>
      </c>
      <c r="R8" s="237" t="str">
        <f t="shared" si="3"/>
        <v>Exitoso</v>
      </c>
      <c r="S8" s="237" t="str">
        <f t="shared" si="3"/>
        <v>Exitoso</v>
      </c>
      <c r="T8" s="237" t="str">
        <f t="shared" si="3"/>
        <v>Exitoso</v>
      </c>
      <c r="U8" s="237" t="str">
        <f t="shared" si="3"/>
        <v>Exitoso</v>
      </c>
      <c r="V8" s="237" t="str">
        <f t="shared" si="3"/>
        <v>Exitoso</v>
      </c>
      <c r="W8" s="102"/>
    </row>
    <row r="9" spans="1:23" ht="39.75" customHeight="1" x14ac:dyDescent="0.3">
      <c r="A9" s="455"/>
      <c r="B9" s="455"/>
      <c r="C9" s="455"/>
      <c r="D9" s="455"/>
      <c r="E9" s="455"/>
      <c r="F9" s="455"/>
      <c r="G9" s="455"/>
      <c r="H9" s="455"/>
      <c r="I9" s="456"/>
      <c r="J9" s="444" t="s">
        <v>159</v>
      </c>
      <c r="K9" s="444" t="s">
        <v>7</v>
      </c>
      <c r="L9" s="238" t="s">
        <v>698</v>
      </c>
      <c r="M9" s="239" t="s">
        <v>1557</v>
      </c>
      <c r="N9" s="239" t="s">
        <v>1560</v>
      </c>
      <c r="O9" s="239" t="s">
        <v>1558</v>
      </c>
      <c r="P9" s="239" t="s">
        <v>1559</v>
      </c>
      <c r="Q9" s="239" t="s">
        <v>196</v>
      </c>
      <c r="R9" s="239" t="s">
        <v>197</v>
      </c>
      <c r="S9" s="239" t="s">
        <v>198</v>
      </c>
      <c r="T9" s="239" t="s">
        <v>199</v>
      </c>
      <c r="U9" s="239" t="s">
        <v>200</v>
      </c>
      <c r="V9" s="239" t="s">
        <v>201</v>
      </c>
      <c r="W9" s="102"/>
    </row>
    <row r="10" spans="1:23" s="100" customFormat="1" x14ac:dyDescent="0.3">
      <c r="A10" s="206" t="s">
        <v>151</v>
      </c>
      <c r="B10" s="206" t="s">
        <v>898</v>
      </c>
      <c r="C10" s="206" t="s">
        <v>1525</v>
      </c>
      <c r="D10" s="206" t="s">
        <v>153</v>
      </c>
      <c r="E10" s="206" t="s">
        <v>1553</v>
      </c>
      <c r="F10" s="206" t="s">
        <v>1554</v>
      </c>
      <c r="G10" s="206" t="s">
        <v>154</v>
      </c>
      <c r="H10" s="206" t="s">
        <v>155</v>
      </c>
      <c r="I10" s="236" t="s">
        <v>156</v>
      </c>
      <c r="J10" s="444"/>
      <c r="K10" s="444"/>
      <c r="L10" s="206" t="s">
        <v>6</v>
      </c>
      <c r="M10" s="206" t="s">
        <v>6</v>
      </c>
      <c r="N10" s="206" t="s">
        <v>6</v>
      </c>
      <c r="O10" s="206" t="s">
        <v>6</v>
      </c>
      <c r="P10" s="206" t="s">
        <v>6</v>
      </c>
      <c r="Q10" s="206" t="s">
        <v>6</v>
      </c>
      <c r="R10" s="206" t="s">
        <v>6</v>
      </c>
      <c r="S10" s="206" t="s">
        <v>6</v>
      </c>
      <c r="T10" s="206" t="s">
        <v>6</v>
      </c>
      <c r="U10" s="206" t="s">
        <v>6</v>
      </c>
      <c r="V10" s="206" t="s">
        <v>6</v>
      </c>
      <c r="W10" s="103"/>
    </row>
    <row r="11" spans="1:23" s="101" customFormat="1" ht="70" x14ac:dyDescent="0.3">
      <c r="A11" s="222"/>
      <c r="B11" s="235">
        <v>1</v>
      </c>
      <c r="C11" s="227"/>
      <c r="D11" s="346" t="s">
        <v>1576</v>
      </c>
      <c r="E11" s="235">
        <v>1</v>
      </c>
      <c r="F11" s="235" t="s">
        <v>773</v>
      </c>
      <c r="G11" s="346" t="s">
        <v>1587</v>
      </c>
      <c r="H11" s="457" t="s">
        <v>1586</v>
      </c>
      <c r="I11" s="350" t="s">
        <v>1581</v>
      </c>
      <c r="J11" s="346" t="s">
        <v>1596</v>
      </c>
      <c r="K11" s="227"/>
      <c r="L11" s="224" t="s">
        <v>11</v>
      </c>
      <c r="M11" s="224" t="s">
        <v>9</v>
      </c>
      <c r="N11" s="224" t="s">
        <v>9</v>
      </c>
      <c r="O11" s="224"/>
      <c r="P11" s="224"/>
      <c r="Q11" s="224"/>
      <c r="R11" s="224"/>
      <c r="S11" s="224"/>
      <c r="T11" s="224"/>
      <c r="U11" s="224"/>
      <c r="V11" s="224"/>
      <c r="W11" s="106"/>
    </row>
    <row r="12" spans="1:23" s="101" customFormat="1" ht="70" x14ac:dyDescent="0.3">
      <c r="A12" s="222"/>
      <c r="B12" s="235">
        <v>1</v>
      </c>
      <c r="C12" s="227"/>
      <c r="D12" s="346" t="s">
        <v>1577</v>
      </c>
      <c r="E12" s="235">
        <v>3</v>
      </c>
      <c r="F12" s="235" t="s">
        <v>773</v>
      </c>
      <c r="G12" s="346" t="s">
        <v>1588</v>
      </c>
      <c r="H12" s="458"/>
      <c r="I12" s="350" t="s">
        <v>1582</v>
      </c>
      <c r="J12" s="346" t="s">
        <v>1596</v>
      </c>
      <c r="K12" s="227"/>
      <c r="L12" s="224" t="s">
        <v>11</v>
      </c>
      <c r="M12" s="224" t="s">
        <v>9</v>
      </c>
      <c r="N12" s="224" t="s">
        <v>9</v>
      </c>
      <c r="O12" s="224"/>
      <c r="P12" s="224"/>
      <c r="Q12" s="224"/>
      <c r="R12" s="224"/>
      <c r="S12" s="224"/>
      <c r="T12" s="224"/>
      <c r="U12" s="224"/>
      <c r="V12" s="224"/>
      <c r="W12" s="106"/>
    </row>
    <row r="13" spans="1:23" s="101" customFormat="1" ht="70" x14ac:dyDescent="0.3">
      <c r="A13" s="222"/>
      <c r="B13" s="235">
        <v>1</v>
      </c>
      <c r="C13" s="227"/>
      <c r="D13" s="346" t="s">
        <v>1578</v>
      </c>
      <c r="E13" s="235">
        <v>4</v>
      </c>
      <c r="F13" s="235" t="s">
        <v>773</v>
      </c>
      <c r="G13" s="346" t="s">
        <v>1589</v>
      </c>
      <c r="H13" s="458"/>
      <c r="I13" s="350" t="s">
        <v>1583</v>
      </c>
      <c r="J13" s="346" t="s">
        <v>1596</v>
      </c>
      <c r="K13" s="227"/>
      <c r="L13" s="224" t="s">
        <v>11</v>
      </c>
      <c r="M13" s="224" t="s">
        <v>9</v>
      </c>
      <c r="N13" s="224" t="s">
        <v>9</v>
      </c>
      <c r="O13" s="224"/>
      <c r="P13" s="224"/>
      <c r="Q13" s="224"/>
      <c r="R13" s="224"/>
      <c r="S13" s="224"/>
      <c r="T13" s="224"/>
      <c r="U13" s="224"/>
      <c r="V13" s="224"/>
      <c r="W13" s="106"/>
    </row>
    <row r="14" spans="1:23" s="101" customFormat="1" ht="70" x14ac:dyDescent="0.3">
      <c r="A14" s="222"/>
      <c r="B14" s="235">
        <v>1</v>
      </c>
      <c r="C14" s="227"/>
      <c r="D14" s="346" t="s">
        <v>1579</v>
      </c>
      <c r="E14" s="235">
        <v>5</v>
      </c>
      <c r="F14" s="235" t="s">
        <v>773</v>
      </c>
      <c r="G14" s="346" t="s">
        <v>1590</v>
      </c>
      <c r="H14" s="458"/>
      <c r="I14" s="350" t="s">
        <v>1584</v>
      </c>
      <c r="J14" s="346" t="s">
        <v>1596</v>
      </c>
      <c r="K14" s="227"/>
      <c r="L14" s="224" t="s">
        <v>11</v>
      </c>
      <c r="M14" s="224" t="s">
        <v>9</v>
      </c>
      <c r="N14" s="224" t="s">
        <v>9</v>
      </c>
      <c r="O14" s="224"/>
      <c r="P14" s="224"/>
      <c r="Q14" s="224"/>
      <c r="R14" s="224"/>
      <c r="S14" s="224"/>
      <c r="T14" s="224"/>
      <c r="U14" s="224"/>
      <c r="V14" s="224"/>
      <c r="W14" s="106"/>
    </row>
    <row r="15" spans="1:23" s="101" customFormat="1" ht="70" x14ac:dyDescent="0.3">
      <c r="A15" s="222"/>
      <c r="B15" s="235">
        <v>1</v>
      </c>
      <c r="C15" s="227"/>
      <c r="D15" s="346" t="s">
        <v>1580</v>
      </c>
      <c r="E15" s="235">
        <v>6</v>
      </c>
      <c r="F15" s="235" t="s">
        <v>773</v>
      </c>
      <c r="G15" s="346" t="s">
        <v>1591</v>
      </c>
      <c r="H15" s="458"/>
      <c r="I15" s="350" t="s">
        <v>1585</v>
      </c>
      <c r="J15" s="346" t="s">
        <v>1596</v>
      </c>
      <c r="K15" s="227"/>
      <c r="L15" s="224" t="s">
        <v>11</v>
      </c>
      <c r="M15" s="224" t="s">
        <v>9</v>
      </c>
      <c r="N15" s="224" t="s">
        <v>9</v>
      </c>
      <c r="O15" s="224"/>
      <c r="P15" s="224"/>
      <c r="Q15" s="224"/>
      <c r="R15" s="224"/>
      <c r="S15" s="224"/>
      <c r="T15" s="224"/>
      <c r="U15" s="224"/>
      <c r="V15" s="224"/>
      <c r="W15" s="106"/>
    </row>
    <row r="16" spans="1:23" s="101" customFormat="1" x14ac:dyDescent="0.3">
      <c r="A16" s="222"/>
      <c r="B16" s="235"/>
      <c r="C16" s="227"/>
      <c r="D16" s="344"/>
      <c r="E16" s="235"/>
      <c r="F16" s="235"/>
      <c r="G16" s="227"/>
      <c r="H16" s="227"/>
      <c r="I16" s="350"/>
      <c r="J16" s="227"/>
      <c r="K16" s="227"/>
      <c r="L16" s="224"/>
      <c r="M16" s="224"/>
      <c r="N16" s="224"/>
      <c r="O16" s="224"/>
      <c r="P16" s="224"/>
      <c r="Q16" s="224"/>
      <c r="R16" s="224"/>
      <c r="S16" s="224"/>
      <c r="T16" s="224"/>
      <c r="U16" s="224"/>
      <c r="V16" s="224"/>
      <c r="W16" s="106"/>
    </row>
    <row r="17" spans="1:23" s="101" customFormat="1" x14ac:dyDescent="0.3">
      <c r="A17" s="222"/>
      <c r="B17" s="235"/>
      <c r="C17" s="227"/>
      <c r="D17" s="344"/>
      <c r="E17" s="235"/>
      <c r="F17" s="235"/>
      <c r="G17" s="227"/>
      <c r="H17" s="227"/>
      <c r="I17" s="350"/>
      <c r="J17" s="227"/>
      <c r="K17" s="227"/>
      <c r="L17" s="224"/>
      <c r="M17" s="224"/>
      <c r="N17" s="224"/>
      <c r="O17" s="224"/>
      <c r="P17" s="224"/>
      <c r="Q17" s="224"/>
      <c r="R17" s="224"/>
      <c r="S17" s="224"/>
      <c r="T17" s="224"/>
      <c r="U17" s="224"/>
      <c r="V17" s="224"/>
      <c r="W17" s="106"/>
    </row>
    <row r="18" spans="1:23" s="101" customFormat="1" x14ac:dyDescent="0.3">
      <c r="A18" s="222"/>
      <c r="B18" s="235"/>
      <c r="C18" s="227"/>
      <c r="D18" s="344"/>
      <c r="E18" s="235"/>
      <c r="F18" s="235"/>
      <c r="G18" s="227"/>
      <c r="H18" s="227"/>
      <c r="I18" s="350"/>
      <c r="J18" s="227"/>
      <c r="K18" s="227"/>
      <c r="L18" s="224"/>
      <c r="M18" s="224"/>
      <c r="N18" s="224"/>
      <c r="O18" s="224"/>
      <c r="P18" s="224"/>
      <c r="Q18" s="224"/>
      <c r="R18" s="224"/>
      <c r="S18" s="224"/>
      <c r="T18" s="224"/>
      <c r="U18" s="224"/>
      <c r="V18" s="224"/>
      <c r="W18" s="106"/>
    </row>
    <row r="19" spans="1:23" s="101" customFormat="1" x14ac:dyDescent="0.3">
      <c r="A19" s="222"/>
      <c r="B19" s="235"/>
      <c r="C19" s="227"/>
      <c r="D19" s="344"/>
      <c r="E19" s="235"/>
      <c r="F19" s="235"/>
      <c r="G19" s="227"/>
      <c r="H19" s="227"/>
      <c r="I19" s="350"/>
      <c r="J19" s="227"/>
      <c r="K19" s="227"/>
      <c r="L19" s="224"/>
      <c r="M19" s="224"/>
      <c r="N19" s="224"/>
      <c r="O19" s="224"/>
      <c r="P19" s="224"/>
      <c r="Q19" s="224"/>
      <c r="R19" s="224"/>
      <c r="S19" s="224"/>
      <c r="T19" s="224"/>
      <c r="U19" s="224"/>
      <c r="V19" s="224"/>
      <c r="W19" s="106"/>
    </row>
    <row r="20" spans="1:23" s="101" customFormat="1" x14ac:dyDescent="0.3">
      <c r="A20" s="222"/>
      <c r="B20" s="235"/>
      <c r="C20" s="227"/>
      <c r="D20" s="344"/>
      <c r="E20" s="235"/>
      <c r="F20" s="235"/>
      <c r="G20" s="227"/>
      <c r="H20" s="227"/>
      <c r="I20" s="350"/>
      <c r="J20" s="227"/>
      <c r="K20" s="227"/>
      <c r="L20" s="224"/>
      <c r="M20" s="224"/>
      <c r="N20" s="224"/>
      <c r="O20" s="224"/>
      <c r="P20" s="224"/>
      <c r="Q20" s="224"/>
      <c r="R20" s="224"/>
      <c r="S20" s="224"/>
      <c r="T20" s="224"/>
      <c r="U20" s="224"/>
      <c r="V20" s="224"/>
      <c r="W20" s="106"/>
    </row>
    <row r="21" spans="1:23" s="101" customFormat="1" x14ac:dyDescent="0.3">
      <c r="A21" s="222"/>
      <c r="B21" s="235"/>
      <c r="C21" s="227"/>
      <c r="D21" s="344"/>
      <c r="E21" s="235"/>
      <c r="F21" s="235"/>
      <c r="G21" s="227"/>
      <c r="H21" s="227"/>
      <c r="I21" s="350"/>
      <c r="J21" s="227"/>
      <c r="K21" s="227"/>
      <c r="L21" s="224"/>
      <c r="M21" s="224"/>
      <c r="N21" s="224"/>
      <c r="O21" s="224"/>
      <c r="P21" s="224"/>
      <c r="Q21" s="224"/>
      <c r="R21" s="224"/>
      <c r="S21" s="224"/>
      <c r="T21" s="224"/>
      <c r="U21" s="224"/>
      <c r="V21" s="224"/>
      <c r="W21" s="106"/>
    </row>
    <row r="22" spans="1:23" s="101" customFormat="1" x14ac:dyDescent="0.3">
      <c r="A22" s="222"/>
      <c r="B22" s="235"/>
      <c r="C22" s="227"/>
      <c r="D22" s="344"/>
      <c r="E22" s="235"/>
      <c r="F22" s="235"/>
      <c r="G22" s="227"/>
      <c r="H22" s="227"/>
      <c r="I22" s="350"/>
      <c r="J22" s="227"/>
      <c r="K22" s="227"/>
      <c r="L22" s="224"/>
      <c r="M22" s="224"/>
      <c r="N22" s="224"/>
      <c r="O22" s="224"/>
      <c r="P22" s="224"/>
      <c r="Q22" s="224"/>
      <c r="R22" s="224"/>
      <c r="S22" s="224"/>
      <c r="T22" s="224"/>
      <c r="U22" s="224"/>
      <c r="V22" s="224"/>
      <c r="W22" s="106"/>
    </row>
    <row r="23" spans="1:23" s="101" customFormat="1" x14ac:dyDescent="0.3">
      <c r="A23" s="222"/>
      <c r="B23" s="235"/>
      <c r="C23" s="227"/>
      <c r="D23" s="344"/>
      <c r="E23" s="235"/>
      <c r="F23" s="235"/>
      <c r="G23" s="227"/>
      <c r="H23" s="227"/>
      <c r="I23" s="350"/>
      <c r="J23" s="227"/>
      <c r="K23" s="227"/>
      <c r="L23" s="224"/>
      <c r="M23" s="224"/>
      <c r="N23" s="224"/>
      <c r="O23" s="224"/>
      <c r="P23" s="224"/>
      <c r="Q23" s="224"/>
      <c r="R23" s="224"/>
      <c r="S23" s="224"/>
      <c r="T23" s="224"/>
      <c r="U23" s="224"/>
      <c r="V23" s="224"/>
      <c r="W23" s="106"/>
    </row>
    <row r="24" spans="1:23" s="101" customFormat="1" x14ac:dyDescent="0.3">
      <c r="A24" s="222"/>
      <c r="B24" s="235"/>
      <c r="C24" s="227"/>
      <c r="D24" s="344"/>
      <c r="E24" s="235"/>
      <c r="F24" s="235"/>
      <c r="G24" s="227"/>
      <c r="H24" s="227"/>
      <c r="I24" s="350"/>
      <c r="J24" s="227"/>
      <c r="K24" s="227"/>
      <c r="L24" s="224"/>
      <c r="M24" s="224"/>
      <c r="N24" s="224"/>
      <c r="O24" s="224"/>
      <c r="P24" s="224"/>
      <c r="Q24" s="224"/>
      <c r="R24" s="224"/>
      <c r="S24" s="224"/>
      <c r="T24" s="224"/>
      <c r="U24" s="224"/>
      <c r="V24" s="224"/>
      <c r="W24" s="106"/>
    </row>
    <row r="25" spans="1:23" s="101" customFormat="1" x14ac:dyDescent="0.3">
      <c r="A25" s="222"/>
      <c r="B25" s="235"/>
      <c r="C25" s="227"/>
      <c r="D25" s="344"/>
      <c r="E25" s="235"/>
      <c r="F25" s="235"/>
      <c r="G25" s="227"/>
      <c r="H25" s="227"/>
      <c r="I25" s="350"/>
      <c r="J25" s="227"/>
      <c r="K25" s="227"/>
      <c r="L25" s="224"/>
      <c r="M25" s="224"/>
      <c r="N25" s="224"/>
      <c r="O25" s="224"/>
      <c r="P25" s="224"/>
      <c r="Q25" s="224"/>
      <c r="R25" s="224"/>
      <c r="S25" s="224"/>
      <c r="T25" s="224"/>
      <c r="U25" s="224"/>
      <c r="V25" s="224"/>
      <c r="W25" s="106"/>
    </row>
    <row r="26" spans="1:23" s="101" customFormat="1" x14ac:dyDescent="0.3">
      <c r="A26" s="222"/>
      <c r="B26" s="235"/>
      <c r="C26" s="227"/>
      <c r="D26" s="344"/>
      <c r="E26" s="235"/>
      <c r="F26" s="235"/>
      <c r="G26" s="227"/>
      <c r="H26" s="227"/>
      <c r="I26" s="350"/>
      <c r="J26" s="227"/>
      <c r="K26" s="227"/>
      <c r="L26" s="224"/>
      <c r="M26" s="224"/>
      <c r="N26" s="224"/>
      <c r="O26" s="224"/>
      <c r="P26" s="224"/>
      <c r="Q26" s="224"/>
      <c r="R26" s="224"/>
      <c r="S26" s="224"/>
      <c r="T26" s="224"/>
      <c r="U26" s="224"/>
      <c r="V26" s="224"/>
      <c r="W26" s="106"/>
    </row>
    <row r="27" spans="1:23" s="101" customFormat="1" x14ac:dyDescent="0.3">
      <c r="A27" s="222"/>
      <c r="B27" s="235"/>
      <c r="C27" s="227"/>
      <c r="D27" s="344"/>
      <c r="E27" s="235"/>
      <c r="F27" s="235"/>
      <c r="G27" s="227"/>
      <c r="H27" s="227"/>
      <c r="I27" s="350"/>
      <c r="J27" s="227"/>
      <c r="K27" s="227"/>
      <c r="L27" s="224"/>
      <c r="M27" s="224"/>
      <c r="N27" s="224"/>
      <c r="O27" s="224"/>
      <c r="P27" s="224"/>
      <c r="Q27" s="224"/>
      <c r="R27" s="224"/>
      <c r="S27" s="224"/>
      <c r="T27" s="224"/>
      <c r="U27" s="224"/>
      <c r="V27" s="224"/>
      <c r="W27" s="106"/>
    </row>
    <row r="28" spans="1:23" s="101" customFormat="1" x14ac:dyDescent="0.3">
      <c r="A28" s="222"/>
      <c r="B28" s="235"/>
      <c r="C28" s="227"/>
      <c r="D28" s="344"/>
      <c r="E28" s="235"/>
      <c r="F28" s="235"/>
      <c r="G28" s="227"/>
      <c r="H28" s="227"/>
      <c r="I28" s="350"/>
      <c r="J28" s="227"/>
      <c r="K28" s="227"/>
      <c r="L28" s="224"/>
      <c r="M28" s="224"/>
      <c r="N28" s="224"/>
      <c r="O28" s="224"/>
      <c r="P28" s="224"/>
      <c r="Q28" s="224"/>
      <c r="R28" s="224"/>
      <c r="S28" s="224"/>
      <c r="T28" s="224"/>
      <c r="U28" s="224"/>
      <c r="V28" s="224"/>
      <c r="W28" s="106"/>
    </row>
    <row r="29" spans="1:23" s="101" customFormat="1" x14ac:dyDescent="0.3">
      <c r="A29" s="222"/>
      <c r="B29" s="235"/>
      <c r="C29" s="227"/>
      <c r="D29" s="344"/>
      <c r="E29" s="235"/>
      <c r="F29" s="235"/>
      <c r="G29" s="227"/>
      <c r="H29" s="227"/>
      <c r="I29" s="350"/>
      <c r="J29" s="227"/>
      <c r="K29" s="227"/>
      <c r="L29" s="224"/>
      <c r="M29" s="224"/>
      <c r="N29" s="224"/>
      <c r="O29" s="224"/>
      <c r="P29" s="224"/>
      <c r="Q29" s="224"/>
      <c r="R29" s="224"/>
      <c r="S29" s="224"/>
      <c r="T29" s="224"/>
      <c r="U29" s="224"/>
      <c r="V29" s="224"/>
      <c r="W29" s="106"/>
    </row>
    <row r="30" spans="1:23" s="101" customFormat="1" x14ac:dyDescent="0.3">
      <c r="A30" s="222"/>
      <c r="B30" s="235"/>
      <c r="C30" s="227"/>
      <c r="D30" s="344"/>
      <c r="E30" s="235"/>
      <c r="F30" s="235"/>
      <c r="G30" s="227"/>
      <c r="H30" s="227"/>
      <c r="I30" s="350"/>
      <c r="J30" s="227"/>
      <c r="K30" s="227"/>
      <c r="L30" s="224"/>
      <c r="M30" s="224"/>
      <c r="N30" s="224"/>
      <c r="O30" s="224"/>
      <c r="P30" s="224"/>
      <c r="Q30" s="224"/>
      <c r="R30" s="224"/>
      <c r="S30" s="224"/>
      <c r="T30" s="224"/>
      <c r="U30" s="224"/>
      <c r="V30" s="224"/>
      <c r="W30" s="106"/>
    </row>
    <row r="31" spans="1:23" s="101" customFormat="1" x14ac:dyDescent="0.3">
      <c r="A31" s="222"/>
      <c r="B31" s="235"/>
      <c r="C31" s="227"/>
      <c r="D31" s="344"/>
      <c r="E31" s="235"/>
      <c r="F31" s="235"/>
      <c r="G31" s="227"/>
      <c r="H31" s="227"/>
      <c r="I31" s="350"/>
      <c r="J31" s="227"/>
      <c r="K31" s="227"/>
      <c r="L31" s="224"/>
      <c r="M31" s="224"/>
      <c r="N31" s="224"/>
      <c r="O31" s="224"/>
      <c r="P31" s="224"/>
      <c r="Q31" s="224"/>
      <c r="R31" s="224"/>
      <c r="S31" s="224"/>
      <c r="T31" s="224"/>
      <c r="U31" s="224"/>
      <c r="V31" s="224"/>
      <c r="W31" s="106"/>
    </row>
    <row r="32" spans="1:23" s="101" customFormat="1" x14ac:dyDescent="0.3">
      <c r="A32" s="222"/>
      <c r="B32" s="235"/>
      <c r="C32" s="227"/>
      <c r="D32" s="344"/>
      <c r="E32" s="235"/>
      <c r="F32" s="235"/>
      <c r="G32" s="227"/>
      <c r="H32" s="227"/>
      <c r="I32" s="350"/>
      <c r="J32" s="227"/>
      <c r="K32" s="227"/>
      <c r="L32" s="224"/>
      <c r="M32" s="224"/>
      <c r="N32" s="224"/>
      <c r="O32" s="224"/>
      <c r="P32" s="224"/>
      <c r="Q32" s="224"/>
      <c r="R32" s="224"/>
      <c r="S32" s="224"/>
      <c r="T32" s="224"/>
      <c r="U32" s="224"/>
      <c r="V32" s="224"/>
      <c r="W32" s="106"/>
    </row>
    <row r="33" spans="1:23" s="101" customFormat="1" x14ac:dyDescent="0.3">
      <c r="A33" s="222"/>
      <c r="B33" s="235"/>
      <c r="C33" s="227"/>
      <c r="D33" s="344"/>
      <c r="E33" s="235"/>
      <c r="F33" s="235"/>
      <c r="G33" s="227"/>
      <c r="H33" s="227"/>
      <c r="I33" s="350"/>
      <c r="J33" s="227"/>
      <c r="K33" s="227"/>
      <c r="L33" s="224"/>
      <c r="M33" s="224"/>
      <c r="N33" s="224"/>
      <c r="O33" s="224"/>
      <c r="P33" s="224"/>
      <c r="Q33" s="224"/>
      <c r="R33" s="224"/>
      <c r="S33" s="224"/>
      <c r="T33" s="224"/>
      <c r="U33" s="224"/>
      <c r="V33" s="224"/>
      <c r="W33" s="106"/>
    </row>
    <row r="34" spans="1:23" s="101" customFormat="1" x14ac:dyDescent="0.3">
      <c r="A34" s="222"/>
      <c r="B34" s="235"/>
      <c r="C34" s="227"/>
      <c r="D34" s="344"/>
      <c r="E34" s="235"/>
      <c r="F34" s="235"/>
      <c r="G34" s="227"/>
      <c r="H34" s="227"/>
      <c r="I34" s="350"/>
      <c r="J34" s="227"/>
      <c r="K34" s="227"/>
      <c r="L34" s="224"/>
      <c r="M34" s="224"/>
      <c r="N34" s="224"/>
      <c r="O34" s="224"/>
      <c r="P34" s="224"/>
      <c r="Q34" s="224"/>
      <c r="R34" s="224"/>
      <c r="S34" s="224"/>
      <c r="T34" s="224"/>
      <c r="U34" s="224"/>
      <c r="V34" s="224"/>
      <c r="W34" s="106"/>
    </row>
    <row r="35" spans="1:23" s="101" customFormat="1" x14ac:dyDescent="0.3">
      <c r="A35" s="222"/>
      <c r="B35" s="235"/>
      <c r="C35" s="227"/>
      <c r="D35" s="344"/>
      <c r="E35" s="235"/>
      <c r="F35" s="235"/>
      <c r="G35" s="227"/>
      <c r="H35" s="227"/>
      <c r="I35" s="350"/>
      <c r="J35" s="227"/>
      <c r="K35" s="227"/>
      <c r="L35" s="224"/>
      <c r="M35" s="224"/>
      <c r="N35" s="224"/>
      <c r="O35" s="224"/>
      <c r="P35" s="224"/>
      <c r="Q35" s="224"/>
      <c r="R35" s="224"/>
      <c r="S35" s="224"/>
      <c r="T35" s="224"/>
      <c r="U35" s="224"/>
      <c r="V35" s="224"/>
      <c r="W35" s="106"/>
    </row>
    <row r="36" spans="1:23" s="101" customFormat="1" x14ac:dyDescent="0.3">
      <c r="A36" s="222"/>
      <c r="B36" s="235"/>
      <c r="C36" s="227"/>
      <c r="D36" s="344"/>
      <c r="E36" s="235"/>
      <c r="F36" s="235"/>
      <c r="G36" s="227"/>
      <c r="H36" s="227"/>
      <c r="I36" s="350"/>
      <c r="J36" s="227"/>
      <c r="K36" s="227"/>
      <c r="L36" s="224"/>
      <c r="M36" s="224"/>
      <c r="N36" s="224"/>
      <c r="O36" s="224"/>
      <c r="P36" s="224"/>
      <c r="Q36" s="224"/>
      <c r="R36" s="224"/>
      <c r="S36" s="224"/>
      <c r="T36" s="224"/>
      <c r="U36" s="224"/>
      <c r="V36" s="224"/>
      <c r="W36" s="106"/>
    </row>
    <row r="37" spans="1:23" s="101" customFormat="1" x14ac:dyDescent="0.3">
      <c r="A37" s="222"/>
      <c r="B37" s="235"/>
      <c r="C37" s="227"/>
      <c r="D37" s="344"/>
      <c r="E37" s="235"/>
      <c r="F37" s="235"/>
      <c r="G37" s="227"/>
      <c r="H37" s="227"/>
      <c r="I37" s="350"/>
      <c r="J37" s="227"/>
      <c r="K37" s="227"/>
      <c r="L37" s="224"/>
      <c r="M37" s="224"/>
      <c r="N37" s="224"/>
      <c r="O37" s="224"/>
      <c r="P37" s="224"/>
      <c r="Q37" s="224"/>
      <c r="R37" s="224"/>
      <c r="S37" s="224"/>
      <c r="T37" s="224"/>
      <c r="U37" s="224"/>
      <c r="V37" s="224"/>
      <c r="W37" s="106"/>
    </row>
    <row r="38" spans="1:23" s="101" customFormat="1" x14ac:dyDescent="0.3">
      <c r="A38" s="222"/>
      <c r="B38" s="235"/>
      <c r="C38" s="227"/>
      <c r="D38" s="344"/>
      <c r="E38" s="235"/>
      <c r="F38" s="235"/>
      <c r="G38" s="227"/>
      <c r="H38" s="227"/>
      <c r="I38" s="350"/>
      <c r="J38" s="227"/>
      <c r="K38" s="227"/>
      <c r="L38" s="224"/>
      <c r="M38" s="224"/>
      <c r="N38" s="224"/>
      <c r="O38" s="224"/>
      <c r="P38" s="224"/>
      <c r="Q38" s="224"/>
      <c r="R38" s="224"/>
      <c r="S38" s="224"/>
      <c r="T38" s="224"/>
      <c r="U38" s="224"/>
      <c r="V38" s="224"/>
      <c r="W38" s="106"/>
    </row>
    <row r="39" spans="1:23" s="101" customFormat="1" x14ac:dyDescent="0.3">
      <c r="A39" s="222"/>
      <c r="B39" s="235"/>
      <c r="C39" s="227"/>
      <c r="D39" s="344"/>
      <c r="E39" s="235"/>
      <c r="F39" s="235"/>
      <c r="G39" s="227"/>
      <c r="H39" s="227"/>
      <c r="I39" s="350"/>
      <c r="J39" s="227"/>
      <c r="K39" s="227"/>
      <c r="L39" s="224"/>
      <c r="M39" s="224"/>
      <c r="N39" s="224"/>
      <c r="O39" s="224"/>
      <c r="P39" s="224"/>
      <c r="Q39" s="224"/>
      <c r="R39" s="224"/>
      <c r="S39" s="224"/>
      <c r="T39" s="224"/>
      <c r="U39" s="224"/>
      <c r="V39" s="224"/>
      <c r="W39" s="106"/>
    </row>
    <row r="40" spans="1:23" s="101" customFormat="1" x14ac:dyDescent="0.3">
      <c r="A40" s="222"/>
      <c r="B40" s="235"/>
      <c r="C40" s="227"/>
      <c r="D40" s="344"/>
      <c r="E40" s="235"/>
      <c r="F40" s="235"/>
      <c r="G40" s="227"/>
      <c r="H40" s="227"/>
      <c r="I40" s="350"/>
      <c r="J40" s="227"/>
      <c r="K40" s="227"/>
      <c r="L40" s="224"/>
      <c r="M40" s="224"/>
      <c r="N40" s="224"/>
      <c r="O40" s="224"/>
      <c r="P40" s="224"/>
      <c r="Q40" s="224"/>
      <c r="R40" s="224"/>
      <c r="S40" s="224"/>
      <c r="T40" s="224"/>
      <c r="U40" s="224"/>
      <c r="V40" s="224"/>
      <c r="W40" s="106"/>
    </row>
    <row r="41" spans="1:23" s="101" customFormat="1" x14ac:dyDescent="0.3">
      <c r="A41" s="222"/>
      <c r="B41" s="235"/>
      <c r="C41" s="227"/>
      <c r="D41" s="344"/>
      <c r="E41" s="235"/>
      <c r="F41" s="235"/>
      <c r="G41" s="227"/>
      <c r="H41" s="227"/>
      <c r="I41" s="350"/>
      <c r="J41" s="227"/>
      <c r="K41" s="227"/>
      <c r="L41" s="224"/>
      <c r="M41" s="224"/>
      <c r="N41" s="224"/>
      <c r="O41" s="224"/>
      <c r="P41" s="224"/>
      <c r="Q41" s="224"/>
      <c r="R41" s="224"/>
      <c r="S41" s="224"/>
      <c r="T41" s="224"/>
      <c r="U41" s="224"/>
      <c r="V41" s="224"/>
      <c r="W41" s="106"/>
    </row>
    <row r="42" spans="1:23" s="101" customFormat="1" x14ac:dyDescent="0.3">
      <c r="A42" s="222"/>
      <c r="B42" s="235"/>
      <c r="C42" s="227"/>
      <c r="D42" s="344"/>
      <c r="E42" s="235"/>
      <c r="F42" s="235"/>
      <c r="G42" s="227"/>
      <c r="H42" s="227"/>
      <c r="I42" s="350"/>
      <c r="J42" s="227"/>
      <c r="K42" s="227"/>
      <c r="L42" s="224"/>
      <c r="M42" s="224"/>
      <c r="N42" s="224"/>
      <c r="O42" s="224"/>
      <c r="P42" s="224"/>
      <c r="Q42" s="224"/>
      <c r="R42" s="224"/>
      <c r="S42" s="224"/>
      <c r="T42" s="224"/>
      <c r="U42" s="224"/>
      <c r="V42" s="224"/>
      <c r="W42" s="106"/>
    </row>
    <row r="43" spans="1:23" s="101" customFormat="1" x14ac:dyDescent="0.3">
      <c r="A43" s="222"/>
      <c r="B43" s="235"/>
      <c r="C43" s="227"/>
      <c r="D43" s="344"/>
      <c r="E43" s="235"/>
      <c r="F43" s="235"/>
      <c r="G43" s="227"/>
      <c r="H43" s="227"/>
      <c r="I43" s="350"/>
      <c r="J43" s="227"/>
      <c r="K43" s="227"/>
      <c r="L43" s="224"/>
      <c r="M43" s="224"/>
      <c r="N43" s="224"/>
      <c r="O43" s="224"/>
      <c r="P43" s="224"/>
      <c r="Q43" s="224"/>
      <c r="R43" s="224"/>
      <c r="S43" s="224"/>
      <c r="T43" s="224"/>
      <c r="U43" s="224"/>
      <c r="V43" s="224"/>
      <c r="W43" s="106"/>
    </row>
    <row r="44" spans="1:23" s="101" customFormat="1" x14ac:dyDescent="0.3">
      <c r="A44" s="222"/>
      <c r="B44" s="235"/>
      <c r="C44" s="227"/>
      <c r="D44" s="344"/>
      <c r="E44" s="235"/>
      <c r="F44" s="235"/>
      <c r="G44" s="227"/>
      <c r="H44" s="227"/>
      <c r="I44" s="350"/>
      <c r="J44" s="227"/>
      <c r="K44" s="227"/>
      <c r="L44" s="224"/>
      <c r="M44" s="224"/>
      <c r="N44" s="224"/>
      <c r="O44" s="224"/>
      <c r="P44" s="224"/>
      <c r="Q44" s="224"/>
      <c r="R44" s="224"/>
      <c r="S44" s="224"/>
      <c r="T44" s="224"/>
      <c r="U44" s="224"/>
      <c r="V44" s="224"/>
      <c r="W44" s="106"/>
    </row>
    <row r="45" spans="1:23" s="101" customFormat="1" x14ac:dyDescent="0.3">
      <c r="A45" s="222"/>
      <c r="B45" s="235"/>
      <c r="C45" s="227"/>
      <c r="D45" s="344"/>
      <c r="E45" s="235"/>
      <c r="F45" s="235"/>
      <c r="G45" s="227"/>
      <c r="H45" s="227"/>
      <c r="I45" s="350"/>
      <c r="J45" s="227"/>
      <c r="K45" s="227"/>
      <c r="L45" s="224"/>
      <c r="M45" s="224"/>
      <c r="N45" s="224"/>
      <c r="O45" s="224"/>
      <c r="P45" s="224"/>
      <c r="Q45" s="224"/>
      <c r="R45" s="224"/>
      <c r="S45" s="224"/>
      <c r="T45" s="224"/>
      <c r="U45" s="224"/>
      <c r="V45" s="224"/>
      <c r="W45" s="106"/>
    </row>
    <row r="46" spans="1:23" s="101" customFormat="1" x14ac:dyDescent="0.3">
      <c r="A46" s="222"/>
      <c r="B46" s="235"/>
      <c r="C46" s="227"/>
      <c r="D46" s="344"/>
      <c r="E46" s="235"/>
      <c r="F46" s="235"/>
      <c r="G46" s="227"/>
      <c r="H46" s="227"/>
      <c r="I46" s="350"/>
      <c r="J46" s="227"/>
      <c r="K46" s="227"/>
      <c r="L46" s="224"/>
      <c r="M46" s="224"/>
      <c r="N46" s="224"/>
      <c r="O46" s="224"/>
      <c r="P46" s="224"/>
      <c r="Q46" s="224"/>
      <c r="R46" s="224"/>
      <c r="S46" s="224"/>
      <c r="T46" s="224"/>
      <c r="U46" s="224"/>
      <c r="V46" s="224"/>
      <c r="W46" s="106"/>
    </row>
    <row r="47" spans="1:23" s="101" customFormat="1" x14ac:dyDescent="0.3">
      <c r="A47" s="222"/>
      <c r="B47" s="235"/>
      <c r="C47" s="227"/>
      <c r="D47" s="344"/>
      <c r="E47" s="235"/>
      <c r="F47" s="235"/>
      <c r="G47" s="227"/>
      <c r="H47" s="227"/>
      <c r="I47" s="350"/>
      <c r="J47" s="227"/>
      <c r="K47" s="227"/>
      <c r="L47" s="224"/>
      <c r="M47" s="224"/>
      <c r="N47" s="224"/>
      <c r="O47" s="224"/>
      <c r="P47" s="224"/>
      <c r="Q47" s="224"/>
      <c r="R47" s="224"/>
      <c r="S47" s="224"/>
      <c r="T47" s="224"/>
      <c r="U47" s="224"/>
      <c r="V47" s="224"/>
      <c r="W47" s="106"/>
    </row>
    <row r="48" spans="1:23" s="101" customFormat="1" x14ac:dyDescent="0.3">
      <c r="A48" s="222"/>
      <c r="B48" s="235"/>
      <c r="C48" s="227"/>
      <c r="D48" s="344"/>
      <c r="E48" s="235"/>
      <c r="F48" s="235"/>
      <c r="G48" s="227"/>
      <c r="H48" s="227"/>
      <c r="I48" s="350"/>
      <c r="J48" s="227"/>
      <c r="K48" s="227"/>
      <c r="L48" s="224"/>
      <c r="M48" s="224"/>
      <c r="N48" s="224"/>
      <c r="O48" s="224"/>
      <c r="P48" s="224"/>
      <c r="Q48" s="224"/>
      <c r="R48" s="224"/>
      <c r="S48" s="224"/>
      <c r="T48" s="224"/>
      <c r="U48" s="224"/>
      <c r="V48" s="224"/>
      <c r="W48" s="106"/>
    </row>
    <row r="49" spans="1:23" s="101" customFormat="1" x14ac:dyDescent="0.3">
      <c r="A49" s="222"/>
      <c r="B49" s="235"/>
      <c r="C49" s="227"/>
      <c r="D49" s="344"/>
      <c r="E49" s="235"/>
      <c r="F49" s="235"/>
      <c r="G49" s="227"/>
      <c r="H49" s="227"/>
      <c r="I49" s="350"/>
      <c r="J49" s="227"/>
      <c r="K49" s="227"/>
      <c r="L49" s="224"/>
      <c r="M49" s="224"/>
      <c r="N49" s="224"/>
      <c r="O49" s="224"/>
      <c r="P49" s="224"/>
      <c r="Q49" s="224"/>
      <c r="R49" s="224"/>
      <c r="S49" s="224"/>
      <c r="T49" s="224"/>
      <c r="U49" s="224"/>
      <c r="V49" s="224"/>
      <c r="W49" s="106"/>
    </row>
    <row r="50" spans="1:23" s="101" customFormat="1" x14ac:dyDescent="0.3">
      <c r="A50" s="222"/>
      <c r="B50" s="235"/>
      <c r="C50" s="227"/>
      <c r="D50" s="344"/>
      <c r="E50" s="235"/>
      <c r="F50" s="235"/>
      <c r="G50" s="227"/>
      <c r="H50" s="227"/>
      <c r="I50" s="350"/>
      <c r="J50" s="227"/>
      <c r="K50" s="227"/>
      <c r="L50" s="224"/>
      <c r="M50" s="224"/>
      <c r="N50" s="224"/>
      <c r="O50" s="224"/>
      <c r="P50" s="224"/>
      <c r="Q50" s="224"/>
      <c r="R50" s="224"/>
      <c r="S50" s="224"/>
      <c r="T50" s="224"/>
      <c r="U50" s="224"/>
      <c r="V50" s="224"/>
      <c r="W50" s="106"/>
    </row>
    <row r="51" spans="1:23" s="101" customFormat="1" x14ac:dyDescent="0.3">
      <c r="A51" s="222"/>
      <c r="B51" s="235"/>
      <c r="C51" s="227"/>
      <c r="D51" s="344"/>
      <c r="E51" s="235"/>
      <c r="F51" s="235"/>
      <c r="G51" s="227"/>
      <c r="H51" s="227"/>
      <c r="I51" s="350"/>
      <c r="J51" s="227"/>
      <c r="K51" s="227"/>
      <c r="L51" s="224"/>
      <c r="M51" s="224"/>
      <c r="N51" s="224"/>
      <c r="O51" s="224"/>
      <c r="P51" s="224"/>
      <c r="Q51" s="224"/>
      <c r="R51" s="224"/>
      <c r="S51" s="224"/>
      <c r="T51" s="224"/>
      <c r="U51" s="224"/>
      <c r="V51" s="224"/>
      <c r="W51" s="106"/>
    </row>
    <row r="52" spans="1:23" s="101" customFormat="1" x14ac:dyDescent="0.3">
      <c r="A52" s="222"/>
      <c r="B52" s="235"/>
      <c r="C52" s="227"/>
      <c r="D52" s="344"/>
      <c r="E52" s="235"/>
      <c r="F52" s="235"/>
      <c r="G52" s="227"/>
      <c r="H52" s="227"/>
      <c r="I52" s="350"/>
      <c r="J52" s="227"/>
      <c r="K52" s="227"/>
      <c r="L52" s="224"/>
      <c r="M52" s="224"/>
      <c r="N52" s="224"/>
      <c r="O52" s="224"/>
      <c r="P52" s="224"/>
      <c r="Q52" s="224"/>
      <c r="R52" s="224"/>
      <c r="S52" s="224"/>
      <c r="T52" s="224"/>
      <c r="U52" s="224"/>
      <c r="V52" s="224"/>
      <c r="W52" s="106"/>
    </row>
    <row r="53" spans="1:23" s="101" customFormat="1" x14ac:dyDescent="0.3">
      <c r="A53" s="222"/>
      <c r="B53" s="235"/>
      <c r="C53" s="227"/>
      <c r="D53" s="344"/>
      <c r="E53" s="235"/>
      <c r="F53" s="235"/>
      <c r="G53" s="227"/>
      <c r="H53" s="227"/>
      <c r="I53" s="350"/>
      <c r="J53" s="227"/>
      <c r="K53" s="227"/>
      <c r="L53" s="224"/>
      <c r="M53" s="224"/>
      <c r="N53" s="224"/>
      <c r="O53" s="224"/>
      <c r="P53" s="224"/>
      <c r="Q53" s="224"/>
      <c r="R53" s="224"/>
      <c r="S53" s="224"/>
      <c r="T53" s="224"/>
      <c r="U53" s="224"/>
      <c r="V53" s="224"/>
      <c r="W53" s="106"/>
    </row>
    <row r="54" spans="1:23" s="101" customFormat="1" x14ac:dyDescent="0.3">
      <c r="A54" s="222"/>
      <c r="B54" s="235"/>
      <c r="C54" s="227"/>
      <c r="D54" s="344"/>
      <c r="E54" s="235"/>
      <c r="F54" s="235"/>
      <c r="G54" s="227"/>
      <c r="H54" s="227"/>
      <c r="I54" s="350"/>
      <c r="J54" s="227"/>
      <c r="K54" s="227"/>
      <c r="L54" s="224"/>
      <c r="M54" s="224"/>
      <c r="N54" s="224"/>
      <c r="O54" s="224"/>
      <c r="P54" s="224"/>
      <c r="Q54" s="224"/>
      <c r="R54" s="224"/>
      <c r="S54" s="224"/>
      <c r="T54" s="224"/>
      <c r="U54" s="224"/>
      <c r="V54" s="224"/>
      <c r="W54" s="106"/>
    </row>
    <row r="55" spans="1:23" s="101" customFormat="1" x14ac:dyDescent="0.3">
      <c r="A55" s="222"/>
      <c r="B55" s="235"/>
      <c r="C55" s="227"/>
      <c r="D55" s="344"/>
      <c r="E55" s="235"/>
      <c r="F55" s="235"/>
      <c r="G55" s="227"/>
      <c r="H55" s="227"/>
      <c r="I55" s="350"/>
      <c r="J55" s="227"/>
      <c r="K55" s="227"/>
      <c r="L55" s="224"/>
      <c r="M55" s="224"/>
      <c r="N55" s="224"/>
      <c r="O55" s="224"/>
      <c r="P55" s="224"/>
      <c r="Q55" s="224"/>
      <c r="R55" s="224"/>
      <c r="S55" s="224"/>
      <c r="T55" s="224"/>
      <c r="U55" s="224"/>
      <c r="V55" s="224"/>
      <c r="W55" s="106"/>
    </row>
    <row r="56" spans="1:23" s="101" customFormat="1" x14ac:dyDescent="0.3">
      <c r="A56" s="222"/>
      <c r="B56" s="235"/>
      <c r="C56" s="227"/>
      <c r="D56" s="344"/>
      <c r="E56" s="235"/>
      <c r="F56" s="235"/>
      <c r="G56" s="227"/>
      <c r="H56" s="227"/>
      <c r="I56" s="350"/>
      <c r="J56" s="227"/>
      <c r="K56" s="227"/>
      <c r="L56" s="224"/>
      <c r="M56" s="224"/>
      <c r="N56" s="224"/>
      <c r="O56" s="224"/>
      <c r="P56" s="224"/>
      <c r="Q56" s="224"/>
      <c r="R56" s="224"/>
      <c r="S56" s="224"/>
      <c r="T56" s="224"/>
      <c r="U56" s="224"/>
      <c r="V56" s="224"/>
      <c r="W56" s="106"/>
    </row>
    <row r="57" spans="1:23" s="101" customFormat="1" x14ac:dyDescent="0.3">
      <c r="A57" s="222"/>
      <c r="B57" s="235"/>
      <c r="C57" s="227"/>
      <c r="D57" s="344"/>
      <c r="E57" s="235"/>
      <c r="F57" s="235"/>
      <c r="G57" s="227"/>
      <c r="H57" s="227"/>
      <c r="I57" s="350"/>
      <c r="J57" s="227"/>
      <c r="K57" s="227"/>
      <c r="L57" s="224"/>
      <c r="M57" s="224"/>
      <c r="N57" s="224"/>
      <c r="O57" s="224"/>
      <c r="P57" s="224"/>
      <c r="Q57" s="224"/>
      <c r="R57" s="224"/>
      <c r="S57" s="224"/>
      <c r="T57" s="224"/>
      <c r="U57" s="224"/>
      <c r="V57" s="224"/>
      <c r="W57" s="106"/>
    </row>
    <row r="58" spans="1:23" s="101" customFormat="1" x14ac:dyDescent="0.3">
      <c r="A58" s="222"/>
      <c r="B58" s="235"/>
      <c r="C58" s="227"/>
      <c r="D58" s="344"/>
      <c r="E58" s="235"/>
      <c r="F58" s="235"/>
      <c r="G58" s="227"/>
      <c r="H58" s="227"/>
      <c r="I58" s="350"/>
      <c r="J58" s="227"/>
      <c r="K58" s="227"/>
      <c r="L58" s="224"/>
      <c r="M58" s="224"/>
      <c r="N58" s="224"/>
      <c r="O58" s="224"/>
      <c r="P58" s="224"/>
      <c r="Q58" s="224"/>
      <c r="R58" s="224"/>
      <c r="S58" s="224"/>
      <c r="T58" s="224"/>
      <c r="U58" s="224"/>
      <c r="V58" s="224"/>
      <c r="W58" s="106"/>
    </row>
    <row r="59" spans="1:23" s="101" customFormat="1" x14ac:dyDescent="0.3">
      <c r="A59" s="222"/>
      <c r="B59" s="235"/>
      <c r="C59" s="227"/>
      <c r="D59" s="344"/>
      <c r="E59" s="235"/>
      <c r="F59" s="235"/>
      <c r="G59" s="227"/>
      <c r="H59" s="227"/>
      <c r="I59" s="350"/>
      <c r="J59" s="227"/>
      <c r="K59" s="227"/>
      <c r="L59" s="224"/>
      <c r="M59" s="224"/>
      <c r="N59" s="224"/>
      <c r="O59" s="224"/>
      <c r="P59" s="224"/>
      <c r="Q59" s="224"/>
      <c r="R59" s="224"/>
      <c r="S59" s="224"/>
      <c r="T59" s="224"/>
      <c r="U59" s="224"/>
      <c r="V59" s="224"/>
      <c r="W59" s="106"/>
    </row>
    <row r="60" spans="1:23" s="101" customFormat="1" x14ac:dyDescent="0.3">
      <c r="A60" s="222"/>
      <c r="B60" s="235"/>
      <c r="C60" s="227"/>
      <c r="D60" s="344"/>
      <c r="E60" s="235"/>
      <c r="F60" s="235"/>
      <c r="G60" s="227"/>
      <c r="H60" s="227"/>
      <c r="I60" s="350"/>
      <c r="J60" s="227"/>
      <c r="K60" s="227"/>
      <c r="L60" s="224"/>
      <c r="M60" s="224"/>
      <c r="N60" s="224"/>
      <c r="O60" s="224"/>
      <c r="P60" s="224"/>
      <c r="Q60" s="224"/>
      <c r="R60" s="224"/>
      <c r="S60" s="224"/>
      <c r="T60" s="224"/>
      <c r="U60" s="224"/>
      <c r="V60" s="224"/>
      <c r="W60" s="106"/>
    </row>
    <row r="61" spans="1:23" s="101" customFormat="1" x14ac:dyDescent="0.3">
      <c r="A61" s="222"/>
      <c r="B61" s="235"/>
      <c r="C61" s="227"/>
      <c r="D61" s="344"/>
      <c r="E61" s="235"/>
      <c r="F61" s="235"/>
      <c r="G61" s="227"/>
      <c r="H61" s="227"/>
      <c r="I61" s="350"/>
      <c r="J61" s="227"/>
      <c r="K61" s="227"/>
      <c r="L61" s="224"/>
      <c r="M61" s="224"/>
      <c r="N61" s="224"/>
      <c r="O61" s="224"/>
      <c r="P61" s="224"/>
      <c r="Q61" s="224"/>
      <c r="R61" s="224"/>
      <c r="S61" s="224"/>
      <c r="T61" s="224"/>
      <c r="U61" s="224"/>
      <c r="V61" s="224"/>
      <c r="W61" s="106"/>
    </row>
    <row r="62" spans="1:23" s="101" customFormat="1" x14ac:dyDescent="0.3">
      <c r="A62" s="222"/>
      <c r="B62" s="235"/>
      <c r="C62" s="227"/>
      <c r="D62" s="344"/>
      <c r="E62" s="235"/>
      <c r="F62" s="235"/>
      <c r="G62" s="227"/>
      <c r="H62" s="227"/>
      <c r="I62" s="350"/>
      <c r="J62" s="227"/>
      <c r="K62" s="227"/>
      <c r="L62" s="224"/>
      <c r="M62" s="224"/>
      <c r="N62" s="224"/>
      <c r="O62" s="224"/>
      <c r="P62" s="224"/>
      <c r="Q62" s="224"/>
      <c r="R62" s="224"/>
      <c r="S62" s="224"/>
      <c r="T62" s="224"/>
      <c r="U62" s="224"/>
      <c r="V62" s="224"/>
      <c r="W62" s="106"/>
    </row>
    <row r="63" spans="1:23" s="101" customFormat="1" x14ac:dyDescent="0.3">
      <c r="A63" s="222"/>
      <c r="B63" s="235"/>
      <c r="C63" s="227"/>
      <c r="D63" s="344"/>
      <c r="E63" s="235"/>
      <c r="F63" s="235"/>
      <c r="G63" s="227"/>
      <c r="H63" s="227"/>
      <c r="I63" s="350"/>
      <c r="J63" s="227"/>
      <c r="K63" s="227"/>
      <c r="L63" s="224"/>
      <c r="M63" s="224"/>
      <c r="N63" s="224"/>
      <c r="O63" s="224"/>
      <c r="P63" s="224"/>
      <c r="Q63" s="224"/>
      <c r="R63" s="224"/>
      <c r="S63" s="224"/>
      <c r="T63" s="224"/>
      <c r="U63" s="224"/>
      <c r="V63" s="224"/>
      <c r="W63" s="106"/>
    </row>
    <row r="64" spans="1:23" s="101" customFormat="1" x14ac:dyDescent="0.3">
      <c r="A64" s="222"/>
      <c r="B64" s="235"/>
      <c r="C64" s="227"/>
      <c r="D64" s="344"/>
      <c r="E64" s="235"/>
      <c r="F64" s="235"/>
      <c r="G64" s="227"/>
      <c r="H64" s="227"/>
      <c r="I64" s="350"/>
      <c r="J64" s="227"/>
      <c r="K64" s="227"/>
      <c r="L64" s="224"/>
      <c r="M64" s="224"/>
      <c r="N64" s="224"/>
      <c r="O64" s="224"/>
      <c r="P64" s="224"/>
      <c r="Q64" s="224"/>
      <c r="R64" s="224"/>
      <c r="S64" s="224"/>
      <c r="T64" s="224"/>
      <c r="U64" s="224"/>
      <c r="V64" s="224"/>
      <c r="W64" s="106"/>
    </row>
    <row r="65" spans="1:23" s="101" customFormat="1" x14ac:dyDescent="0.3">
      <c r="A65" s="222"/>
      <c r="B65" s="235"/>
      <c r="C65" s="227"/>
      <c r="D65" s="344"/>
      <c r="E65" s="235"/>
      <c r="F65" s="235"/>
      <c r="G65" s="227"/>
      <c r="H65" s="227"/>
      <c r="I65" s="350"/>
      <c r="J65" s="227"/>
      <c r="K65" s="227"/>
      <c r="L65" s="224"/>
      <c r="M65" s="224"/>
      <c r="N65" s="224"/>
      <c r="O65" s="224"/>
      <c r="P65" s="224"/>
      <c r="Q65" s="224"/>
      <c r="R65" s="224"/>
      <c r="S65" s="224"/>
      <c r="T65" s="224"/>
      <c r="U65" s="224"/>
      <c r="V65" s="224"/>
      <c r="W65" s="106"/>
    </row>
    <row r="66" spans="1:23" s="101" customFormat="1" x14ac:dyDescent="0.3">
      <c r="A66" s="222"/>
      <c r="B66" s="235"/>
      <c r="C66" s="227"/>
      <c r="D66" s="344"/>
      <c r="E66" s="235"/>
      <c r="F66" s="235"/>
      <c r="G66" s="227"/>
      <c r="H66" s="227"/>
      <c r="I66" s="350"/>
      <c r="J66" s="227"/>
      <c r="K66" s="227"/>
      <c r="L66" s="224"/>
      <c r="M66" s="224"/>
      <c r="N66" s="224"/>
      <c r="O66" s="224"/>
      <c r="P66" s="224"/>
      <c r="Q66" s="224"/>
      <c r="R66" s="224"/>
      <c r="S66" s="224"/>
      <c r="T66" s="224"/>
      <c r="U66" s="224"/>
      <c r="V66" s="224"/>
      <c r="W66" s="106"/>
    </row>
    <row r="67" spans="1:23" s="101" customFormat="1" x14ac:dyDescent="0.3">
      <c r="A67" s="222"/>
      <c r="B67" s="235"/>
      <c r="C67" s="227"/>
      <c r="D67" s="344"/>
      <c r="E67" s="235"/>
      <c r="F67" s="235"/>
      <c r="G67" s="227"/>
      <c r="H67" s="227"/>
      <c r="I67" s="350"/>
      <c r="J67" s="227"/>
      <c r="K67" s="227"/>
      <c r="L67" s="224"/>
      <c r="M67" s="224"/>
      <c r="N67" s="224"/>
      <c r="O67" s="224"/>
      <c r="P67" s="224"/>
      <c r="Q67" s="224"/>
      <c r="R67" s="224"/>
      <c r="S67" s="224"/>
      <c r="T67" s="224"/>
      <c r="U67" s="224"/>
      <c r="V67" s="224"/>
      <c r="W67" s="106"/>
    </row>
    <row r="68" spans="1:23" s="101" customFormat="1" x14ac:dyDescent="0.3">
      <c r="A68" s="222"/>
      <c r="B68" s="235"/>
      <c r="C68" s="227"/>
      <c r="D68" s="344"/>
      <c r="E68" s="235"/>
      <c r="F68" s="235"/>
      <c r="G68" s="227"/>
      <c r="H68" s="227"/>
      <c r="I68" s="350"/>
      <c r="J68" s="227"/>
      <c r="K68" s="227"/>
      <c r="L68" s="224"/>
      <c r="M68" s="224"/>
      <c r="N68" s="224"/>
      <c r="O68" s="224"/>
      <c r="P68" s="224"/>
      <c r="Q68" s="224"/>
      <c r="R68" s="224"/>
      <c r="S68" s="224"/>
      <c r="T68" s="224"/>
      <c r="U68" s="224"/>
      <c r="V68" s="224"/>
      <c r="W68" s="106"/>
    </row>
    <row r="69" spans="1:23" s="101" customFormat="1" x14ac:dyDescent="0.3">
      <c r="A69" s="222"/>
      <c r="B69" s="235"/>
      <c r="C69" s="227"/>
      <c r="D69" s="344"/>
      <c r="E69" s="235"/>
      <c r="F69" s="235"/>
      <c r="G69" s="227"/>
      <c r="H69" s="227"/>
      <c r="I69" s="350"/>
      <c r="J69" s="227"/>
      <c r="K69" s="227"/>
      <c r="L69" s="224"/>
      <c r="M69" s="224"/>
      <c r="N69" s="224"/>
      <c r="O69" s="224"/>
      <c r="P69" s="224"/>
      <c r="Q69" s="224"/>
      <c r="R69" s="224"/>
      <c r="S69" s="224"/>
      <c r="T69" s="224"/>
      <c r="U69" s="224"/>
      <c r="V69" s="224"/>
      <c r="W69" s="106"/>
    </row>
    <row r="70" spans="1:23" s="101" customFormat="1" x14ac:dyDescent="0.3">
      <c r="A70" s="222"/>
      <c r="B70" s="235"/>
      <c r="C70" s="227"/>
      <c r="D70" s="344"/>
      <c r="E70" s="235"/>
      <c r="F70" s="235"/>
      <c r="G70" s="227"/>
      <c r="H70" s="227"/>
      <c r="I70" s="350"/>
      <c r="J70" s="227"/>
      <c r="K70" s="227"/>
      <c r="L70" s="224"/>
      <c r="M70" s="224"/>
      <c r="N70" s="224"/>
      <c r="O70" s="224"/>
      <c r="P70" s="224"/>
      <c r="Q70" s="224"/>
      <c r="R70" s="224"/>
      <c r="S70" s="224"/>
      <c r="T70" s="224"/>
      <c r="U70" s="224"/>
      <c r="V70" s="224"/>
      <c r="W70" s="106"/>
    </row>
    <row r="71" spans="1:23" s="101" customFormat="1" x14ac:dyDescent="0.3">
      <c r="A71" s="222"/>
      <c r="B71" s="235"/>
      <c r="C71" s="227"/>
      <c r="D71" s="344"/>
      <c r="E71" s="235"/>
      <c r="F71" s="235"/>
      <c r="G71" s="227"/>
      <c r="H71" s="227"/>
      <c r="I71" s="350"/>
      <c r="J71" s="227"/>
      <c r="K71" s="227"/>
      <c r="L71" s="224"/>
      <c r="M71" s="224"/>
      <c r="N71" s="224"/>
      <c r="O71" s="224"/>
      <c r="P71" s="224"/>
      <c r="Q71" s="224"/>
      <c r="R71" s="224"/>
      <c r="S71" s="224"/>
      <c r="T71" s="224"/>
      <c r="U71" s="224"/>
      <c r="V71" s="224"/>
      <c r="W71" s="106"/>
    </row>
    <row r="72" spans="1:23" s="101" customFormat="1" x14ac:dyDescent="0.3">
      <c r="A72" s="222"/>
      <c r="B72" s="235"/>
      <c r="C72" s="227"/>
      <c r="D72" s="344"/>
      <c r="E72" s="235"/>
      <c r="F72" s="235"/>
      <c r="G72" s="227"/>
      <c r="H72" s="227"/>
      <c r="I72" s="350"/>
      <c r="J72" s="227"/>
      <c r="K72" s="227"/>
      <c r="L72" s="224"/>
      <c r="M72" s="224"/>
      <c r="N72" s="224"/>
      <c r="O72" s="224"/>
      <c r="P72" s="224"/>
      <c r="Q72" s="224"/>
      <c r="R72" s="224"/>
      <c r="S72" s="224"/>
      <c r="T72" s="224"/>
      <c r="U72" s="224"/>
      <c r="V72" s="224"/>
      <c r="W72" s="106"/>
    </row>
    <row r="73" spans="1:23" s="101" customFormat="1" x14ac:dyDescent="0.3">
      <c r="A73" s="222"/>
      <c r="B73" s="235"/>
      <c r="C73" s="227"/>
      <c r="D73" s="344"/>
      <c r="E73" s="235"/>
      <c r="F73" s="235"/>
      <c r="G73" s="227"/>
      <c r="H73" s="227"/>
      <c r="I73" s="350"/>
      <c r="J73" s="227"/>
      <c r="K73" s="227"/>
      <c r="L73" s="224"/>
      <c r="M73" s="224"/>
      <c r="N73" s="224"/>
      <c r="O73" s="224"/>
      <c r="P73" s="224"/>
      <c r="Q73" s="224"/>
      <c r="R73" s="224"/>
      <c r="S73" s="224"/>
      <c r="T73" s="224"/>
      <c r="U73" s="224"/>
      <c r="V73" s="224"/>
      <c r="W73" s="106"/>
    </row>
    <row r="74" spans="1:23" s="101" customFormat="1" x14ac:dyDescent="0.3">
      <c r="A74" s="222"/>
      <c r="B74" s="235"/>
      <c r="C74" s="227"/>
      <c r="D74" s="344"/>
      <c r="E74" s="235"/>
      <c r="F74" s="235"/>
      <c r="G74" s="227"/>
      <c r="H74" s="227"/>
      <c r="I74" s="350"/>
      <c r="J74" s="227"/>
      <c r="K74" s="227"/>
      <c r="L74" s="224"/>
      <c r="M74" s="224"/>
      <c r="N74" s="224"/>
      <c r="O74" s="224"/>
      <c r="P74" s="224"/>
      <c r="Q74" s="224"/>
      <c r="R74" s="224"/>
      <c r="S74" s="224"/>
      <c r="T74" s="224"/>
      <c r="U74" s="224"/>
      <c r="V74" s="224"/>
      <c r="W74" s="106"/>
    </row>
    <row r="75" spans="1:23" s="101" customFormat="1" x14ac:dyDescent="0.3">
      <c r="A75" s="222"/>
      <c r="B75" s="235"/>
      <c r="C75" s="227"/>
      <c r="D75" s="344"/>
      <c r="E75" s="235"/>
      <c r="F75" s="235"/>
      <c r="G75" s="227"/>
      <c r="H75" s="227"/>
      <c r="I75" s="350"/>
      <c r="J75" s="227"/>
      <c r="K75" s="227"/>
      <c r="L75" s="224"/>
      <c r="M75" s="224"/>
      <c r="N75" s="224"/>
      <c r="O75" s="224"/>
      <c r="P75" s="224"/>
      <c r="Q75" s="224"/>
      <c r="R75" s="224"/>
      <c r="S75" s="224"/>
      <c r="T75" s="224"/>
      <c r="U75" s="224"/>
      <c r="V75" s="224"/>
      <c r="W75" s="106"/>
    </row>
    <row r="76" spans="1:23" s="101" customFormat="1" x14ac:dyDescent="0.3">
      <c r="A76" s="222"/>
      <c r="B76" s="235"/>
      <c r="C76" s="227"/>
      <c r="D76" s="344"/>
      <c r="E76" s="235"/>
      <c r="F76" s="235"/>
      <c r="G76" s="227"/>
      <c r="H76" s="227"/>
      <c r="I76" s="350"/>
      <c r="J76" s="227"/>
      <c r="K76" s="227"/>
      <c r="L76" s="224"/>
      <c r="M76" s="224"/>
      <c r="N76" s="224"/>
      <c r="O76" s="224"/>
      <c r="P76" s="224"/>
      <c r="Q76" s="224"/>
      <c r="R76" s="224"/>
      <c r="S76" s="224"/>
      <c r="T76" s="224"/>
      <c r="U76" s="224"/>
      <c r="V76" s="224"/>
      <c r="W76" s="106"/>
    </row>
    <row r="77" spans="1:23" s="101" customFormat="1" x14ac:dyDescent="0.3">
      <c r="A77" s="222"/>
      <c r="B77" s="235"/>
      <c r="C77" s="227"/>
      <c r="D77" s="344"/>
      <c r="E77" s="235"/>
      <c r="F77" s="235"/>
      <c r="G77" s="227"/>
      <c r="H77" s="227"/>
      <c r="I77" s="350"/>
      <c r="J77" s="227"/>
      <c r="K77" s="227"/>
      <c r="L77" s="224"/>
      <c r="M77" s="224"/>
      <c r="N77" s="224"/>
      <c r="O77" s="224"/>
      <c r="P77" s="224"/>
      <c r="Q77" s="224"/>
      <c r="R77" s="224"/>
      <c r="S77" s="224"/>
      <c r="T77" s="224"/>
      <c r="U77" s="224"/>
      <c r="V77" s="224"/>
      <c r="W77" s="106"/>
    </row>
    <row r="78" spans="1:23" s="101" customFormat="1" x14ac:dyDescent="0.3">
      <c r="A78" s="222"/>
      <c r="B78" s="235"/>
      <c r="C78" s="227"/>
      <c r="D78" s="344"/>
      <c r="E78" s="235"/>
      <c r="F78" s="235"/>
      <c r="G78" s="227"/>
      <c r="H78" s="227"/>
      <c r="I78" s="350"/>
      <c r="J78" s="227"/>
      <c r="K78" s="227"/>
      <c r="L78" s="224"/>
      <c r="M78" s="224"/>
      <c r="N78" s="224"/>
      <c r="O78" s="224"/>
      <c r="P78" s="224"/>
      <c r="Q78" s="224"/>
      <c r="R78" s="224"/>
      <c r="S78" s="224"/>
      <c r="T78" s="224"/>
      <c r="U78" s="224"/>
      <c r="V78" s="224"/>
      <c r="W78" s="106"/>
    </row>
    <row r="79" spans="1:23" s="101" customFormat="1" x14ac:dyDescent="0.3">
      <c r="A79" s="222"/>
      <c r="B79" s="235"/>
      <c r="C79" s="227"/>
      <c r="D79" s="344"/>
      <c r="E79" s="235"/>
      <c r="F79" s="235"/>
      <c r="G79" s="227"/>
      <c r="H79" s="227"/>
      <c r="I79" s="350"/>
      <c r="J79" s="227"/>
      <c r="K79" s="227"/>
      <c r="L79" s="224"/>
      <c r="M79" s="224"/>
      <c r="N79" s="224"/>
      <c r="O79" s="224"/>
      <c r="P79" s="224"/>
      <c r="Q79" s="224"/>
      <c r="R79" s="224"/>
      <c r="S79" s="224"/>
      <c r="T79" s="224"/>
      <c r="U79" s="224"/>
      <c r="V79" s="224"/>
      <c r="W79" s="106"/>
    </row>
    <row r="80" spans="1:23" s="101" customFormat="1" x14ac:dyDescent="0.3">
      <c r="A80" s="222"/>
      <c r="B80" s="235"/>
      <c r="C80" s="227"/>
      <c r="D80" s="344"/>
      <c r="E80" s="235"/>
      <c r="F80" s="235"/>
      <c r="G80" s="227"/>
      <c r="H80" s="227"/>
      <c r="I80" s="350"/>
      <c r="J80" s="227"/>
      <c r="K80" s="227"/>
      <c r="L80" s="224"/>
      <c r="M80" s="224"/>
      <c r="N80" s="224"/>
      <c r="O80" s="224"/>
      <c r="P80" s="224"/>
      <c r="Q80" s="224"/>
      <c r="R80" s="224"/>
      <c r="S80" s="224"/>
      <c r="T80" s="224"/>
      <c r="U80" s="224"/>
      <c r="V80" s="224"/>
      <c r="W80" s="106"/>
    </row>
    <row r="81" spans="1:23" s="101" customFormat="1" x14ac:dyDescent="0.3">
      <c r="A81" s="222"/>
      <c r="B81" s="235"/>
      <c r="C81" s="227"/>
      <c r="D81" s="344"/>
      <c r="E81" s="235"/>
      <c r="F81" s="235"/>
      <c r="G81" s="227"/>
      <c r="H81" s="227"/>
      <c r="I81" s="350"/>
      <c r="J81" s="227"/>
      <c r="K81" s="227"/>
      <c r="L81" s="224"/>
      <c r="M81" s="224"/>
      <c r="N81" s="224"/>
      <c r="O81" s="224"/>
      <c r="P81" s="224"/>
      <c r="Q81" s="224"/>
      <c r="R81" s="224"/>
      <c r="S81" s="224"/>
      <c r="T81" s="224"/>
      <c r="U81" s="224"/>
      <c r="V81" s="224"/>
      <c r="W81" s="106"/>
    </row>
    <row r="82" spans="1:23" s="101" customFormat="1" x14ac:dyDescent="0.3">
      <c r="A82" s="222"/>
      <c r="B82" s="235"/>
      <c r="C82" s="227"/>
      <c r="D82" s="344"/>
      <c r="E82" s="235"/>
      <c r="F82" s="235"/>
      <c r="G82" s="227"/>
      <c r="H82" s="227"/>
      <c r="I82" s="350"/>
      <c r="J82" s="227"/>
      <c r="K82" s="227"/>
      <c r="L82" s="224"/>
      <c r="M82" s="224"/>
      <c r="N82" s="224"/>
      <c r="O82" s="224"/>
      <c r="P82" s="224"/>
      <c r="Q82" s="224"/>
      <c r="R82" s="224"/>
      <c r="S82" s="224"/>
      <c r="T82" s="224"/>
      <c r="U82" s="224"/>
      <c r="V82" s="224"/>
      <c r="W82" s="106"/>
    </row>
    <row r="83" spans="1:23" s="101" customFormat="1" x14ac:dyDescent="0.3">
      <c r="A83" s="222"/>
      <c r="B83" s="235"/>
      <c r="C83" s="227"/>
      <c r="D83" s="344"/>
      <c r="E83" s="235"/>
      <c r="F83" s="235"/>
      <c r="G83" s="227"/>
      <c r="H83" s="227"/>
      <c r="I83" s="350"/>
      <c r="J83" s="227"/>
      <c r="K83" s="227"/>
      <c r="L83" s="224"/>
      <c r="M83" s="224"/>
      <c r="N83" s="224"/>
      <c r="O83" s="224"/>
      <c r="P83" s="224"/>
      <c r="Q83" s="224"/>
      <c r="R83" s="224"/>
      <c r="S83" s="224"/>
      <c r="T83" s="224"/>
      <c r="U83" s="224"/>
      <c r="V83" s="224"/>
      <c r="W83" s="106"/>
    </row>
    <row r="84" spans="1:23" s="101" customFormat="1" x14ac:dyDescent="0.3">
      <c r="A84" s="222"/>
      <c r="B84" s="235"/>
      <c r="C84" s="227"/>
      <c r="D84" s="344"/>
      <c r="E84" s="235"/>
      <c r="F84" s="235"/>
      <c r="G84" s="227"/>
      <c r="H84" s="227"/>
      <c r="I84" s="350"/>
      <c r="J84" s="227"/>
      <c r="K84" s="227"/>
      <c r="L84" s="224"/>
      <c r="M84" s="224"/>
      <c r="N84" s="224"/>
      <c r="O84" s="224"/>
      <c r="P84" s="224"/>
      <c r="Q84" s="224"/>
      <c r="R84" s="224"/>
      <c r="S84" s="224"/>
      <c r="T84" s="224"/>
      <c r="U84" s="224"/>
      <c r="V84" s="224"/>
      <c r="W84" s="106"/>
    </row>
    <row r="85" spans="1:23" s="101" customFormat="1" x14ac:dyDescent="0.3">
      <c r="A85" s="222"/>
      <c r="B85" s="235"/>
      <c r="C85" s="227"/>
      <c r="D85" s="344"/>
      <c r="E85" s="235"/>
      <c r="F85" s="235"/>
      <c r="G85" s="227"/>
      <c r="H85" s="227"/>
      <c r="I85" s="350"/>
      <c r="J85" s="227"/>
      <c r="K85" s="227"/>
      <c r="L85" s="224"/>
      <c r="M85" s="224"/>
      <c r="N85" s="224"/>
      <c r="O85" s="224"/>
      <c r="P85" s="224"/>
      <c r="Q85" s="224"/>
      <c r="R85" s="224"/>
      <c r="S85" s="224"/>
      <c r="T85" s="224"/>
      <c r="U85" s="224"/>
      <c r="V85" s="224"/>
      <c r="W85" s="106"/>
    </row>
    <row r="86" spans="1:23" s="101" customFormat="1" x14ac:dyDescent="0.3">
      <c r="A86" s="222"/>
      <c r="B86" s="235"/>
      <c r="C86" s="227"/>
      <c r="D86" s="344"/>
      <c r="E86" s="235"/>
      <c r="F86" s="235"/>
      <c r="G86" s="227"/>
      <c r="H86" s="227"/>
      <c r="I86" s="350"/>
      <c r="J86" s="227"/>
      <c r="K86" s="227"/>
      <c r="L86" s="224"/>
      <c r="M86" s="224"/>
      <c r="N86" s="224"/>
      <c r="O86" s="224"/>
      <c r="P86" s="224"/>
      <c r="Q86" s="224"/>
      <c r="R86" s="224"/>
      <c r="S86" s="224"/>
      <c r="T86" s="224"/>
      <c r="U86" s="224"/>
      <c r="V86" s="224"/>
      <c r="W86" s="106"/>
    </row>
    <row r="87" spans="1:23" s="101" customFormat="1" x14ac:dyDescent="0.3">
      <c r="A87" s="222"/>
      <c r="B87" s="235"/>
      <c r="C87" s="227"/>
      <c r="D87" s="344"/>
      <c r="E87" s="235"/>
      <c r="F87" s="235"/>
      <c r="G87" s="227"/>
      <c r="H87" s="227"/>
      <c r="I87" s="350"/>
      <c r="J87" s="227"/>
      <c r="K87" s="227"/>
      <c r="L87" s="224"/>
      <c r="M87" s="224"/>
      <c r="N87" s="224"/>
      <c r="O87" s="224"/>
      <c r="P87" s="224"/>
      <c r="Q87" s="224"/>
      <c r="R87" s="224"/>
      <c r="S87" s="224"/>
      <c r="T87" s="224"/>
      <c r="U87" s="224"/>
      <c r="V87" s="224"/>
      <c r="W87" s="106"/>
    </row>
    <row r="88" spans="1:23" s="101" customFormat="1" x14ac:dyDescent="0.3">
      <c r="A88" s="222"/>
      <c r="B88" s="235"/>
      <c r="C88" s="227"/>
      <c r="D88" s="344"/>
      <c r="E88" s="235"/>
      <c r="F88" s="235"/>
      <c r="G88" s="227"/>
      <c r="H88" s="227"/>
      <c r="I88" s="350"/>
      <c r="J88" s="227"/>
      <c r="K88" s="227"/>
      <c r="L88" s="224"/>
      <c r="M88" s="224"/>
      <c r="N88" s="224"/>
      <c r="O88" s="224"/>
      <c r="P88" s="224"/>
      <c r="Q88" s="224"/>
      <c r="R88" s="224"/>
      <c r="S88" s="224"/>
      <c r="T88" s="224"/>
      <c r="U88" s="224"/>
      <c r="V88" s="224"/>
      <c r="W88" s="106"/>
    </row>
    <row r="89" spans="1:23" s="101" customFormat="1" x14ac:dyDescent="0.3">
      <c r="A89" s="222"/>
      <c r="B89" s="235"/>
      <c r="C89" s="227"/>
      <c r="D89" s="344"/>
      <c r="E89" s="235"/>
      <c r="F89" s="235"/>
      <c r="G89" s="227"/>
      <c r="H89" s="227"/>
      <c r="I89" s="350"/>
      <c r="J89" s="227"/>
      <c r="K89" s="227"/>
      <c r="L89" s="224"/>
      <c r="M89" s="224"/>
      <c r="N89" s="224"/>
      <c r="O89" s="224"/>
      <c r="P89" s="224"/>
      <c r="Q89" s="224"/>
      <c r="R89" s="224"/>
      <c r="S89" s="224"/>
      <c r="T89" s="224"/>
      <c r="U89" s="224"/>
      <c r="V89" s="224"/>
      <c r="W89" s="106"/>
    </row>
    <row r="90" spans="1:23" s="101" customFormat="1" x14ac:dyDescent="0.3">
      <c r="A90" s="222"/>
      <c r="B90" s="235"/>
      <c r="C90" s="227"/>
      <c r="D90" s="344"/>
      <c r="E90" s="235"/>
      <c r="F90" s="235"/>
      <c r="G90" s="227"/>
      <c r="H90" s="227"/>
      <c r="I90" s="350"/>
      <c r="J90" s="227"/>
      <c r="K90" s="227"/>
      <c r="L90" s="224"/>
      <c r="M90" s="224"/>
      <c r="N90" s="224"/>
      <c r="O90" s="224"/>
      <c r="P90" s="224"/>
      <c r="Q90" s="224"/>
      <c r="R90" s="224"/>
      <c r="S90" s="224"/>
      <c r="T90" s="224"/>
      <c r="U90" s="224"/>
      <c r="V90" s="224"/>
      <c r="W90" s="106"/>
    </row>
    <row r="91" spans="1:23" s="101" customFormat="1" x14ac:dyDescent="0.3">
      <c r="A91" s="222"/>
      <c r="B91" s="235"/>
      <c r="C91" s="227"/>
      <c r="D91" s="344"/>
      <c r="E91" s="235"/>
      <c r="F91" s="235"/>
      <c r="G91" s="227"/>
      <c r="H91" s="227"/>
      <c r="I91" s="350"/>
      <c r="J91" s="227"/>
      <c r="K91" s="227"/>
      <c r="L91" s="224"/>
      <c r="M91" s="224"/>
      <c r="N91" s="224"/>
      <c r="O91" s="224"/>
      <c r="P91" s="224"/>
      <c r="Q91" s="224"/>
      <c r="R91" s="224"/>
      <c r="S91" s="224"/>
      <c r="T91" s="224"/>
      <c r="U91" s="224"/>
      <c r="V91" s="224"/>
      <c r="W91" s="106"/>
    </row>
    <row r="92" spans="1:23" s="101" customFormat="1" x14ac:dyDescent="0.3">
      <c r="A92" s="222"/>
      <c r="B92" s="235"/>
      <c r="C92" s="227"/>
      <c r="D92" s="344"/>
      <c r="E92" s="235"/>
      <c r="F92" s="235"/>
      <c r="G92" s="227"/>
      <c r="H92" s="227"/>
      <c r="I92" s="350"/>
      <c r="J92" s="227"/>
      <c r="K92" s="227"/>
      <c r="L92" s="224"/>
      <c r="M92" s="224"/>
      <c r="N92" s="224"/>
      <c r="O92" s="224"/>
      <c r="P92" s="224"/>
      <c r="Q92" s="224"/>
      <c r="R92" s="224"/>
      <c r="S92" s="224"/>
      <c r="T92" s="224"/>
      <c r="U92" s="224"/>
      <c r="V92" s="224"/>
      <c r="W92" s="106"/>
    </row>
    <row r="93" spans="1:23" s="101" customFormat="1" x14ac:dyDescent="0.3">
      <c r="A93" s="222"/>
      <c r="B93" s="235"/>
      <c r="C93" s="227"/>
      <c r="D93" s="344"/>
      <c r="E93" s="235"/>
      <c r="F93" s="235"/>
      <c r="G93" s="227"/>
      <c r="H93" s="227"/>
      <c r="I93" s="350"/>
      <c r="J93" s="227"/>
      <c r="K93" s="227"/>
      <c r="L93" s="224"/>
      <c r="M93" s="224"/>
      <c r="N93" s="224"/>
      <c r="O93" s="224"/>
      <c r="P93" s="224"/>
      <c r="Q93" s="224"/>
      <c r="R93" s="224"/>
      <c r="S93" s="224"/>
      <c r="T93" s="224"/>
      <c r="U93" s="224"/>
      <c r="V93" s="224"/>
      <c r="W93" s="106"/>
    </row>
    <row r="94" spans="1:23" s="101" customFormat="1" x14ac:dyDescent="0.3">
      <c r="A94" s="222"/>
      <c r="B94" s="235"/>
      <c r="C94" s="227"/>
      <c r="D94" s="344"/>
      <c r="E94" s="235"/>
      <c r="F94" s="235"/>
      <c r="G94" s="227"/>
      <c r="H94" s="227"/>
      <c r="I94" s="350"/>
      <c r="J94" s="227"/>
      <c r="K94" s="227"/>
      <c r="L94" s="224"/>
      <c r="M94" s="224"/>
      <c r="N94" s="224"/>
      <c r="O94" s="224"/>
      <c r="P94" s="224"/>
      <c r="Q94" s="224"/>
      <c r="R94" s="224"/>
      <c r="S94" s="224"/>
      <c r="T94" s="224"/>
      <c r="U94" s="224"/>
      <c r="V94" s="224"/>
      <c r="W94" s="106"/>
    </row>
    <row r="95" spans="1:23" s="101" customFormat="1" x14ac:dyDescent="0.3">
      <c r="A95" s="222"/>
      <c r="B95" s="235"/>
      <c r="C95" s="227"/>
      <c r="D95" s="344"/>
      <c r="E95" s="235"/>
      <c r="F95" s="235"/>
      <c r="G95" s="227"/>
      <c r="H95" s="227"/>
      <c r="I95" s="350"/>
      <c r="J95" s="227"/>
      <c r="K95" s="227"/>
      <c r="L95" s="224"/>
      <c r="M95" s="224"/>
      <c r="N95" s="224"/>
      <c r="O95" s="224"/>
      <c r="P95" s="224"/>
      <c r="Q95" s="224"/>
      <c r="R95" s="224"/>
      <c r="S95" s="224"/>
      <c r="T95" s="224"/>
      <c r="U95" s="224"/>
      <c r="V95" s="224"/>
      <c r="W95" s="106"/>
    </row>
    <row r="96" spans="1:23" s="101" customFormat="1" x14ac:dyDescent="0.3">
      <c r="A96" s="222"/>
      <c r="B96" s="235"/>
      <c r="C96" s="227"/>
      <c r="D96" s="344"/>
      <c r="E96" s="235"/>
      <c r="F96" s="235"/>
      <c r="G96" s="227"/>
      <c r="H96" s="227"/>
      <c r="I96" s="350"/>
      <c r="J96" s="227"/>
      <c r="K96" s="227"/>
      <c r="L96" s="224"/>
      <c r="M96" s="224"/>
      <c r="N96" s="224"/>
      <c r="O96" s="224"/>
      <c r="P96" s="224"/>
      <c r="Q96" s="224"/>
      <c r="R96" s="224"/>
      <c r="S96" s="224"/>
      <c r="T96" s="224"/>
      <c r="U96" s="224"/>
      <c r="V96" s="224"/>
      <c r="W96" s="106"/>
    </row>
    <row r="97" spans="1:23" s="101" customFormat="1" x14ac:dyDescent="0.3">
      <c r="A97" s="222"/>
      <c r="B97" s="235"/>
      <c r="C97" s="227"/>
      <c r="D97" s="344"/>
      <c r="E97" s="235"/>
      <c r="F97" s="235"/>
      <c r="G97" s="227"/>
      <c r="H97" s="227"/>
      <c r="I97" s="350"/>
      <c r="J97" s="227"/>
      <c r="K97" s="227"/>
      <c r="L97" s="224"/>
      <c r="M97" s="224"/>
      <c r="N97" s="224"/>
      <c r="O97" s="224"/>
      <c r="P97" s="224"/>
      <c r="Q97" s="224"/>
      <c r="R97" s="224"/>
      <c r="S97" s="224"/>
      <c r="T97" s="224"/>
      <c r="U97" s="224"/>
      <c r="V97" s="224"/>
      <c r="W97" s="106"/>
    </row>
    <row r="98" spans="1:23" s="101" customFormat="1" x14ac:dyDescent="0.3">
      <c r="A98" s="222"/>
      <c r="B98" s="235"/>
      <c r="C98" s="227"/>
      <c r="D98" s="344"/>
      <c r="E98" s="235"/>
      <c r="F98" s="235"/>
      <c r="G98" s="227"/>
      <c r="H98" s="227"/>
      <c r="I98" s="350"/>
      <c r="J98" s="227"/>
      <c r="K98" s="227"/>
      <c r="L98" s="224"/>
      <c r="M98" s="224"/>
      <c r="N98" s="224"/>
      <c r="O98" s="224"/>
      <c r="P98" s="224"/>
      <c r="Q98" s="224"/>
      <c r="R98" s="224"/>
      <c r="S98" s="224"/>
      <c r="T98" s="224"/>
      <c r="U98" s="224"/>
      <c r="V98" s="224"/>
      <c r="W98" s="106"/>
    </row>
    <row r="99" spans="1:23" s="101" customFormat="1" x14ac:dyDescent="0.3">
      <c r="A99" s="222"/>
      <c r="B99" s="235"/>
      <c r="C99" s="227"/>
      <c r="D99" s="344"/>
      <c r="E99" s="235"/>
      <c r="F99" s="235"/>
      <c r="G99" s="227"/>
      <c r="H99" s="227"/>
      <c r="I99" s="350"/>
      <c r="J99" s="227"/>
      <c r="K99" s="227"/>
      <c r="L99" s="224"/>
      <c r="M99" s="224"/>
      <c r="N99" s="224"/>
      <c r="O99" s="224"/>
      <c r="P99" s="224"/>
      <c r="Q99" s="224"/>
      <c r="R99" s="224"/>
      <c r="S99" s="224"/>
      <c r="T99" s="224"/>
      <c r="U99" s="224"/>
      <c r="V99" s="224"/>
      <c r="W99" s="106"/>
    </row>
    <row r="100" spans="1:23" s="101" customFormat="1" x14ac:dyDescent="0.3">
      <c r="A100" s="222"/>
      <c r="B100" s="235"/>
      <c r="C100" s="227"/>
      <c r="D100" s="344"/>
      <c r="E100" s="235"/>
      <c r="F100" s="235"/>
      <c r="G100" s="227"/>
      <c r="H100" s="227"/>
      <c r="I100" s="350"/>
      <c r="J100" s="227"/>
      <c r="K100" s="227"/>
      <c r="L100" s="224"/>
      <c r="M100" s="224"/>
      <c r="N100" s="224"/>
      <c r="O100" s="224"/>
      <c r="P100" s="224"/>
      <c r="Q100" s="224"/>
      <c r="R100" s="224"/>
      <c r="S100" s="224"/>
      <c r="T100" s="224"/>
      <c r="U100" s="224"/>
      <c r="V100" s="224"/>
      <c r="W100" s="106"/>
    </row>
    <row r="101" spans="1:23" s="101" customFormat="1" x14ac:dyDescent="0.3">
      <c r="A101" s="222"/>
      <c r="B101" s="235"/>
      <c r="C101" s="227"/>
      <c r="D101" s="344"/>
      <c r="E101" s="235"/>
      <c r="F101" s="235"/>
      <c r="G101" s="227"/>
      <c r="H101" s="227"/>
      <c r="I101" s="350"/>
      <c r="J101" s="227"/>
      <c r="K101" s="227"/>
      <c r="L101" s="224"/>
      <c r="M101" s="224"/>
      <c r="N101" s="224"/>
      <c r="O101" s="224"/>
      <c r="P101" s="224"/>
      <c r="Q101" s="224"/>
      <c r="R101" s="224"/>
      <c r="S101" s="224"/>
      <c r="T101" s="224"/>
      <c r="U101" s="224"/>
      <c r="V101" s="224"/>
      <c r="W101" s="106"/>
    </row>
    <row r="102" spans="1:23" s="101" customFormat="1" x14ac:dyDescent="0.3">
      <c r="A102" s="222"/>
      <c r="B102" s="235"/>
      <c r="C102" s="227"/>
      <c r="D102" s="344"/>
      <c r="E102" s="235"/>
      <c r="F102" s="235"/>
      <c r="G102" s="227"/>
      <c r="H102" s="227"/>
      <c r="I102" s="350"/>
      <c r="J102" s="227"/>
      <c r="K102" s="227"/>
      <c r="L102" s="224"/>
      <c r="M102" s="224"/>
      <c r="N102" s="224"/>
      <c r="O102" s="224"/>
      <c r="P102" s="224"/>
      <c r="Q102" s="224"/>
      <c r="R102" s="224"/>
      <c r="S102" s="224"/>
      <c r="T102" s="224"/>
      <c r="U102" s="224"/>
      <c r="V102" s="224"/>
      <c r="W102" s="106"/>
    </row>
    <row r="103" spans="1:23" s="101" customFormat="1" x14ac:dyDescent="0.3">
      <c r="A103" s="222"/>
      <c r="B103" s="235"/>
      <c r="C103" s="227"/>
      <c r="D103" s="344"/>
      <c r="E103" s="235"/>
      <c r="F103" s="235"/>
      <c r="G103" s="227"/>
      <c r="H103" s="227"/>
      <c r="I103" s="350"/>
      <c r="J103" s="227"/>
      <c r="K103" s="227"/>
      <c r="L103" s="224"/>
      <c r="M103" s="224"/>
      <c r="N103" s="224"/>
      <c r="O103" s="224"/>
      <c r="P103" s="224"/>
      <c r="Q103" s="224"/>
      <c r="R103" s="224"/>
      <c r="S103" s="224"/>
      <c r="T103" s="224"/>
      <c r="U103" s="224"/>
      <c r="V103" s="224"/>
      <c r="W103" s="106"/>
    </row>
    <row r="104" spans="1:23" s="101" customFormat="1" x14ac:dyDescent="0.3">
      <c r="A104" s="222"/>
      <c r="B104" s="235"/>
      <c r="C104" s="227"/>
      <c r="D104" s="344"/>
      <c r="E104" s="235"/>
      <c r="F104" s="235"/>
      <c r="G104" s="227"/>
      <c r="H104" s="227"/>
      <c r="I104" s="350"/>
      <c r="J104" s="227"/>
      <c r="K104" s="227"/>
      <c r="L104" s="224"/>
      <c r="M104" s="224"/>
      <c r="N104" s="224"/>
      <c r="O104" s="224"/>
      <c r="P104" s="224"/>
      <c r="Q104" s="224"/>
      <c r="R104" s="224"/>
      <c r="S104" s="224"/>
      <c r="T104" s="224"/>
      <c r="U104" s="224"/>
      <c r="V104" s="224"/>
      <c r="W104" s="106"/>
    </row>
    <row r="105" spans="1:23" s="101" customFormat="1" x14ac:dyDescent="0.3">
      <c r="A105" s="222"/>
      <c r="B105" s="235"/>
      <c r="C105" s="227"/>
      <c r="D105" s="344"/>
      <c r="E105" s="235"/>
      <c r="F105" s="235"/>
      <c r="G105" s="227"/>
      <c r="H105" s="227"/>
      <c r="I105" s="350"/>
      <c r="J105" s="227"/>
      <c r="K105" s="227"/>
      <c r="L105" s="224"/>
      <c r="M105" s="224"/>
      <c r="N105" s="224"/>
      <c r="O105" s="224"/>
      <c r="P105" s="224"/>
      <c r="Q105" s="224"/>
      <c r="R105" s="224"/>
      <c r="S105" s="224"/>
      <c r="T105" s="224"/>
      <c r="U105" s="224"/>
      <c r="V105" s="224"/>
      <c r="W105" s="106"/>
    </row>
    <row r="106" spans="1:23" s="101" customFormat="1" x14ac:dyDescent="0.3">
      <c r="A106" s="222"/>
      <c r="B106" s="235"/>
      <c r="C106" s="227"/>
      <c r="D106" s="344"/>
      <c r="E106" s="235"/>
      <c r="F106" s="235"/>
      <c r="G106" s="227"/>
      <c r="H106" s="227"/>
      <c r="I106" s="350"/>
      <c r="J106" s="227"/>
      <c r="K106" s="227"/>
      <c r="L106" s="224"/>
      <c r="M106" s="224"/>
      <c r="N106" s="224"/>
      <c r="O106" s="224"/>
      <c r="P106" s="224"/>
      <c r="Q106" s="224"/>
      <c r="R106" s="224"/>
      <c r="S106" s="224"/>
      <c r="T106" s="224"/>
      <c r="U106" s="224"/>
      <c r="V106" s="224"/>
      <c r="W106" s="106"/>
    </row>
    <row r="107" spans="1:23" s="101" customFormat="1" x14ac:dyDescent="0.3">
      <c r="A107" s="222"/>
      <c r="B107" s="235"/>
      <c r="C107" s="227"/>
      <c r="D107" s="344"/>
      <c r="E107" s="235"/>
      <c r="F107" s="235"/>
      <c r="G107" s="227"/>
      <c r="H107" s="227"/>
      <c r="I107" s="350"/>
      <c r="J107" s="227"/>
      <c r="K107" s="227"/>
      <c r="L107" s="224"/>
      <c r="M107" s="224"/>
      <c r="N107" s="224"/>
      <c r="O107" s="224"/>
      <c r="P107" s="224"/>
      <c r="Q107" s="224"/>
      <c r="R107" s="224"/>
      <c r="S107" s="224"/>
      <c r="T107" s="224"/>
      <c r="U107" s="224"/>
      <c r="V107" s="224"/>
      <c r="W107" s="106"/>
    </row>
    <row r="108" spans="1:23" s="101" customFormat="1" x14ac:dyDescent="0.3">
      <c r="A108" s="222"/>
      <c r="B108" s="235"/>
      <c r="C108" s="227"/>
      <c r="D108" s="344"/>
      <c r="E108" s="235"/>
      <c r="F108" s="235"/>
      <c r="G108" s="227"/>
      <c r="H108" s="227"/>
      <c r="I108" s="350"/>
      <c r="J108" s="227"/>
      <c r="K108" s="227"/>
      <c r="L108" s="224"/>
      <c r="M108" s="224"/>
      <c r="N108" s="224"/>
      <c r="O108" s="224"/>
      <c r="P108" s="224"/>
      <c r="Q108" s="224"/>
      <c r="R108" s="224"/>
      <c r="S108" s="224"/>
      <c r="T108" s="224"/>
      <c r="U108" s="224"/>
      <c r="V108" s="224"/>
      <c r="W108" s="106"/>
    </row>
    <row r="109" spans="1:23" s="101" customFormat="1" x14ac:dyDescent="0.3">
      <c r="A109" s="222"/>
      <c r="B109" s="235"/>
      <c r="C109" s="227"/>
      <c r="D109" s="344"/>
      <c r="E109" s="235"/>
      <c r="F109" s="235"/>
      <c r="G109" s="227"/>
      <c r="H109" s="227"/>
      <c r="I109" s="350"/>
      <c r="J109" s="227"/>
      <c r="K109" s="227"/>
      <c r="L109" s="224"/>
      <c r="M109" s="224"/>
      <c r="N109" s="224"/>
      <c r="O109" s="224"/>
      <c r="P109" s="224"/>
      <c r="Q109" s="224"/>
      <c r="R109" s="224"/>
      <c r="S109" s="224"/>
      <c r="T109" s="224"/>
      <c r="U109" s="224"/>
      <c r="V109" s="224"/>
      <c r="W109" s="106"/>
    </row>
    <row r="110" spans="1:23" s="101" customFormat="1" x14ac:dyDescent="0.3">
      <c r="A110" s="222"/>
      <c r="B110" s="235"/>
      <c r="C110" s="227"/>
      <c r="D110" s="344"/>
      <c r="E110" s="235"/>
      <c r="F110" s="235"/>
      <c r="G110" s="227"/>
      <c r="H110" s="227"/>
      <c r="I110" s="350"/>
      <c r="J110" s="227"/>
      <c r="K110" s="227"/>
      <c r="L110" s="224"/>
      <c r="M110" s="224"/>
      <c r="N110" s="224"/>
      <c r="O110" s="224"/>
      <c r="P110" s="224"/>
      <c r="Q110" s="224"/>
      <c r="R110" s="224"/>
      <c r="S110" s="224"/>
      <c r="T110" s="224"/>
      <c r="U110" s="224"/>
      <c r="V110" s="224"/>
      <c r="W110" s="106"/>
    </row>
    <row r="111" spans="1:23" s="101" customFormat="1" x14ac:dyDescent="0.3">
      <c r="A111" s="222"/>
      <c r="B111" s="235"/>
      <c r="C111" s="227"/>
      <c r="D111" s="344"/>
      <c r="E111" s="235"/>
      <c r="F111" s="235"/>
      <c r="G111" s="227"/>
      <c r="H111" s="227"/>
      <c r="I111" s="350"/>
      <c r="J111" s="227"/>
      <c r="K111" s="227"/>
      <c r="L111" s="224"/>
      <c r="M111" s="224"/>
      <c r="N111" s="224"/>
      <c r="O111" s="224"/>
      <c r="P111" s="224"/>
      <c r="Q111" s="224"/>
      <c r="R111" s="224"/>
      <c r="S111" s="224"/>
      <c r="T111" s="224"/>
      <c r="U111" s="224"/>
      <c r="V111" s="224"/>
      <c r="W111" s="106"/>
    </row>
    <row r="112" spans="1:23" s="101" customFormat="1" x14ac:dyDescent="0.3">
      <c r="A112" s="222"/>
      <c r="B112" s="235"/>
      <c r="C112" s="227"/>
      <c r="D112" s="344"/>
      <c r="E112" s="235"/>
      <c r="F112" s="235"/>
      <c r="G112" s="227"/>
      <c r="H112" s="227"/>
      <c r="I112" s="350"/>
      <c r="J112" s="227"/>
      <c r="K112" s="227"/>
      <c r="L112" s="224"/>
      <c r="M112" s="224"/>
      <c r="N112" s="224"/>
      <c r="O112" s="224"/>
      <c r="P112" s="224"/>
      <c r="Q112" s="224"/>
      <c r="R112" s="224"/>
      <c r="S112" s="224"/>
      <c r="T112" s="224"/>
      <c r="U112" s="224"/>
      <c r="V112" s="224"/>
      <c r="W112" s="106"/>
    </row>
    <row r="113" spans="1:23" s="101" customFormat="1" x14ac:dyDescent="0.3">
      <c r="A113" s="222"/>
      <c r="B113" s="235"/>
      <c r="C113" s="227"/>
      <c r="D113" s="344"/>
      <c r="E113" s="235"/>
      <c r="F113" s="235"/>
      <c r="G113" s="227"/>
      <c r="H113" s="227"/>
      <c r="I113" s="350"/>
      <c r="J113" s="227"/>
      <c r="K113" s="227"/>
      <c r="L113" s="224"/>
      <c r="M113" s="224"/>
      <c r="N113" s="224"/>
      <c r="O113" s="224"/>
      <c r="P113" s="224"/>
      <c r="Q113" s="224"/>
      <c r="R113" s="224"/>
      <c r="S113" s="224"/>
      <c r="T113" s="224"/>
      <c r="U113" s="224"/>
      <c r="V113" s="224"/>
      <c r="W113" s="106"/>
    </row>
    <row r="114" spans="1:23" s="101" customFormat="1" x14ac:dyDescent="0.3">
      <c r="A114" s="222"/>
      <c r="B114" s="235"/>
      <c r="C114" s="227"/>
      <c r="D114" s="344"/>
      <c r="E114" s="235"/>
      <c r="F114" s="235"/>
      <c r="G114" s="227"/>
      <c r="H114" s="227"/>
      <c r="I114" s="350"/>
      <c r="J114" s="227"/>
      <c r="K114" s="227"/>
      <c r="L114" s="224"/>
      <c r="M114" s="224"/>
      <c r="N114" s="224"/>
      <c r="O114" s="224"/>
      <c r="P114" s="224"/>
      <c r="Q114" s="224"/>
      <c r="R114" s="224"/>
      <c r="S114" s="224"/>
      <c r="T114" s="224"/>
      <c r="U114" s="224"/>
      <c r="V114" s="224"/>
      <c r="W114" s="106"/>
    </row>
    <row r="115" spans="1:23" s="101" customFormat="1" x14ac:dyDescent="0.3">
      <c r="A115" s="222"/>
      <c r="B115" s="235"/>
      <c r="C115" s="227"/>
      <c r="D115" s="344"/>
      <c r="E115" s="235"/>
      <c r="F115" s="235"/>
      <c r="G115" s="227"/>
      <c r="H115" s="227"/>
      <c r="I115" s="350"/>
      <c r="J115" s="227"/>
      <c r="K115" s="227"/>
      <c r="L115" s="224"/>
      <c r="M115" s="224"/>
      <c r="N115" s="224"/>
      <c r="O115" s="224"/>
      <c r="P115" s="224"/>
      <c r="Q115" s="224"/>
      <c r="R115" s="224"/>
      <c r="S115" s="224"/>
      <c r="T115" s="224"/>
      <c r="U115" s="224"/>
      <c r="V115" s="224"/>
      <c r="W115" s="106"/>
    </row>
    <row r="116" spans="1:23" s="101" customFormat="1" x14ac:dyDescent="0.3">
      <c r="A116" s="222"/>
      <c r="B116" s="235"/>
      <c r="C116" s="227"/>
      <c r="D116" s="344"/>
      <c r="E116" s="235"/>
      <c r="F116" s="235"/>
      <c r="G116" s="227"/>
      <c r="H116" s="227"/>
      <c r="I116" s="350"/>
      <c r="J116" s="227"/>
      <c r="K116" s="227"/>
      <c r="L116" s="224"/>
      <c r="M116" s="224"/>
      <c r="N116" s="224"/>
      <c r="O116" s="224"/>
      <c r="P116" s="224"/>
      <c r="Q116" s="224"/>
      <c r="R116" s="224"/>
      <c r="S116" s="224"/>
      <c r="T116" s="224"/>
      <c r="U116" s="224"/>
      <c r="V116" s="224"/>
      <c r="W116" s="106"/>
    </row>
    <row r="117" spans="1:23" s="101" customFormat="1" x14ac:dyDescent="0.3">
      <c r="A117" s="222"/>
      <c r="B117" s="235"/>
      <c r="C117" s="227"/>
      <c r="D117" s="344"/>
      <c r="E117" s="235"/>
      <c r="F117" s="235"/>
      <c r="G117" s="227"/>
      <c r="H117" s="227"/>
      <c r="I117" s="350"/>
      <c r="J117" s="227"/>
      <c r="K117" s="227"/>
      <c r="L117" s="224"/>
      <c r="M117" s="224"/>
      <c r="N117" s="224"/>
      <c r="O117" s="224"/>
      <c r="P117" s="224"/>
      <c r="Q117" s="224"/>
      <c r="R117" s="224"/>
      <c r="S117" s="224"/>
      <c r="T117" s="224"/>
      <c r="U117" s="224"/>
      <c r="V117" s="224"/>
      <c r="W117" s="106"/>
    </row>
    <row r="118" spans="1:23" s="101" customFormat="1" x14ac:dyDescent="0.3">
      <c r="A118" s="222"/>
      <c r="B118" s="235"/>
      <c r="C118" s="227"/>
      <c r="D118" s="344"/>
      <c r="E118" s="235"/>
      <c r="F118" s="235"/>
      <c r="G118" s="227"/>
      <c r="H118" s="227"/>
      <c r="I118" s="350"/>
      <c r="J118" s="227"/>
      <c r="K118" s="227"/>
      <c r="L118" s="224"/>
      <c r="M118" s="224"/>
      <c r="N118" s="224"/>
      <c r="O118" s="224"/>
      <c r="P118" s="224"/>
      <c r="Q118" s="224"/>
      <c r="R118" s="224"/>
      <c r="S118" s="224"/>
      <c r="T118" s="224"/>
      <c r="U118" s="224"/>
      <c r="V118" s="224"/>
      <c r="W118" s="106"/>
    </row>
    <row r="119" spans="1:23" s="101" customFormat="1" x14ac:dyDescent="0.3">
      <c r="A119" s="222"/>
      <c r="B119" s="235"/>
      <c r="C119" s="227"/>
      <c r="D119" s="344"/>
      <c r="E119" s="235"/>
      <c r="F119" s="235"/>
      <c r="G119" s="227"/>
      <c r="H119" s="227"/>
      <c r="I119" s="350"/>
      <c r="J119" s="227"/>
      <c r="K119" s="227"/>
      <c r="L119" s="224"/>
      <c r="M119" s="224"/>
      <c r="N119" s="224"/>
      <c r="O119" s="224"/>
      <c r="P119" s="224"/>
      <c r="Q119" s="224"/>
      <c r="R119" s="224"/>
      <c r="S119" s="224"/>
      <c r="T119" s="224"/>
      <c r="U119" s="224"/>
      <c r="V119" s="224"/>
      <c r="W119" s="106"/>
    </row>
    <row r="120" spans="1:23" s="101" customFormat="1" x14ac:dyDescent="0.3">
      <c r="A120" s="222"/>
      <c r="B120" s="235"/>
      <c r="C120" s="227"/>
      <c r="D120" s="344"/>
      <c r="E120" s="235"/>
      <c r="F120" s="235"/>
      <c r="G120" s="227"/>
      <c r="H120" s="227"/>
      <c r="I120" s="350"/>
      <c r="J120" s="227"/>
      <c r="K120" s="227"/>
      <c r="L120" s="224"/>
      <c r="M120" s="224"/>
      <c r="N120" s="224"/>
      <c r="O120" s="224"/>
      <c r="P120" s="224"/>
      <c r="Q120" s="224"/>
      <c r="R120" s="224"/>
      <c r="S120" s="224"/>
      <c r="T120" s="224"/>
      <c r="U120" s="224"/>
      <c r="V120" s="224"/>
      <c r="W120" s="106"/>
    </row>
    <row r="121" spans="1:23" s="101" customFormat="1" x14ac:dyDescent="0.3">
      <c r="A121" s="222"/>
      <c r="B121" s="235"/>
      <c r="C121" s="227"/>
      <c r="D121" s="344"/>
      <c r="E121" s="235"/>
      <c r="F121" s="235"/>
      <c r="G121" s="227"/>
      <c r="H121" s="227"/>
      <c r="I121" s="350"/>
      <c r="J121" s="227"/>
      <c r="K121" s="227"/>
      <c r="L121" s="224"/>
      <c r="M121" s="224"/>
      <c r="N121" s="224"/>
      <c r="O121" s="224"/>
      <c r="P121" s="224"/>
      <c r="Q121" s="224"/>
      <c r="R121" s="224"/>
      <c r="S121" s="224"/>
      <c r="T121" s="224"/>
      <c r="U121" s="224"/>
      <c r="V121" s="224"/>
      <c r="W121" s="106"/>
    </row>
    <row r="122" spans="1:23" s="101" customFormat="1" x14ac:dyDescent="0.3">
      <c r="A122" s="222"/>
      <c r="B122" s="235"/>
      <c r="C122" s="227"/>
      <c r="D122" s="344"/>
      <c r="E122" s="235"/>
      <c r="F122" s="235"/>
      <c r="G122" s="227"/>
      <c r="H122" s="227"/>
      <c r="I122" s="350"/>
      <c r="J122" s="227"/>
      <c r="K122" s="227"/>
      <c r="L122" s="224"/>
      <c r="M122" s="224"/>
      <c r="N122" s="224"/>
      <c r="O122" s="224"/>
      <c r="P122" s="224"/>
      <c r="Q122" s="224"/>
      <c r="R122" s="224"/>
      <c r="S122" s="224"/>
      <c r="T122" s="224"/>
      <c r="U122" s="224"/>
      <c r="V122" s="224"/>
      <c r="W122" s="106"/>
    </row>
    <row r="123" spans="1:23" s="101" customFormat="1" x14ac:dyDescent="0.3">
      <c r="A123" s="222"/>
      <c r="B123" s="235"/>
      <c r="C123" s="227"/>
      <c r="D123" s="344"/>
      <c r="E123" s="235"/>
      <c r="F123" s="235"/>
      <c r="G123" s="227"/>
      <c r="H123" s="227"/>
      <c r="I123" s="350"/>
      <c r="J123" s="227"/>
      <c r="K123" s="227"/>
      <c r="L123" s="224"/>
      <c r="M123" s="224"/>
      <c r="N123" s="224"/>
      <c r="O123" s="224"/>
      <c r="P123" s="224"/>
      <c r="Q123" s="224"/>
      <c r="R123" s="224"/>
      <c r="S123" s="224"/>
      <c r="T123" s="224"/>
      <c r="U123" s="224"/>
      <c r="V123" s="224"/>
      <c r="W123" s="106"/>
    </row>
    <row r="124" spans="1:23" s="101" customFormat="1" x14ac:dyDescent="0.3">
      <c r="A124" s="222"/>
      <c r="B124" s="235"/>
      <c r="C124" s="227"/>
      <c r="D124" s="344"/>
      <c r="E124" s="235"/>
      <c r="F124" s="235"/>
      <c r="G124" s="227"/>
      <c r="H124" s="227"/>
      <c r="I124" s="350"/>
      <c r="J124" s="227"/>
      <c r="K124" s="227"/>
      <c r="L124" s="224"/>
      <c r="M124" s="224"/>
      <c r="N124" s="224"/>
      <c r="O124" s="224"/>
      <c r="P124" s="224"/>
      <c r="Q124" s="224"/>
      <c r="R124" s="224"/>
      <c r="S124" s="224"/>
      <c r="T124" s="224"/>
      <c r="U124" s="224"/>
      <c r="V124" s="224"/>
      <c r="W124" s="106"/>
    </row>
    <row r="125" spans="1:23" s="101" customFormat="1" x14ac:dyDescent="0.3">
      <c r="A125" s="222"/>
      <c r="B125" s="235"/>
      <c r="C125" s="227"/>
      <c r="D125" s="344"/>
      <c r="E125" s="235"/>
      <c r="F125" s="235"/>
      <c r="G125" s="227"/>
      <c r="H125" s="227"/>
      <c r="I125" s="350"/>
      <c r="J125" s="227"/>
      <c r="K125" s="227"/>
      <c r="L125" s="224"/>
      <c r="M125" s="224"/>
      <c r="N125" s="224"/>
      <c r="O125" s="224"/>
      <c r="P125" s="224"/>
      <c r="Q125" s="224"/>
      <c r="R125" s="224"/>
      <c r="S125" s="224"/>
      <c r="T125" s="224"/>
      <c r="U125" s="224"/>
      <c r="V125" s="224"/>
      <c r="W125" s="106"/>
    </row>
    <row r="126" spans="1:23" s="101" customFormat="1" x14ac:dyDescent="0.3">
      <c r="A126" s="222"/>
      <c r="B126" s="235"/>
      <c r="C126" s="227"/>
      <c r="D126" s="344"/>
      <c r="E126" s="235"/>
      <c r="F126" s="235"/>
      <c r="G126" s="227"/>
      <c r="H126" s="227"/>
      <c r="I126" s="350"/>
      <c r="J126" s="227"/>
      <c r="K126" s="227"/>
      <c r="L126" s="224"/>
      <c r="M126" s="224"/>
      <c r="N126" s="224"/>
      <c r="O126" s="224"/>
      <c r="P126" s="224"/>
      <c r="Q126" s="224"/>
      <c r="R126" s="224"/>
      <c r="S126" s="224"/>
      <c r="T126" s="224"/>
      <c r="U126" s="224"/>
      <c r="V126" s="224"/>
      <c r="W126" s="106"/>
    </row>
    <row r="127" spans="1:23" s="101" customFormat="1" x14ac:dyDescent="0.3">
      <c r="A127" s="222"/>
      <c r="B127" s="235"/>
      <c r="C127" s="227"/>
      <c r="D127" s="344"/>
      <c r="E127" s="235"/>
      <c r="F127" s="235"/>
      <c r="G127" s="227"/>
      <c r="H127" s="227"/>
      <c r="I127" s="350"/>
      <c r="J127" s="227"/>
      <c r="K127" s="227"/>
      <c r="L127" s="224"/>
      <c r="M127" s="224"/>
      <c r="N127" s="224"/>
      <c r="O127" s="224"/>
      <c r="P127" s="224"/>
      <c r="Q127" s="224"/>
      <c r="R127" s="224"/>
      <c r="S127" s="224"/>
      <c r="T127" s="224"/>
      <c r="U127" s="224"/>
      <c r="V127" s="224"/>
      <c r="W127" s="106"/>
    </row>
    <row r="128" spans="1:23" s="101" customFormat="1" x14ac:dyDescent="0.3">
      <c r="A128" s="222"/>
      <c r="B128" s="235"/>
      <c r="C128" s="227"/>
      <c r="D128" s="344"/>
      <c r="E128" s="235"/>
      <c r="F128" s="235"/>
      <c r="G128" s="227"/>
      <c r="H128" s="227"/>
      <c r="I128" s="350"/>
      <c r="J128" s="227"/>
      <c r="K128" s="227"/>
      <c r="L128" s="224"/>
      <c r="M128" s="224"/>
      <c r="N128" s="224"/>
      <c r="O128" s="224"/>
      <c r="P128" s="224"/>
      <c r="Q128" s="224"/>
      <c r="R128" s="224"/>
      <c r="S128" s="224"/>
      <c r="T128" s="224"/>
      <c r="U128" s="224"/>
      <c r="V128" s="224"/>
      <c r="W128" s="106"/>
    </row>
    <row r="129" spans="1:23" s="101" customFormat="1" x14ac:dyDescent="0.3">
      <c r="A129" s="222"/>
      <c r="B129" s="235"/>
      <c r="C129" s="227"/>
      <c r="D129" s="344"/>
      <c r="E129" s="235"/>
      <c r="F129" s="235"/>
      <c r="G129" s="227"/>
      <c r="H129" s="227"/>
      <c r="I129" s="350"/>
      <c r="J129" s="227"/>
      <c r="K129" s="227"/>
      <c r="L129" s="224"/>
      <c r="M129" s="224"/>
      <c r="N129" s="224"/>
      <c r="O129" s="224"/>
      <c r="P129" s="224"/>
      <c r="Q129" s="224"/>
      <c r="R129" s="224"/>
      <c r="S129" s="224"/>
      <c r="T129" s="224"/>
      <c r="U129" s="224"/>
      <c r="V129" s="224"/>
      <c r="W129" s="106"/>
    </row>
    <row r="130" spans="1:23" s="101" customFormat="1" x14ac:dyDescent="0.3">
      <c r="A130" s="222"/>
      <c r="B130" s="235"/>
      <c r="C130" s="227"/>
      <c r="D130" s="344"/>
      <c r="E130" s="235"/>
      <c r="F130" s="235"/>
      <c r="G130" s="227"/>
      <c r="H130" s="227"/>
      <c r="I130" s="350"/>
      <c r="J130" s="227"/>
      <c r="K130" s="227"/>
      <c r="L130" s="224"/>
      <c r="M130" s="224"/>
      <c r="N130" s="224"/>
      <c r="O130" s="224"/>
      <c r="P130" s="224"/>
      <c r="Q130" s="224"/>
      <c r="R130" s="224"/>
      <c r="S130" s="224"/>
      <c r="T130" s="224"/>
      <c r="U130" s="224"/>
      <c r="V130" s="224"/>
      <c r="W130" s="106"/>
    </row>
    <row r="131" spans="1:23" s="101" customFormat="1" x14ac:dyDescent="0.3">
      <c r="A131" s="222"/>
      <c r="B131" s="235"/>
      <c r="C131" s="227"/>
      <c r="D131" s="344"/>
      <c r="E131" s="235"/>
      <c r="F131" s="235"/>
      <c r="G131" s="227"/>
      <c r="H131" s="227"/>
      <c r="I131" s="350"/>
      <c r="J131" s="227"/>
      <c r="K131" s="227"/>
      <c r="L131" s="224"/>
      <c r="M131" s="224"/>
      <c r="N131" s="224"/>
      <c r="O131" s="224"/>
      <c r="P131" s="224"/>
      <c r="Q131" s="224"/>
      <c r="R131" s="224"/>
      <c r="S131" s="224"/>
      <c r="T131" s="224"/>
      <c r="U131" s="224"/>
      <c r="V131" s="224"/>
      <c r="W131" s="106"/>
    </row>
    <row r="132" spans="1:23" s="101" customFormat="1" x14ac:dyDescent="0.3">
      <c r="A132" s="222"/>
      <c r="B132" s="235"/>
      <c r="C132" s="227"/>
      <c r="D132" s="344"/>
      <c r="E132" s="235"/>
      <c r="F132" s="235"/>
      <c r="G132" s="227"/>
      <c r="H132" s="227"/>
      <c r="I132" s="350"/>
      <c r="J132" s="227"/>
      <c r="K132" s="227"/>
      <c r="L132" s="224"/>
      <c r="M132" s="224"/>
      <c r="N132" s="224"/>
      <c r="O132" s="224"/>
      <c r="P132" s="224"/>
      <c r="Q132" s="224"/>
      <c r="R132" s="224"/>
      <c r="S132" s="224"/>
      <c r="T132" s="224"/>
      <c r="U132" s="224"/>
      <c r="V132" s="224"/>
      <c r="W132" s="106"/>
    </row>
    <row r="133" spans="1:23" s="101" customFormat="1" x14ac:dyDescent="0.3">
      <c r="A133" s="222"/>
      <c r="B133" s="235"/>
      <c r="C133" s="227"/>
      <c r="D133" s="344"/>
      <c r="E133" s="235"/>
      <c r="F133" s="235"/>
      <c r="G133" s="227"/>
      <c r="H133" s="227"/>
      <c r="I133" s="350"/>
      <c r="J133" s="227"/>
      <c r="K133" s="227"/>
      <c r="L133" s="224"/>
      <c r="M133" s="224"/>
      <c r="N133" s="224"/>
      <c r="O133" s="224"/>
      <c r="P133" s="224"/>
      <c r="Q133" s="224"/>
      <c r="R133" s="224"/>
      <c r="S133" s="224"/>
      <c r="T133" s="224"/>
      <c r="U133" s="224"/>
      <c r="V133" s="224"/>
      <c r="W133" s="106"/>
    </row>
    <row r="134" spans="1:23" s="101" customFormat="1" x14ac:dyDescent="0.3">
      <c r="A134" s="222"/>
      <c r="B134" s="235"/>
      <c r="C134" s="227"/>
      <c r="D134" s="344"/>
      <c r="E134" s="235"/>
      <c r="F134" s="235"/>
      <c r="G134" s="227"/>
      <c r="H134" s="227"/>
      <c r="I134" s="350"/>
      <c r="J134" s="227"/>
      <c r="K134" s="227"/>
      <c r="L134" s="224"/>
      <c r="M134" s="224"/>
      <c r="N134" s="224"/>
      <c r="O134" s="224"/>
      <c r="P134" s="224"/>
      <c r="Q134" s="224"/>
      <c r="R134" s="224"/>
      <c r="S134" s="224"/>
      <c r="T134" s="224"/>
      <c r="U134" s="224"/>
      <c r="V134" s="224"/>
      <c r="W134" s="106"/>
    </row>
    <row r="135" spans="1:23" s="101" customFormat="1" x14ac:dyDescent="0.3">
      <c r="A135" s="222"/>
      <c r="B135" s="235"/>
      <c r="C135" s="227"/>
      <c r="D135" s="344"/>
      <c r="E135" s="235"/>
      <c r="F135" s="235"/>
      <c r="G135" s="227"/>
      <c r="H135" s="227"/>
      <c r="I135" s="350"/>
      <c r="J135" s="227"/>
      <c r="K135" s="227"/>
      <c r="L135" s="224"/>
      <c r="M135" s="224"/>
      <c r="N135" s="224"/>
      <c r="O135" s="224"/>
      <c r="P135" s="224"/>
      <c r="Q135" s="224"/>
      <c r="R135" s="224"/>
      <c r="S135" s="224"/>
      <c r="T135" s="224"/>
      <c r="U135" s="224"/>
      <c r="V135" s="224"/>
      <c r="W135" s="106"/>
    </row>
    <row r="136" spans="1:23" s="101" customFormat="1" x14ac:dyDescent="0.3">
      <c r="A136" s="222"/>
      <c r="B136" s="235"/>
      <c r="C136" s="227"/>
      <c r="D136" s="344"/>
      <c r="E136" s="235"/>
      <c r="F136" s="235"/>
      <c r="G136" s="227"/>
      <c r="H136" s="227"/>
      <c r="I136" s="350"/>
      <c r="J136" s="227"/>
      <c r="K136" s="227"/>
      <c r="L136" s="224"/>
      <c r="M136" s="224"/>
      <c r="N136" s="224"/>
      <c r="O136" s="224"/>
      <c r="P136" s="224"/>
      <c r="Q136" s="224"/>
      <c r="R136" s="224"/>
      <c r="S136" s="224"/>
      <c r="T136" s="224"/>
      <c r="U136" s="224"/>
      <c r="V136" s="224"/>
      <c r="W136" s="106"/>
    </row>
    <row r="137" spans="1:23" s="101" customFormat="1" x14ac:dyDescent="0.3">
      <c r="A137" s="222"/>
      <c r="B137" s="235"/>
      <c r="C137" s="227"/>
      <c r="D137" s="344"/>
      <c r="E137" s="235"/>
      <c r="F137" s="235"/>
      <c r="G137" s="227"/>
      <c r="H137" s="227"/>
      <c r="I137" s="350"/>
      <c r="J137" s="227"/>
      <c r="K137" s="227"/>
      <c r="L137" s="224"/>
      <c r="M137" s="224"/>
      <c r="N137" s="224"/>
      <c r="O137" s="224"/>
      <c r="P137" s="224"/>
      <c r="Q137" s="224"/>
      <c r="R137" s="224"/>
      <c r="S137" s="224"/>
      <c r="T137" s="224"/>
      <c r="U137" s="224"/>
      <c r="V137" s="224"/>
      <c r="W137" s="106"/>
    </row>
    <row r="138" spans="1:23" s="101" customFormat="1" x14ac:dyDescent="0.3">
      <c r="A138" s="222"/>
      <c r="B138" s="235"/>
      <c r="C138" s="227"/>
      <c r="D138" s="344"/>
      <c r="E138" s="235"/>
      <c r="F138" s="235"/>
      <c r="G138" s="227"/>
      <c r="H138" s="227"/>
      <c r="I138" s="350"/>
      <c r="J138" s="227"/>
      <c r="K138" s="227"/>
      <c r="L138" s="224"/>
      <c r="M138" s="224"/>
      <c r="N138" s="224"/>
      <c r="O138" s="224"/>
      <c r="P138" s="224"/>
      <c r="Q138" s="224"/>
      <c r="R138" s="224"/>
      <c r="S138" s="224"/>
      <c r="T138" s="224"/>
      <c r="U138" s="224"/>
      <c r="V138" s="224"/>
      <c r="W138" s="106"/>
    </row>
    <row r="139" spans="1:23" s="101" customFormat="1" x14ac:dyDescent="0.3">
      <c r="A139" s="222"/>
      <c r="B139" s="235"/>
      <c r="C139" s="227"/>
      <c r="D139" s="344"/>
      <c r="E139" s="235"/>
      <c r="F139" s="235"/>
      <c r="G139" s="227"/>
      <c r="H139" s="227"/>
      <c r="I139" s="350"/>
      <c r="J139" s="227"/>
      <c r="K139" s="227"/>
      <c r="L139" s="224"/>
      <c r="M139" s="224"/>
      <c r="N139" s="224"/>
      <c r="O139" s="224"/>
      <c r="P139" s="224"/>
      <c r="Q139" s="224"/>
      <c r="R139" s="224"/>
      <c r="S139" s="224"/>
      <c r="T139" s="224"/>
      <c r="U139" s="224"/>
      <c r="V139" s="224"/>
      <c r="W139" s="106"/>
    </row>
    <row r="140" spans="1:23" s="101" customFormat="1" x14ac:dyDescent="0.3">
      <c r="A140" s="222"/>
      <c r="B140" s="235"/>
      <c r="C140" s="227"/>
      <c r="D140" s="344"/>
      <c r="E140" s="235"/>
      <c r="F140" s="235"/>
      <c r="G140" s="227"/>
      <c r="H140" s="227"/>
      <c r="I140" s="350"/>
      <c r="J140" s="227"/>
      <c r="K140" s="227"/>
      <c r="L140" s="224"/>
      <c r="M140" s="224"/>
      <c r="N140" s="224"/>
      <c r="O140" s="224"/>
      <c r="P140" s="224"/>
      <c r="Q140" s="224"/>
      <c r="R140" s="224"/>
      <c r="S140" s="224"/>
      <c r="T140" s="224"/>
      <c r="U140" s="224"/>
      <c r="V140" s="224"/>
      <c r="W140" s="106"/>
    </row>
    <row r="141" spans="1:23" s="101" customFormat="1" x14ac:dyDescent="0.3">
      <c r="A141" s="222"/>
      <c r="B141" s="235"/>
      <c r="C141" s="227"/>
      <c r="D141" s="344"/>
      <c r="E141" s="235"/>
      <c r="F141" s="235"/>
      <c r="G141" s="227"/>
      <c r="H141" s="227"/>
      <c r="I141" s="350"/>
      <c r="J141" s="227"/>
      <c r="K141" s="227"/>
      <c r="L141" s="224"/>
      <c r="M141" s="224"/>
      <c r="N141" s="224"/>
      <c r="O141" s="224"/>
      <c r="P141" s="224"/>
      <c r="Q141" s="224"/>
      <c r="R141" s="224"/>
      <c r="S141" s="224"/>
      <c r="T141" s="224"/>
      <c r="U141" s="224"/>
      <c r="V141" s="224"/>
      <c r="W141" s="106"/>
    </row>
    <row r="142" spans="1:23" s="101" customFormat="1" x14ac:dyDescent="0.3">
      <c r="A142" s="222"/>
      <c r="B142" s="235"/>
      <c r="C142" s="227"/>
      <c r="D142" s="344"/>
      <c r="E142" s="235"/>
      <c r="F142" s="235"/>
      <c r="G142" s="227"/>
      <c r="H142" s="227"/>
      <c r="I142" s="350"/>
      <c r="J142" s="227"/>
      <c r="K142" s="227"/>
      <c r="L142" s="224"/>
      <c r="M142" s="224"/>
      <c r="N142" s="224"/>
      <c r="O142" s="224"/>
      <c r="P142" s="224"/>
      <c r="Q142" s="224"/>
      <c r="R142" s="224"/>
      <c r="S142" s="224"/>
      <c r="T142" s="224"/>
      <c r="U142" s="224"/>
      <c r="V142" s="224"/>
      <c r="W142" s="106"/>
    </row>
    <row r="143" spans="1:23" s="101" customFormat="1" x14ac:dyDescent="0.3">
      <c r="A143" s="222"/>
      <c r="B143" s="235"/>
      <c r="C143" s="227"/>
      <c r="D143" s="344"/>
      <c r="E143" s="235"/>
      <c r="F143" s="235"/>
      <c r="G143" s="227"/>
      <c r="H143" s="227"/>
      <c r="I143" s="350"/>
      <c r="J143" s="227"/>
      <c r="K143" s="227"/>
      <c r="L143" s="224"/>
      <c r="M143" s="224"/>
      <c r="N143" s="224"/>
      <c r="O143" s="224"/>
      <c r="P143" s="224"/>
      <c r="Q143" s="224"/>
      <c r="R143" s="224"/>
      <c r="S143" s="224"/>
      <c r="T143" s="224"/>
      <c r="U143" s="224"/>
      <c r="V143" s="224"/>
      <c r="W143" s="106"/>
    </row>
    <row r="144" spans="1:23" s="101" customFormat="1" x14ac:dyDescent="0.3">
      <c r="A144" s="222"/>
      <c r="B144" s="235"/>
      <c r="C144" s="227"/>
      <c r="D144" s="344"/>
      <c r="E144" s="235"/>
      <c r="F144" s="235"/>
      <c r="G144" s="227"/>
      <c r="H144" s="227"/>
      <c r="I144" s="350"/>
      <c r="J144" s="227"/>
      <c r="K144" s="227"/>
      <c r="L144" s="224"/>
      <c r="M144" s="224"/>
      <c r="N144" s="224"/>
      <c r="O144" s="224"/>
      <c r="P144" s="224"/>
      <c r="Q144" s="224"/>
      <c r="R144" s="224"/>
      <c r="S144" s="224"/>
      <c r="T144" s="224"/>
      <c r="U144" s="224"/>
      <c r="V144" s="224"/>
      <c r="W144" s="106"/>
    </row>
    <row r="145" spans="1:23" s="101" customFormat="1" x14ac:dyDescent="0.3">
      <c r="A145" s="222"/>
      <c r="B145" s="235"/>
      <c r="C145" s="227"/>
      <c r="D145" s="344"/>
      <c r="E145" s="235"/>
      <c r="F145" s="235"/>
      <c r="G145" s="227"/>
      <c r="H145" s="227"/>
      <c r="I145" s="350"/>
      <c r="J145" s="227"/>
      <c r="K145" s="227"/>
      <c r="L145" s="224"/>
      <c r="M145" s="224"/>
      <c r="N145" s="224"/>
      <c r="O145" s="224"/>
      <c r="P145" s="224"/>
      <c r="Q145" s="224"/>
      <c r="R145" s="224"/>
      <c r="S145" s="224"/>
      <c r="T145" s="224"/>
      <c r="U145" s="224"/>
      <c r="V145" s="224"/>
      <c r="W145" s="106"/>
    </row>
    <row r="146" spans="1:23" s="101" customFormat="1" x14ac:dyDescent="0.3">
      <c r="A146" s="222"/>
      <c r="B146" s="235"/>
      <c r="C146" s="227"/>
      <c r="D146" s="344"/>
      <c r="E146" s="235"/>
      <c r="F146" s="235"/>
      <c r="G146" s="227"/>
      <c r="H146" s="227"/>
      <c r="I146" s="350"/>
      <c r="J146" s="227"/>
      <c r="K146" s="227"/>
      <c r="L146" s="224"/>
      <c r="M146" s="224"/>
      <c r="N146" s="224"/>
      <c r="O146" s="224"/>
      <c r="P146" s="224"/>
      <c r="Q146" s="224"/>
      <c r="R146" s="224"/>
      <c r="S146" s="224"/>
      <c r="T146" s="224"/>
      <c r="U146" s="224"/>
      <c r="V146" s="224"/>
      <c r="W146" s="106"/>
    </row>
    <row r="147" spans="1:23" s="101" customFormat="1" x14ac:dyDescent="0.3">
      <c r="A147" s="222"/>
      <c r="B147" s="235"/>
      <c r="C147" s="227"/>
      <c r="D147" s="344"/>
      <c r="E147" s="235"/>
      <c r="F147" s="235"/>
      <c r="G147" s="227"/>
      <c r="H147" s="227"/>
      <c r="I147" s="350"/>
      <c r="J147" s="227"/>
      <c r="K147" s="227"/>
      <c r="L147" s="224"/>
      <c r="M147" s="224"/>
      <c r="N147" s="224"/>
      <c r="O147" s="224"/>
      <c r="P147" s="224"/>
      <c r="Q147" s="224"/>
      <c r="R147" s="224"/>
      <c r="S147" s="224"/>
      <c r="T147" s="224"/>
      <c r="U147" s="224"/>
      <c r="V147" s="224"/>
      <c r="W147" s="106"/>
    </row>
    <row r="148" spans="1:23" s="101" customFormat="1" x14ac:dyDescent="0.3">
      <c r="A148" s="222"/>
      <c r="B148" s="235"/>
      <c r="C148" s="227"/>
      <c r="D148" s="344"/>
      <c r="E148" s="235"/>
      <c r="F148" s="235"/>
      <c r="G148" s="227"/>
      <c r="H148" s="227"/>
      <c r="I148" s="350"/>
      <c r="J148" s="227"/>
      <c r="K148" s="227"/>
      <c r="L148" s="224"/>
      <c r="M148" s="224"/>
      <c r="N148" s="224"/>
      <c r="O148" s="224"/>
      <c r="P148" s="224"/>
      <c r="Q148" s="224"/>
      <c r="R148" s="224"/>
      <c r="S148" s="224"/>
      <c r="T148" s="224"/>
      <c r="U148" s="224"/>
      <c r="V148" s="224"/>
      <c r="W148" s="106"/>
    </row>
    <row r="149" spans="1:23" s="101" customFormat="1" x14ac:dyDescent="0.3">
      <c r="A149" s="222"/>
      <c r="B149" s="235"/>
      <c r="C149" s="227"/>
      <c r="D149" s="344"/>
      <c r="E149" s="235"/>
      <c r="F149" s="235"/>
      <c r="G149" s="227"/>
      <c r="H149" s="227"/>
      <c r="I149" s="350"/>
      <c r="J149" s="227"/>
      <c r="K149" s="227"/>
      <c r="L149" s="224"/>
      <c r="M149" s="224"/>
      <c r="N149" s="224"/>
      <c r="O149" s="224"/>
      <c r="P149" s="224"/>
      <c r="Q149" s="224"/>
      <c r="R149" s="224"/>
      <c r="S149" s="224"/>
      <c r="T149" s="224"/>
      <c r="U149" s="224"/>
      <c r="V149" s="224"/>
      <c r="W149" s="106"/>
    </row>
    <row r="150" spans="1:23" s="101" customFormat="1" x14ac:dyDescent="0.3">
      <c r="A150" s="222"/>
      <c r="B150" s="235"/>
      <c r="C150" s="227"/>
      <c r="D150" s="344"/>
      <c r="E150" s="235"/>
      <c r="F150" s="235"/>
      <c r="G150" s="227"/>
      <c r="H150" s="227"/>
      <c r="I150" s="350"/>
      <c r="J150" s="227"/>
      <c r="K150" s="227"/>
      <c r="L150" s="224"/>
      <c r="M150" s="224"/>
      <c r="N150" s="224"/>
      <c r="O150" s="224"/>
      <c r="P150" s="224"/>
      <c r="Q150" s="224"/>
      <c r="R150" s="224"/>
      <c r="S150" s="224"/>
      <c r="T150" s="224"/>
      <c r="U150" s="224"/>
      <c r="V150" s="224"/>
      <c r="W150" s="106"/>
    </row>
    <row r="151" spans="1:23" s="101" customFormat="1" x14ac:dyDescent="0.3">
      <c r="A151" s="222"/>
      <c r="B151" s="235"/>
      <c r="C151" s="227"/>
      <c r="D151" s="344"/>
      <c r="E151" s="235"/>
      <c r="F151" s="235"/>
      <c r="G151" s="227"/>
      <c r="H151" s="227"/>
      <c r="I151" s="350"/>
      <c r="J151" s="227"/>
      <c r="K151" s="227"/>
      <c r="L151" s="224"/>
      <c r="M151" s="224"/>
      <c r="N151" s="224"/>
      <c r="O151" s="224"/>
      <c r="P151" s="224"/>
      <c r="Q151" s="224"/>
      <c r="R151" s="224"/>
      <c r="S151" s="224"/>
      <c r="T151" s="224"/>
      <c r="U151" s="224"/>
      <c r="V151" s="224"/>
      <c r="W151" s="106"/>
    </row>
    <row r="152" spans="1:23" s="101" customFormat="1" x14ac:dyDescent="0.3">
      <c r="A152" s="222"/>
      <c r="B152" s="235"/>
      <c r="C152" s="227"/>
      <c r="D152" s="344"/>
      <c r="E152" s="235"/>
      <c r="F152" s="235"/>
      <c r="G152" s="227"/>
      <c r="H152" s="227"/>
      <c r="I152" s="350"/>
      <c r="J152" s="227"/>
      <c r="K152" s="227"/>
      <c r="L152" s="224"/>
      <c r="M152" s="224"/>
      <c r="N152" s="224"/>
      <c r="O152" s="224"/>
      <c r="P152" s="224"/>
      <c r="Q152" s="224"/>
      <c r="R152" s="224"/>
      <c r="S152" s="224"/>
      <c r="T152" s="224"/>
      <c r="U152" s="224"/>
      <c r="V152" s="224"/>
      <c r="W152" s="106"/>
    </row>
    <row r="153" spans="1:23" s="101" customFormat="1" x14ac:dyDescent="0.3">
      <c r="A153" s="222"/>
      <c r="B153" s="235"/>
      <c r="C153" s="227"/>
      <c r="D153" s="344"/>
      <c r="E153" s="235"/>
      <c r="F153" s="235"/>
      <c r="G153" s="227"/>
      <c r="H153" s="227"/>
      <c r="I153" s="350"/>
      <c r="J153" s="227"/>
      <c r="K153" s="227"/>
      <c r="L153" s="224"/>
      <c r="M153" s="224"/>
      <c r="N153" s="224"/>
      <c r="O153" s="224"/>
      <c r="P153" s="224"/>
      <c r="Q153" s="224"/>
      <c r="R153" s="224"/>
      <c r="S153" s="224"/>
      <c r="T153" s="224"/>
      <c r="U153" s="224"/>
      <c r="V153" s="224"/>
      <c r="W153" s="106"/>
    </row>
    <row r="154" spans="1:23" s="101" customFormat="1" x14ac:dyDescent="0.3">
      <c r="A154" s="222"/>
      <c r="B154" s="235"/>
      <c r="C154" s="227"/>
      <c r="D154" s="344"/>
      <c r="E154" s="235"/>
      <c r="F154" s="235"/>
      <c r="G154" s="227"/>
      <c r="H154" s="227"/>
      <c r="I154" s="350"/>
      <c r="J154" s="227"/>
      <c r="K154" s="227"/>
      <c r="L154" s="224"/>
      <c r="M154" s="224"/>
      <c r="N154" s="224"/>
      <c r="O154" s="224"/>
      <c r="P154" s="224"/>
      <c r="Q154" s="224"/>
      <c r="R154" s="224"/>
      <c r="S154" s="224"/>
      <c r="T154" s="224"/>
      <c r="U154" s="224"/>
      <c r="V154" s="224"/>
      <c r="W154" s="106"/>
    </row>
    <row r="155" spans="1:23" s="101" customFormat="1" x14ac:dyDescent="0.3">
      <c r="A155" s="222"/>
      <c r="B155" s="235"/>
      <c r="C155" s="227"/>
      <c r="D155" s="344"/>
      <c r="E155" s="235"/>
      <c r="F155" s="235"/>
      <c r="G155" s="227"/>
      <c r="H155" s="227"/>
      <c r="I155" s="350"/>
      <c r="J155" s="227"/>
      <c r="K155" s="227"/>
      <c r="L155" s="224"/>
      <c r="M155" s="224"/>
      <c r="N155" s="224"/>
      <c r="O155" s="224"/>
      <c r="P155" s="224"/>
      <c r="Q155" s="224"/>
      <c r="R155" s="224"/>
      <c r="S155" s="224"/>
      <c r="T155" s="224"/>
      <c r="U155" s="224"/>
      <c r="V155" s="224"/>
      <c r="W155" s="106"/>
    </row>
    <row r="156" spans="1:23" s="101" customFormat="1" x14ac:dyDescent="0.3">
      <c r="A156" s="222"/>
      <c r="B156" s="235"/>
      <c r="C156" s="227"/>
      <c r="D156" s="344"/>
      <c r="E156" s="235"/>
      <c r="F156" s="235"/>
      <c r="G156" s="227"/>
      <c r="H156" s="227"/>
      <c r="I156" s="350"/>
      <c r="J156" s="227"/>
      <c r="K156" s="227"/>
      <c r="L156" s="224"/>
      <c r="M156" s="224"/>
      <c r="N156" s="224"/>
      <c r="O156" s="224"/>
      <c r="P156" s="224"/>
      <c r="Q156" s="224"/>
      <c r="R156" s="224"/>
      <c r="S156" s="224"/>
      <c r="T156" s="224"/>
      <c r="U156" s="224"/>
      <c r="V156" s="224"/>
      <c r="W156" s="106"/>
    </row>
    <row r="157" spans="1:23" s="101" customFormat="1" x14ac:dyDescent="0.3">
      <c r="A157" s="222"/>
      <c r="B157" s="235"/>
      <c r="C157" s="227"/>
      <c r="D157" s="344"/>
      <c r="E157" s="235"/>
      <c r="F157" s="235"/>
      <c r="G157" s="227"/>
      <c r="H157" s="227"/>
      <c r="I157" s="350"/>
      <c r="J157" s="227"/>
      <c r="K157" s="227"/>
      <c r="L157" s="224"/>
      <c r="M157" s="224"/>
      <c r="N157" s="224"/>
      <c r="O157" s="224"/>
      <c r="P157" s="224"/>
      <c r="Q157" s="224"/>
      <c r="R157" s="224"/>
      <c r="S157" s="224"/>
      <c r="T157" s="224"/>
      <c r="U157" s="224"/>
      <c r="V157" s="224"/>
      <c r="W157" s="106"/>
    </row>
    <row r="158" spans="1:23" s="101" customFormat="1" x14ac:dyDescent="0.3">
      <c r="A158" s="222"/>
      <c r="B158" s="235"/>
      <c r="C158" s="227"/>
      <c r="D158" s="344"/>
      <c r="E158" s="235"/>
      <c r="F158" s="235"/>
      <c r="G158" s="227"/>
      <c r="H158" s="227"/>
      <c r="I158" s="350"/>
      <c r="J158" s="227"/>
      <c r="K158" s="227"/>
      <c r="L158" s="224"/>
      <c r="M158" s="224"/>
      <c r="N158" s="224"/>
      <c r="O158" s="224"/>
      <c r="P158" s="224"/>
      <c r="Q158" s="224"/>
      <c r="R158" s="224"/>
      <c r="S158" s="224"/>
      <c r="T158" s="224"/>
      <c r="U158" s="224"/>
      <c r="V158" s="224"/>
      <c r="W158" s="106"/>
    </row>
    <row r="159" spans="1:23" s="101" customFormat="1" x14ac:dyDescent="0.3">
      <c r="A159" s="222"/>
      <c r="B159" s="235"/>
      <c r="C159" s="227"/>
      <c r="D159" s="344"/>
      <c r="E159" s="235"/>
      <c r="F159" s="235"/>
      <c r="G159" s="227"/>
      <c r="H159" s="227"/>
      <c r="I159" s="350"/>
      <c r="J159" s="227"/>
      <c r="K159" s="227"/>
      <c r="L159" s="224"/>
      <c r="M159" s="224"/>
      <c r="N159" s="224"/>
      <c r="O159" s="224"/>
      <c r="P159" s="224"/>
      <c r="Q159" s="224"/>
      <c r="R159" s="224"/>
      <c r="S159" s="224"/>
      <c r="T159" s="224"/>
      <c r="U159" s="224"/>
      <c r="V159" s="224"/>
      <c r="W159" s="106"/>
    </row>
    <row r="160" spans="1:23" s="101" customFormat="1" x14ac:dyDescent="0.3">
      <c r="A160" s="222"/>
      <c r="B160" s="235"/>
      <c r="C160" s="227"/>
      <c r="D160" s="344"/>
      <c r="E160" s="235"/>
      <c r="F160" s="235"/>
      <c r="G160" s="227"/>
      <c r="H160" s="227"/>
      <c r="I160" s="350"/>
      <c r="J160" s="227"/>
      <c r="K160" s="227"/>
      <c r="L160" s="224"/>
      <c r="M160" s="224"/>
      <c r="N160" s="224"/>
      <c r="O160" s="224"/>
      <c r="P160" s="224"/>
      <c r="Q160" s="224"/>
      <c r="R160" s="224"/>
      <c r="S160" s="224"/>
      <c r="T160" s="224"/>
      <c r="U160" s="224"/>
      <c r="V160" s="224"/>
      <c r="W160" s="106"/>
    </row>
    <row r="161" spans="1:23" s="101" customFormat="1" x14ac:dyDescent="0.3">
      <c r="A161" s="222"/>
      <c r="B161" s="235"/>
      <c r="C161" s="227"/>
      <c r="D161" s="344"/>
      <c r="E161" s="235"/>
      <c r="F161" s="235"/>
      <c r="G161" s="227"/>
      <c r="H161" s="227"/>
      <c r="I161" s="350"/>
      <c r="J161" s="227"/>
      <c r="K161" s="227"/>
      <c r="L161" s="224"/>
      <c r="M161" s="224"/>
      <c r="N161" s="224"/>
      <c r="O161" s="224"/>
      <c r="P161" s="224"/>
      <c r="Q161" s="224"/>
      <c r="R161" s="224"/>
      <c r="S161" s="224"/>
      <c r="T161" s="224"/>
      <c r="U161" s="224"/>
      <c r="V161" s="224"/>
      <c r="W161" s="106"/>
    </row>
    <row r="162" spans="1:23" s="101" customFormat="1" x14ac:dyDescent="0.3">
      <c r="A162" s="222"/>
      <c r="B162" s="235"/>
      <c r="C162" s="227"/>
      <c r="D162" s="344"/>
      <c r="E162" s="235"/>
      <c r="F162" s="235"/>
      <c r="G162" s="227"/>
      <c r="H162" s="227"/>
      <c r="I162" s="350"/>
      <c r="J162" s="227"/>
      <c r="K162" s="227"/>
      <c r="L162" s="224"/>
      <c r="M162" s="224"/>
      <c r="N162" s="224"/>
      <c r="O162" s="224"/>
      <c r="P162" s="224"/>
      <c r="Q162" s="224"/>
      <c r="R162" s="224"/>
      <c r="S162" s="224"/>
      <c r="T162" s="224"/>
      <c r="U162" s="224"/>
      <c r="V162" s="224"/>
      <c r="W162" s="106"/>
    </row>
    <row r="163" spans="1:23" s="101" customFormat="1" x14ac:dyDescent="0.3">
      <c r="A163" s="222"/>
      <c r="B163" s="235"/>
      <c r="C163" s="227"/>
      <c r="D163" s="344"/>
      <c r="E163" s="235"/>
      <c r="F163" s="235"/>
      <c r="G163" s="227"/>
      <c r="H163" s="227"/>
      <c r="I163" s="350"/>
      <c r="J163" s="227"/>
      <c r="K163" s="227"/>
      <c r="L163" s="224"/>
      <c r="M163" s="224"/>
      <c r="N163" s="224"/>
      <c r="O163" s="224"/>
      <c r="P163" s="224"/>
      <c r="Q163" s="224"/>
      <c r="R163" s="224"/>
      <c r="S163" s="224"/>
      <c r="T163" s="224"/>
      <c r="U163" s="224"/>
      <c r="V163" s="224"/>
      <c r="W163" s="106"/>
    </row>
    <row r="164" spans="1:23" s="101" customFormat="1" x14ac:dyDescent="0.3">
      <c r="A164" s="222"/>
      <c r="B164" s="235"/>
      <c r="C164" s="227"/>
      <c r="D164" s="344"/>
      <c r="E164" s="235"/>
      <c r="F164" s="235"/>
      <c r="G164" s="227"/>
      <c r="H164" s="227"/>
      <c r="I164" s="350"/>
      <c r="J164" s="227"/>
      <c r="K164" s="227"/>
      <c r="L164" s="224"/>
      <c r="M164" s="224"/>
      <c r="N164" s="224"/>
      <c r="O164" s="224"/>
      <c r="P164" s="224"/>
      <c r="Q164" s="224"/>
      <c r="R164" s="224"/>
      <c r="S164" s="224"/>
      <c r="T164" s="224"/>
      <c r="U164" s="224"/>
      <c r="V164" s="224"/>
      <c r="W164" s="106"/>
    </row>
    <row r="165" spans="1:23" s="101" customFormat="1" x14ac:dyDescent="0.3">
      <c r="A165" s="222"/>
      <c r="B165" s="235"/>
      <c r="C165" s="227"/>
      <c r="D165" s="344"/>
      <c r="E165" s="235"/>
      <c r="F165" s="235"/>
      <c r="G165" s="227"/>
      <c r="H165" s="227"/>
      <c r="I165" s="350"/>
      <c r="J165" s="227"/>
      <c r="K165" s="227"/>
      <c r="L165" s="224"/>
      <c r="M165" s="224"/>
      <c r="N165" s="224"/>
      <c r="O165" s="224"/>
      <c r="P165" s="224"/>
      <c r="Q165" s="224"/>
      <c r="R165" s="224"/>
      <c r="S165" s="224"/>
      <c r="T165" s="224"/>
      <c r="U165" s="224"/>
      <c r="V165" s="224"/>
      <c r="W165" s="106"/>
    </row>
    <row r="166" spans="1:23" s="101" customFormat="1" x14ac:dyDescent="0.3">
      <c r="A166" s="222"/>
      <c r="B166" s="235"/>
      <c r="C166" s="227"/>
      <c r="D166" s="344"/>
      <c r="E166" s="235"/>
      <c r="F166" s="235"/>
      <c r="G166" s="227"/>
      <c r="H166" s="227"/>
      <c r="I166" s="350"/>
      <c r="J166" s="227"/>
      <c r="K166" s="227"/>
      <c r="L166" s="224"/>
      <c r="M166" s="224"/>
      <c r="N166" s="224"/>
      <c r="O166" s="224"/>
      <c r="P166" s="224"/>
      <c r="Q166" s="224"/>
      <c r="R166" s="224"/>
      <c r="S166" s="224"/>
      <c r="T166" s="224"/>
      <c r="U166" s="224"/>
      <c r="V166" s="224"/>
      <c r="W166" s="106"/>
    </row>
    <row r="167" spans="1:23" s="101" customFormat="1" x14ac:dyDescent="0.3">
      <c r="A167" s="222"/>
      <c r="B167" s="235"/>
      <c r="C167" s="227"/>
      <c r="D167" s="344"/>
      <c r="E167" s="235"/>
      <c r="F167" s="235"/>
      <c r="G167" s="227"/>
      <c r="H167" s="227"/>
      <c r="I167" s="350"/>
      <c r="J167" s="227"/>
      <c r="K167" s="227"/>
      <c r="L167" s="224"/>
      <c r="M167" s="224"/>
      <c r="N167" s="224"/>
      <c r="O167" s="224"/>
      <c r="P167" s="224"/>
      <c r="Q167" s="224"/>
      <c r="R167" s="224"/>
      <c r="S167" s="224"/>
      <c r="T167" s="224"/>
      <c r="U167" s="224"/>
      <c r="V167" s="224"/>
      <c r="W167" s="106"/>
    </row>
    <row r="168" spans="1:23" s="101" customFormat="1" x14ac:dyDescent="0.3">
      <c r="A168" s="222"/>
      <c r="B168" s="235"/>
      <c r="C168" s="227"/>
      <c r="D168" s="344"/>
      <c r="E168" s="235"/>
      <c r="F168" s="235"/>
      <c r="G168" s="227"/>
      <c r="H168" s="227"/>
      <c r="I168" s="350"/>
      <c r="J168" s="227"/>
      <c r="K168" s="227"/>
      <c r="L168" s="224"/>
      <c r="M168" s="224"/>
      <c r="N168" s="224"/>
      <c r="O168" s="224"/>
      <c r="P168" s="224"/>
      <c r="Q168" s="224"/>
      <c r="R168" s="224"/>
      <c r="S168" s="224"/>
      <c r="T168" s="224"/>
      <c r="U168" s="224"/>
      <c r="V168" s="224"/>
      <c r="W168" s="106"/>
    </row>
    <row r="169" spans="1:23" s="101" customFormat="1" x14ac:dyDescent="0.3">
      <c r="A169" s="222"/>
      <c r="B169" s="235"/>
      <c r="C169" s="227"/>
      <c r="D169" s="344"/>
      <c r="E169" s="235"/>
      <c r="F169" s="235"/>
      <c r="G169" s="227"/>
      <c r="H169" s="227"/>
      <c r="I169" s="350"/>
      <c r="J169" s="227"/>
      <c r="K169" s="227"/>
      <c r="L169" s="224"/>
      <c r="M169" s="224"/>
      <c r="N169" s="224"/>
      <c r="O169" s="224"/>
      <c r="P169" s="224"/>
      <c r="Q169" s="224"/>
      <c r="R169" s="224"/>
      <c r="S169" s="224"/>
      <c r="T169" s="224"/>
      <c r="U169" s="224"/>
      <c r="V169" s="224"/>
      <c r="W169" s="106"/>
    </row>
    <row r="170" spans="1:23" s="101" customFormat="1" x14ac:dyDescent="0.3">
      <c r="A170" s="222"/>
      <c r="B170" s="235"/>
      <c r="C170" s="227"/>
      <c r="D170" s="344"/>
      <c r="E170" s="235"/>
      <c r="F170" s="235"/>
      <c r="G170" s="227"/>
      <c r="H170" s="227"/>
      <c r="I170" s="350"/>
      <c r="J170" s="227"/>
      <c r="K170" s="227"/>
      <c r="L170" s="224"/>
      <c r="M170" s="224"/>
      <c r="N170" s="224"/>
      <c r="O170" s="224"/>
      <c r="P170" s="224"/>
      <c r="Q170" s="224"/>
      <c r="R170" s="224"/>
      <c r="S170" s="224"/>
      <c r="T170" s="224"/>
      <c r="U170" s="224"/>
      <c r="V170" s="224"/>
      <c r="W170" s="106"/>
    </row>
    <row r="171" spans="1:23" s="101" customFormat="1" x14ac:dyDescent="0.3">
      <c r="A171" s="222"/>
      <c r="B171" s="235"/>
      <c r="C171" s="227"/>
      <c r="D171" s="344"/>
      <c r="E171" s="235"/>
      <c r="F171" s="235"/>
      <c r="G171" s="227"/>
      <c r="H171" s="227"/>
      <c r="I171" s="350"/>
      <c r="J171" s="227"/>
      <c r="K171" s="227"/>
      <c r="L171" s="224"/>
      <c r="M171" s="224"/>
      <c r="N171" s="224"/>
      <c r="O171" s="224"/>
      <c r="P171" s="224"/>
      <c r="Q171" s="224"/>
      <c r="R171" s="224"/>
      <c r="S171" s="224"/>
      <c r="T171" s="224"/>
      <c r="U171" s="224"/>
      <c r="V171" s="224"/>
      <c r="W171" s="106"/>
    </row>
    <row r="172" spans="1:23" s="101" customFormat="1" x14ac:dyDescent="0.3">
      <c r="A172" s="222"/>
      <c r="B172" s="235"/>
      <c r="C172" s="227"/>
      <c r="D172" s="344"/>
      <c r="E172" s="235"/>
      <c r="F172" s="235"/>
      <c r="G172" s="227"/>
      <c r="H172" s="227"/>
      <c r="I172" s="350"/>
      <c r="J172" s="227"/>
      <c r="K172" s="227"/>
      <c r="L172" s="224"/>
      <c r="M172" s="224"/>
      <c r="N172" s="224"/>
      <c r="O172" s="224"/>
      <c r="P172" s="224"/>
      <c r="Q172" s="224"/>
      <c r="R172" s="224"/>
      <c r="S172" s="224"/>
      <c r="T172" s="224"/>
      <c r="U172" s="224"/>
      <c r="V172" s="224"/>
      <c r="W172" s="106"/>
    </row>
    <row r="173" spans="1:23" s="101" customFormat="1" x14ac:dyDescent="0.3">
      <c r="A173" s="222"/>
      <c r="B173" s="235"/>
      <c r="C173" s="227"/>
      <c r="D173" s="344"/>
      <c r="E173" s="235"/>
      <c r="F173" s="235"/>
      <c r="G173" s="227"/>
      <c r="H173" s="227"/>
      <c r="I173" s="350"/>
      <c r="J173" s="227"/>
      <c r="K173" s="227"/>
      <c r="L173" s="224"/>
      <c r="M173" s="224"/>
      <c r="N173" s="224"/>
      <c r="O173" s="224"/>
      <c r="P173" s="224"/>
      <c r="Q173" s="224"/>
      <c r="R173" s="224"/>
      <c r="S173" s="224"/>
      <c r="T173" s="224"/>
      <c r="U173" s="224"/>
      <c r="V173" s="224"/>
      <c r="W173" s="106"/>
    </row>
    <row r="174" spans="1:23" s="101" customFormat="1" x14ac:dyDescent="0.3">
      <c r="A174" s="222"/>
      <c r="B174" s="235"/>
      <c r="C174" s="227"/>
      <c r="D174" s="344"/>
      <c r="E174" s="235"/>
      <c r="F174" s="235"/>
      <c r="G174" s="227"/>
      <c r="H174" s="227"/>
      <c r="I174" s="350"/>
      <c r="J174" s="227"/>
      <c r="K174" s="227"/>
      <c r="L174" s="224"/>
      <c r="M174" s="224"/>
      <c r="N174" s="224"/>
      <c r="O174" s="224"/>
      <c r="P174" s="224"/>
      <c r="Q174" s="224"/>
      <c r="R174" s="224"/>
      <c r="S174" s="224"/>
      <c r="T174" s="224"/>
      <c r="U174" s="224"/>
      <c r="V174" s="224"/>
      <c r="W174" s="106"/>
    </row>
    <row r="175" spans="1:23" s="101" customFormat="1" x14ac:dyDescent="0.3">
      <c r="A175" s="222"/>
      <c r="B175" s="235"/>
      <c r="C175" s="227"/>
      <c r="D175" s="344"/>
      <c r="E175" s="235"/>
      <c r="F175" s="235"/>
      <c r="G175" s="227"/>
      <c r="H175" s="227"/>
      <c r="I175" s="350"/>
      <c r="J175" s="227"/>
      <c r="K175" s="227"/>
      <c r="L175" s="224"/>
      <c r="M175" s="224"/>
      <c r="N175" s="224"/>
      <c r="O175" s="224"/>
      <c r="P175" s="224"/>
      <c r="Q175" s="224"/>
      <c r="R175" s="224"/>
      <c r="S175" s="224"/>
      <c r="T175" s="224"/>
      <c r="U175" s="224"/>
      <c r="V175" s="224"/>
      <c r="W175" s="106"/>
    </row>
    <row r="176" spans="1:23" s="101" customFormat="1" x14ac:dyDescent="0.3">
      <c r="A176" s="222"/>
      <c r="B176" s="235"/>
      <c r="C176" s="227"/>
      <c r="D176" s="344"/>
      <c r="E176" s="235"/>
      <c r="F176" s="235"/>
      <c r="G176" s="227"/>
      <c r="H176" s="227"/>
      <c r="I176" s="350"/>
      <c r="J176" s="227"/>
      <c r="K176" s="227"/>
      <c r="L176" s="224"/>
      <c r="M176" s="224"/>
      <c r="N176" s="224"/>
      <c r="O176" s="224"/>
      <c r="P176" s="224"/>
      <c r="Q176" s="224"/>
      <c r="R176" s="224"/>
      <c r="S176" s="224"/>
      <c r="T176" s="224"/>
      <c r="U176" s="224"/>
      <c r="V176" s="224"/>
      <c r="W176" s="106"/>
    </row>
    <row r="177" spans="1:23" s="101" customFormat="1" x14ac:dyDescent="0.3">
      <c r="A177" s="222"/>
      <c r="B177" s="235"/>
      <c r="C177" s="227"/>
      <c r="D177" s="344"/>
      <c r="E177" s="235"/>
      <c r="F177" s="235"/>
      <c r="G177" s="227"/>
      <c r="H177" s="227"/>
      <c r="I177" s="350"/>
      <c r="J177" s="227"/>
      <c r="K177" s="227"/>
      <c r="L177" s="224"/>
      <c r="M177" s="224"/>
      <c r="N177" s="224"/>
      <c r="O177" s="224"/>
      <c r="P177" s="224"/>
      <c r="Q177" s="224"/>
      <c r="R177" s="224"/>
      <c r="S177" s="224"/>
      <c r="T177" s="224"/>
      <c r="U177" s="224"/>
      <c r="V177" s="224"/>
      <c r="W177" s="106"/>
    </row>
    <row r="178" spans="1:23" s="101" customFormat="1" x14ac:dyDescent="0.3">
      <c r="A178" s="222"/>
      <c r="B178" s="235"/>
      <c r="C178" s="227"/>
      <c r="D178" s="344"/>
      <c r="E178" s="235"/>
      <c r="F178" s="235"/>
      <c r="G178" s="227"/>
      <c r="H178" s="227"/>
      <c r="I178" s="350"/>
      <c r="J178" s="227"/>
      <c r="K178" s="227"/>
      <c r="L178" s="224"/>
      <c r="M178" s="224"/>
      <c r="N178" s="224"/>
      <c r="O178" s="224"/>
      <c r="P178" s="224"/>
      <c r="Q178" s="224"/>
      <c r="R178" s="224"/>
      <c r="S178" s="224"/>
      <c r="T178" s="224"/>
      <c r="U178" s="224"/>
      <c r="V178" s="224"/>
      <c r="W178" s="106"/>
    </row>
    <row r="179" spans="1:23" s="101" customFormat="1" x14ac:dyDescent="0.3">
      <c r="A179" s="222"/>
      <c r="B179" s="235"/>
      <c r="C179" s="227"/>
      <c r="D179" s="344"/>
      <c r="E179" s="235"/>
      <c r="F179" s="235"/>
      <c r="G179" s="227"/>
      <c r="H179" s="227"/>
      <c r="I179" s="350"/>
      <c r="J179" s="227"/>
      <c r="K179" s="227"/>
      <c r="L179" s="224"/>
      <c r="M179" s="224"/>
      <c r="N179" s="224"/>
      <c r="O179" s="224"/>
      <c r="P179" s="224"/>
      <c r="Q179" s="224"/>
      <c r="R179" s="224"/>
      <c r="S179" s="224"/>
      <c r="T179" s="224"/>
      <c r="U179" s="224"/>
      <c r="V179" s="224"/>
      <c r="W179" s="106"/>
    </row>
    <row r="180" spans="1:23" s="101" customFormat="1" x14ac:dyDescent="0.3">
      <c r="A180" s="222"/>
      <c r="B180" s="235"/>
      <c r="C180" s="227"/>
      <c r="D180" s="344"/>
      <c r="E180" s="235"/>
      <c r="F180" s="235"/>
      <c r="G180" s="227"/>
      <c r="H180" s="227"/>
      <c r="I180" s="350"/>
      <c r="J180" s="227"/>
      <c r="K180" s="227"/>
      <c r="L180" s="224"/>
      <c r="M180" s="224"/>
      <c r="N180" s="224"/>
      <c r="O180" s="224"/>
      <c r="P180" s="224"/>
      <c r="Q180" s="224"/>
      <c r="R180" s="224"/>
      <c r="S180" s="224"/>
      <c r="T180" s="224"/>
      <c r="U180" s="224"/>
      <c r="V180" s="224"/>
      <c r="W180" s="106"/>
    </row>
    <row r="181" spans="1:23" s="101" customFormat="1" x14ac:dyDescent="0.3">
      <c r="A181" s="222"/>
      <c r="B181" s="235"/>
      <c r="C181" s="227"/>
      <c r="D181" s="344"/>
      <c r="E181" s="235"/>
      <c r="F181" s="235"/>
      <c r="G181" s="227"/>
      <c r="H181" s="227"/>
      <c r="I181" s="350"/>
      <c r="J181" s="227"/>
      <c r="K181" s="227"/>
      <c r="L181" s="224"/>
      <c r="M181" s="224"/>
      <c r="N181" s="224"/>
      <c r="O181" s="224"/>
      <c r="P181" s="224"/>
      <c r="Q181" s="224"/>
      <c r="R181" s="224"/>
      <c r="S181" s="224"/>
      <c r="T181" s="224"/>
      <c r="U181" s="224"/>
      <c r="V181" s="224"/>
      <c r="W181" s="106"/>
    </row>
    <row r="182" spans="1:23" s="101" customFormat="1" x14ac:dyDescent="0.3">
      <c r="A182" s="222"/>
      <c r="B182" s="235"/>
      <c r="C182" s="227"/>
      <c r="D182" s="344"/>
      <c r="E182" s="235"/>
      <c r="F182" s="235"/>
      <c r="G182" s="227"/>
      <c r="H182" s="227"/>
      <c r="I182" s="350"/>
      <c r="J182" s="227"/>
      <c r="K182" s="227"/>
      <c r="L182" s="224"/>
      <c r="M182" s="224"/>
      <c r="N182" s="224"/>
      <c r="O182" s="224"/>
      <c r="P182" s="224"/>
      <c r="Q182" s="224"/>
      <c r="R182" s="224"/>
      <c r="S182" s="224"/>
      <c r="T182" s="224"/>
      <c r="U182" s="224"/>
      <c r="V182" s="224"/>
      <c r="W182" s="106"/>
    </row>
    <row r="183" spans="1:23" s="101" customFormat="1" x14ac:dyDescent="0.3">
      <c r="A183" s="222"/>
      <c r="B183" s="235"/>
      <c r="C183" s="227"/>
      <c r="D183" s="344"/>
      <c r="E183" s="235"/>
      <c r="F183" s="235"/>
      <c r="G183" s="227"/>
      <c r="H183" s="227"/>
      <c r="I183" s="350"/>
      <c r="J183" s="227"/>
      <c r="K183" s="227"/>
      <c r="L183" s="224"/>
      <c r="M183" s="224"/>
      <c r="N183" s="224"/>
      <c r="O183" s="224"/>
      <c r="P183" s="224"/>
      <c r="Q183" s="224"/>
      <c r="R183" s="224"/>
      <c r="S183" s="224"/>
      <c r="T183" s="224"/>
      <c r="U183" s="224"/>
      <c r="V183" s="224"/>
      <c r="W183" s="106"/>
    </row>
    <row r="184" spans="1:23" s="101" customFormat="1" x14ac:dyDescent="0.3">
      <c r="A184" s="222"/>
      <c r="B184" s="235"/>
      <c r="C184" s="227"/>
      <c r="D184" s="344"/>
      <c r="E184" s="235"/>
      <c r="F184" s="235"/>
      <c r="G184" s="227"/>
      <c r="H184" s="227"/>
      <c r="I184" s="350"/>
      <c r="J184" s="227"/>
      <c r="K184" s="227"/>
      <c r="L184" s="224"/>
      <c r="M184" s="224"/>
      <c r="N184" s="224"/>
      <c r="O184" s="224"/>
      <c r="P184" s="224"/>
      <c r="Q184" s="224"/>
      <c r="R184" s="224"/>
      <c r="S184" s="224"/>
      <c r="T184" s="224"/>
      <c r="U184" s="224"/>
      <c r="V184" s="224"/>
      <c r="W184" s="106"/>
    </row>
    <row r="185" spans="1:23" s="101" customFormat="1" x14ac:dyDescent="0.3">
      <c r="A185" s="222"/>
      <c r="B185" s="235"/>
      <c r="C185" s="227"/>
      <c r="D185" s="344"/>
      <c r="E185" s="235"/>
      <c r="F185" s="235"/>
      <c r="G185" s="227"/>
      <c r="H185" s="227"/>
      <c r="I185" s="350"/>
      <c r="J185" s="227"/>
      <c r="K185" s="227"/>
      <c r="L185" s="224"/>
      <c r="M185" s="224"/>
      <c r="N185" s="224"/>
      <c r="O185" s="224"/>
      <c r="P185" s="224"/>
      <c r="Q185" s="224"/>
      <c r="R185" s="224"/>
      <c r="S185" s="224"/>
      <c r="T185" s="224"/>
      <c r="U185" s="224"/>
      <c r="V185" s="224"/>
      <c r="W185" s="106"/>
    </row>
    <row r="186" spans="1:23" s="101" customFormat="1" x14ac:dyDescent="0.3">
      <c r="A186" s="222"/>
      <c r="B186" s="235"/>
      <c r="C186" s="227"/>
      <c r="D186" s="344"/>
      <c r="E186" s="235"/>
      <c r="F186" s="235"/>
      <c r="G186" s="227"/>
      <c r="H186" s="227"/>
      <c r="I186" s="350"/>
      <c r="J186" s="227"/>
      <c r="K186" s="227"/>
      <c r="L186" s="224"/>
      <c r="M186" s="224"/>
      <c r="N186" s="224"/>
      <c r="O186" s="224"/>
      <c r="P186" s="224"/>
      <c r="Q186" s="224"/>
      <c r="R186" s="224"/>
      <c r="S186" s="224"/>
      <c r="T186" s="224"/>
      <c r="U186" s="224"/>
      <c r="V186" s="224"/>
      <c r="W186" s="106"/>
    </row>
    <row r="187" spans="1:23" s="101" customFormat="1" x14ac:dyDescent="0.3">
      <c r="A187" s="222"/>
      <c r="B187" s="235"/>
      <c r="C187" s="227"/>
      <c r="D187" s="344"/>
      <c r="E187" s="235"/>
      <c r="F187" s="235"/>
      <c r="G187" s="227"/>
      <c r="H187" s="227"/>
      <c r="I187" s="350"/>
      <c r="J187" s="227"/>
      <c r="K187" s="227"/>
      <c r="L187" s="224"/>
      <c r="M187" s="224"/>
      <c r="N187" s="224"/>
      <c r="O187" s="224"/>
      <c r="P187" s="224"/>
      <c r="Q187" s="224"/>
      <c r="R187" s="224"/>
      <c r="S187" s="224"/>
      <c r="T187" s="224"/>
      <c r="U187" s="224"/>
      <c r="V187" s="224"/>
      <c r="W187" s="106"/>
    </row>
    <row r="188" spans="1:23" s="101" customFormat="1" x14ac:dyDescent="0.3">
      <c r="A188" s="222"/>
      <c r="B188" s="235"/>
      <c r="C188" s="227"/>
      <c r="D188" s="344"/>
      <c r="E188" s="235"/>
      <c r="F188" s="235"/>
      <c r="G188" s="227"/>
      <c r="H188" s="227"/>
      <c r="I188" s="350"/>
      <c r="J188" s="227"/>
      <c r="K188" s="227"/>
      <c r="L188" s="224"/>
      <c r="M188" s="224"/>
      <c r="N188" s="224"/>
      <c r="O188" s="224"/>
      <c r="P188" s="224"/>
      <c r="Q188" s="224"/>
      <c r="R188" s="224"/>
      <c r="S188" s="224"/>
      <c r="T188" s="224"/>
      <c r="U188" s="224"/>
      <c r="V188" s="224"/>
      <c r="W188" s="106"/>
    </row>
    <row r="189" spans="1:23" s="101" customFormat="1" x14ac:dyDescent="0.3">
      <c r="A189" s="222"/>
      <c r="B189" s="235"/>
      <c r="C189" s="227"/>
      <c r="D189" s="344"/>
      <c r="E189" s="235"/>
      <c r="F189" s="235"/>
      <c r="G189" s="227"/>
      <c r="H189" s="227"/>
      <c r="I189" s="350"/>
      <c r="J189" s="227"/>
      <c r="K189" s="227"/>
      <c r="L189" s="224"/>
      <c r="M189" s="224"/>
      <c r="N189" s="224"/>
      <c r="O189" s="224"/>
      <c r="P189" s="224"/>
      <c r="Q189" s="224"/>
      <c r="R189" s="224"/>
      <c r="S189" s="224"/>
      <c r="T189" s="224"/>
      <c r="U189" s="224"/>
      <c r="V189" s="224"/>
      <c r="W189" s="106"/>
    </row>
    <row r="190" spans="1:23" s="101" customFormat="1" x14ac:dyDescent="0.3">
      <c r="A190" s="222"/>
      <c r="B190" s="235"/>
      <c r="C190" s="227"/>
      <c r="D190" s="344"/>
      <c r="E190" s="235"/>
      <c r="F190" s="235"/>
      <c r="G190" s="227"/>
      <c r="H190" s="227"/>
      <c r="I190" s="350"/>
      <c r="J190" s="227"/>
      <c r="K190" s="227"/>
      <c r="L190" s="224"/>
      <c r="M190" s="224"/>
      <c r="N190" s="224"/>
      <c r="O190" s="224"/>
      <c r="P190" s="224"/>
      <c r="Q190" s="224"/>
      <c r="R190" s="224"/>
      <c r="S190" s="224"/>
      <c r="T190" s="224"/>
      <c r="U190" s="224"/>
      <c r="V190" s="224"/>
      <c r="W190" s="106"/>
    </row>
    <row r="191" spans="1:23" s="101" customFormat="1" x14ac:dyDescent="0.3">
      <c r="A191" s="222"/>
      <c r="B191" s="235"/>
      <c r="C191" s="227"/>
      <c r="D191" s="344"/>
      <c r="E191" s="235"/>
      <c r="F191" s="235"/>
      <c r="G191" s="227"/>
      <c r="H191" s="227"/>
      <c r="I191" s="350"/>
      <c r="J191" s="227"/>
      <c r="K191" s="227"/>
      <c r="L191" s="224"/>
      <c r="M191" s="224"/>
      <c r="N191" s="224"/>
      <c r="O191" s="224"/>
      <c r="P191" s="224"/>
      <c r="Q191" s="224"/>
      <c r="R191" s="224"/>
      <c r="S191" s="224"/>
      <c r="T191" s="224"/>
      <c r="U191" s="224"/>
      <c r="V191" s="224"/>
      <c r="W191" s="106"/>
    </row>
    <row r="192" spans="1:23" s="101" customFormat="1" x14ac:dyDescent="0.3">
      <c r="A192" s="222"/>
      <c r="B192" s="235"/>
      <c r="C192" s="227"/>
      <c r="D192" s="344"/>
      <c r="E192" s="235"/>
      <c r="F192" s="235"/>
      <c r="G192" s="227"/>
      <c r="H192" s="227"/>
      <c r="I192" s="350"/>
      <c r="J192" s="227"/>
      <c r="K192" s="227"/>
      <c r="L192" s="224"/>
      <c r="M192" s="224"/>
      <c r="N192" s="224"/>
      <c r="O192" s="224"/>
      <c r="P192" s="224"/>
      <c r="Q192" s="224"/>
      <c r="R192" s="224"/>
      <c r="S192" s="224"/>
      <c r="T192" s="224"/>
      <c r="U192" s="224"/>
      <c r="V192" s="224"/>
      <c r="W192" s="106"/>
    </row>
    <row r="193" spans="1:23" s="101" customFormat="1" x14ac:dyDescent="0.3">
      <c r="A193" s="222"/>
      <c r="B193" s="235"/>
      <c r="C193" s="227"/>
      <c r="D193" s="344"/>
      <c r="E193" s="235"/>
      <c r="F193" s="235"/>
      <c r="G193" s="227"/>
      <c r="H193" s="227"/>
      <c r="I193" s="350"/>
      <c r="J193" s="227"/>
      <c r="K193" s="227"/>
      <c r="L193" s="224"/>
      <c r="M193" s="224"/>
      <c r="N193" s="224"/>
      <c r="O193" s="224"/>
      <c r="P193" s="224"/>
      <c r="Q193" s="224"/>
      <c r="R193" s="224"/>
      <c r="S193" s="224"/>
      <c r="T193" s="224"/>
      <c r="U193" s="224"/>
      <c r="V193" s="224"/>
      <c r="W193" s="106"/>
    </row>
    <row r="194" spans="1:23" s="101" customFormat="1" x14ac:dyDescent="0.3">
      <c r="A194" s="222"/>
      <c r="B194" s="235"/>
      <c r="C194" s="227"/>
      <c r="D194" s="344"/>
      <c r="E194" s="235"/>
      <c r="F194" s="235"/>
      <c r="G194" s="227"/>
      <c r="H194" s="227"/>
      <c r="I194" s="350"/>
      <c r="J194" s="227"/>
      <c r="K194" s="227"/>
      <c r="L194" s="224"/>
      <c r="M194" s="224"/>
      <c r="N194" s="224"/>
      <c r="O194" s="224"/>
      <c r="P194" s="224"/>
      <c r="Q194" s="224"/>
      <c r="R194" s="224"/>
      <c r="S194" s="224"/>
      <c r="T194" s="224"/>
      <c r="U194" s="224"/>
      <c r="V194" s="224"/>
      <c r="W194" s="106"/>
    </row>
    <row r="195" spans="1:23" s="101" customFormat="1" x14ac:dyDescent="0.3">
      <c r="A195" s="222"/>
      <c r="B195" s="235"/>
      <c r="C195" s="227"/>
      <c r="D195" s="344"/>
      <c r="E195" s="235"/>
      <c r="F195" s="235"/>
      <c r="G195" s="227"/>
      <c r="H195" s="227"/>
      <c r="I195" s="350"/>
      <c r="J195" s="227"/>
      <c r="K195" s="227"/>
      <c r="L195" s="224"/>
      <c r="M195" s="224"/>
      <c r="N195" s="224"/>
      <c r="O195" s="224"/>
      <c r="P195" s="224"/>
      <c r="Q195" s="224"/>
      <c r="R195" s="224"/>
      <c r="S195" s="224"/>
      <c r="T195" s="224"/>
      <c r="U195" s="224"/>
      <c r="V195" s="224"/>
      <c r="W195" s="106"/>
    </row>
    <row r="196" spans="1:23" s="101" customFormat="1" x14ac:dyDescent="0.3">
      <c r="A196" s="222"/>
      <c r="B196" s="235"/>
      <c r="C196" s="227"/>
      <c r="D196" s="344"/>
      <c r="E196" s="235"/>
      <c r="F196" s="235"/>
      <c r="G196" s="227"/>
      <c r="H196" s="227"/>
      <c r="I196" s="350"/>
      <c r="J196" s="227"/>
      <c r="K196" s="227"/>
      <c r="L196" s="224"/>
      <c r="M196" s="224"/>
      <c r="N196" s="224"/>
      <c r="O196" s="224"/>
      <c r="P196" s="224"/>
      <c r="Q196" s="224"/>
      <c r="R196" s="224"/>
      <c r="S196" s="224"/>
      <c r="T196" s="224"/>
      <c r="U196" s="224"/>
      <c r="V196" s="224"/>
      <c r="W196" s="106"/>
    </row>
    <row r="197" spans="1:23" s="101" customFormat="1" x14ac:dyDescent="0.3">
      <c r="A197" s="222"/>
      <c r="B197" s="235"/>
      <c r="C197" s="227"/>
      <c r="D197" s="344"/>
      <c r="E197" s="235"/>
      <c r="F197" s="235"/>
      <c r="G197" s="227"/>
      <c r="H197" s="227"/>
      <c r="I197" s="350"/>
      <c r="J197" s="227"/>
      <c r="K197" s="227"/>
      <c r="L197" s="224"/>
      <c r="M197" s="224"/>
      <c r="N197" s="224"/>
      <c r="O197" s="224"/>
      <c r="P197" s="224"/>
      <c r="Q197" s="224"/>
      <c r="R197" s="224"/>
      <c r="S197" s="224"/>
      <c r="T197" s="224"/>
      <c r="U197" s="224"/>
      <c r="V197" s="224"/>
      <c r="W197" s="106"/>
    </row>
    <row r="198" spans="1:23" s="101" customFormat="1" x14ac:dyDescent="0.3">
      <c r="A198" s="222"/>
      <c r="B198" s="235"/>
      <c r="C198" s="227"/>
      <c r="D198" s="344"/>
      <c r="E198" s="235"/>
      <c r="F198" s="235"/>
      <c r="G198" s="227"/>
      <c r="H198" s="227"/>
      <c r="I198" s="350"/>
      <c r="J198" s="227"/>
      <c r="K198" s="227"/>
      <c r="L198" s="224"/>
      <c r="M198" s="224"/>
      <c r="N198" s="224"/>
      <c r="O198" s="224"/>
      <c r="P198" s="224"/>
      <c r="Q198" s="224"/>
      <c r="R198" s="224"/>
      <c r="S198" s="224"/>
      <c r="T198" s="224"/>
      <c r="U198" s="224"/>
      <c r="V198" s="224"/>
      <c r="W198" s="106"/>
    </row>
    <row r="199" spans="1:23" s="101" customFormat="1" x14ac:dyDescent="0.3">
      <c r="A199" s="222"/>
      <c r="B199" s="235"/>
      <c r="C199" s="227"/>
      <c r="D199" s="344"/>
      <c r="E199" s="235"/>
      <c r="F199" s="235"/>
      <c r="G199" s="227"/>
      <c r="H199" s="227"/>
      <c r="I199" s="350"/>
      <c r="J199" s="227"/>
      <c r="K199" s="227"/>
      <c r="L199" s="224"/>
      <c r="M199" s="224"/>
      <c r="N199" s="224"/>
      <c r="O199" s="224"/>
      <c r="P199" s="224"/>
      <c r="Q199" s="224"/>
      <c r="R199" s="224"/>
      <c r="S199" s="224"/>
      <c r="T199" s="224"/>
      <c r="U199" s="224"/>
      <c r="V199" s="224"/>
      <c r="W199" s="106"/>
    </row>
    <row r="200" spans="1:23" s="101" customFormat="1" x14ac:dyDescent="0.3">
      <c r="A200" s="222"/>
      <c r="B200" s="235"/>
      <c r="C200" s="227"/>
      <c r="D200" s="344"/>
      <c r="E200" s="235"/>
      <c r="F200" s="235"/>
      <c r="G200" s="227"/>
      <c r="H200" s="227"/>
      <c r="I200" s="350"/>
      <c r="J200" s="227"/>
      <c r="K200" s="227"/>
      <c r="L200" s="224"/>
      <c r="M200" s="224"/>
      <c r="N200" s="224"/>
      <c r="O200" s="224"/>
      <c r="P200" s="224"/>
      <c r="Q200" s="224"/>
      <c r="R200" s="224"/>
      <c r="S200" s="224"/>
      <c r="T200" s="224"/>
      <c r="U200" s="224"/>
      <c r="V200" s="224"/>
      <c r="W200" s="106"/>
    </row>
    <row r="201" spans="1:23" s="101" customFormat="1" x14ac:dyDescent="0.3">
      <c r="A201" s="222"/>
      <c r="B201" s="235"/>
      <c r="C201" s="227"/>
      <c r="D201" s="344"/>
      <c r="E201" s="235"/>
      <c r="F201" s="235"/>
      <c r="G201" s="227"/>
      <c r="H201" s="227"/>
      <c r="I201" s="350"/>
      <c r="J201" s="227"/>
      <c r="K201" s="227"/>
      <c r="L201" s="224"/>
      <c r="M201" s="224"/>
      <c r="N201" s="224"/>
      <c r="O201" s="224"/>
      <c r="P201" s="224"/>
      <c r="Q201" s="224"/>
      <c r="R201" s="224"/>
      <c r="S201" s="224"/>
      <c r="T201" s="224"/>
      <c r="U201" s="224"/>
      <c r="V201" s="224"/>
      <c r="W201" s="106"/>
    </row>
    <row r="202" spans="1:23" s="101" customFormat="1" x14ac:dyDescent="0.3">
      <c r="A202" s="222"/>
      <c r="B202" s="235"/>
      <c r="C202" s="227"/>
      <c r="D202" s="344"/>
      <c r="E202" s="235"/>
      <c r="F202" s="235"/>
      <c r="G202" s="227"/>
      <c r="H202" s="227"/>
      <c r="I202" s="350"/>
      <c r="J202" s="227"/>
      <c r="K202" s="227"/>
      <c r="L202" s="224"/>
      <c r="M202" s="224"/>
      <c r="N202" s="224"/>
      <c r="O202" s="224"/>
      <c r="P202" s="224"/>
      <c r="Q202" s="224"/>
      <c r="R202" s="224"/>
      <c r="S202" s="224"/>
      <c r="T202" s="224"/>
      <c r="U202" s="224"/>
      <c r="V202" s="224"/>
      <c r="W202" s="106"/>
    </row>
    <row r="203" spans="1:23" s="101" customFormat="1" x14ac:dyDescent="0.3">
      <c r="A203" s="222"/>
      <c r="B203" s="235"/>
      <c r="C203" s="227"/>
      <c r="D203" s="344"/>
      <c r="E203" s="235"/>
      <c r="F203" s="235"/>
      <c r="G203" s="227"/>
      <c r="H203" s="227"/>
      <c r="I203" s="350"/>
      <c r="J203" s="227"/>
      <c r="K203" s="227"/>
      <c r="L203" s="224"/>
      <c r="M203" s="224"/>
      <c r="N203" s="224"/>
      <c r="O203" s="224"/>
      <c r="P203" s="224"/>
      <c r="Q203" s="224"/>
      <c r="R203" s="224"/>
      <c r="S203" s="224"/>
      <c r="T203" s="224"/>
      <c r="U203" s="224"/>
      <c r="V203" s="224"/>
      <c r="W203" s="106"/>
    </row>
    <row r="204" spans="1:23" s="101" customFormat="1" x14ac:dyDescent="0.3">
      <c r="A204" s="222"/>
      <c r="B204" s="235"/>
      <c r="C204" s="227"/>
      <c r="D204" s="344"/>
      <c r="E204" s="235"/>
      <c r="F204" s="235"/>
      <c r="G204" s="227"/>
      <c r="H204" s="227"/>
      <c r="I204" s="350"/>
      <c r="J204" s="227"/>
      <c r="K204" s="227"/>
      <c r="L204" s="224"/>
      <c r="M204" s="224"/>
      <c r="N204" s="224"/>
      <c r="O204" s="224"/>
      <c r="P204" s="224"/>
      <c r="Q204" s="224"/>
      <c r="R204" s="224"/>
      <c r="S204" s="224"/>
      <c r="T204" s="224"/>
      <c r="U204" s="224"/>
      <c r="V204" s="224"/>
      <c r="W204" s="106"/>
    </row>
    <row r="205" spans="1:23" s="101" customFormat="1" x14ac:dyDescent="0.3">
      <c r="A205" s="222"/>
      <c r="B205" s="235"/>
      <c r="C205" s="227"/>
      <c r="D205" s="344"/>
      <c r="E205" s="235"/>
      <c r="F205" s="235"/>
      <c r="G205" s="227"/>
      <c r="H205" s="227"/>
      <c r="I205" s="350"/>
      <c r="J205" s="227"/>
      <c r="K205" s="227"/>
      <c r="L205" s="224"/>
      <c r="M205" s="224"/>
      <c r="N205" s="224"/>
      <c r="O205" s="224"/>
      <c r="P205" s="224"/>
      <c r="Q205" s="224"/>
      <c r="R205" s="224"/>
      <c r="S205" s="224"/>
      <c r="T205" s="224"/>
      <c r="U205" s="224"/>
      <c r="V205" s="224"/>
      <c r="W205" s="106"/>
    </row>
    <row r="206" spans="1:23" s="101" customFormat="1" x14ac:dyDescent="0.3">
      <c r="A206" s="222"/>
      <c r="B206" s="235"/>
      <c r="C206" s="227"/>
      <c r="D206" s="344"/>
      <c r="E206" s="235"/>
      <c r="F206" s="235"/>
      <c r="G206" s="227"/>
      <c r="H206" s="227"/>
      <c r="I206" s="350"/>
      <c r="J206" s="227"/>
      <c r="K206" s="227"/>
      <c r="L206" s="224"/>
      <c r="M206" s="224"/>
      <c r="N206" s="224"/>
      <c r="O206" s="224"/>
      <c r="P206" s="224"/>
      <c r="Q206" s="224"/>
      <c r="R206" s="224"/>
      <c r="S206" s="224"/>
      <c r="T206" s="224"/>
      <c r="U206" s="224"/>
      <c r="V206" s="224"/>
      <c r="W206" s="106"/>
    </row>
    <row r="207" spans="1:23" s="101" customFormat="1" x14ac:dyDescent="0.3">
      <c r="A207" s="222"/>
      <c r="B207" s="235"/>
      <c r="C207" s="227"/>
      <c r="D207" s="344"/>
      <c r="E207" s="235"/>
      <c r="F207" s="235"/>
      <c r="G207" s="227"/>
      <c r="H207" s="227"/>
      <c r="I207" s="350"/>
      <c r="J207" s="227"/>
      <c r="K207" s="227"/>
      <c r="L207" s="224"/>
      <c r="M207" s="224"/>
      <c r="N207" s="224"/>
      <c r="O207" s="224"/>
      <c r="P207" s="224"/>
      <c r="Q207" s="224"/>
      <c r="R207" s="224"/>
      <c r="S207" s="224"/>
      <c r="T207" s="224"/>
      <c r="U207" s="224"/>
      <c r="V207" s="224"/>
      <c r="W207" s="106"/>
    </row>
    <row r="208" spans="1:23" s="101" customFormat="1" x14ac:dyDescent="0.3">
      <c r="A208" s="222"/>
      <c r="B208" s="235"/>
      <c r="C208" s="227"/>
      <c r="D208" s="344"/>
      <c r="E208" s="235"/>
      <c r="F208" s="235"/>
      <c r="G208" s="227"/>
      <c r="H208" s="227"/>
      <c r="I208" s="350"/>
      <c r="J208" s="227"/>
      <c r="K208" s="227"/>
      <c r="L208" s="224"/>
      <c r="M208" s="224"/>
      <c r="N208" s="224"/>
      <c r="O208" s="224"/>
      <c r="P208" s="224"/>
      <c r="Q208" s="224"/>
      <c r="R208" s="224"/>
      <c r="S208" s="224"/>
      <c r="T208" s="224"/>
      <c r="U208" s="224"/>
      <c r="V208" s="224"/>
      <c r="W208" s="106"/>
    </row>
    <row r="209" spans="1:23" s="101" customFormat="1" x14ac:dyDescent="0.3">
      <c r="A209" s="222"/>
      <c r="B209" s="235"/>
      <c r="C209" s="227"/>
      <c r="D209" s="344"/>
      <c r="E209" s="235"/>
      <c r="F209" s="235"/>
      <c r="G209" s="227"/>
      <c r="H209" s="227"/>
      <c r="I209" s="350"/>
      <c r="J209" s="227"/>
      <c r="K209" s="227"/>
      <c r="L209" s="224"/>
      <c r="M209" s="224"/>
      <c r="N209" s="224"/>
      <c r="O209" s="224"/>
      <c r="P209" s="224"/>
      <c r="Q209" s="224"/>
      <c r="R209" s="224"/>
      <c r="S209" s="224"/>
      <c r="T209" s="224"/>
      <c r="U209" s="224"/>
      <c r="V209" s="224"/>
      <c r="W209" s="106"/>
    </row>
    <row r="210" spans="1:23" s="101" customFormat="1" x14ac:dyDescent="0.3">
      <c r="A210" s="222"/>
      <c r="B210" s="235"/>
      <c r="C210" s="227"/>
      <c r="D210" s="344"/>
      <c r="E210" s="235"/>
      <c r="F210" s="235"/>
      <c r="G210" s="227"/>
      <c r="H210" s="227"/>
      <c r="I210" s="350"/>
      <c r="J210" s="227"/>
      <c r="K210" s="227"/>
      <c r="L210" s="224"/>
      <c r="M210" s="224"/>
      <c r="N210" s="224"/>
      <c r="O210" s="224"/>
      <c r="P210" s="224"/>
      <c r="Q210" s="224"/>
      <c r="R210" s="224"/>
      <c r="S210" s="224"/>
      <c r="T210" s="224"/>
      <c r="U210" s="224"/>
      <c r="V210" s="224"/>
      <c r="W210" s="106"/>
    </row>
    <row r="211" spans="1:23" s="101" customFormat="1" x14ac:dyDescent="0.3">
      <c r="A211" s="222"/>
      <c r="B211" s="235"/>
      <c r="C211" s="227"/>
      <c r="D211" s="344"/>
      <c r="E211" s="235"/>
      <c r="F211" s="235"/>
      <c r="G211" s="227"/>
      <c r="H211" s="227"/>
      <c r="I211" s="350"/>
      <c r="J211" s="227"/>
      <c r="K211" s="227"/>
      <c r="L211" s="224"/>
      <c r="M211" s="224"/>
      <c r="N211" s="224"/>
      <c r="O211" s="224"/>
      <c r="P211" s="224"/>
      <c r="Q211" s="224"/>
      <c r="R211" s="224"/>
      <c r="S211" s="224"/>
      <c r="T211" s="224"/>
      <c r="U211" s="224"/>
      <c r="V211" s="224"/>
      <c r="W211" s="106"/>
    </row>
    <row r="212" spans="1:23" s="101" customFormat="1" x14ac:dyDescent="0.3">
      <c r="A212" s="222"/>
      <c r="B212" s="235"/>
      <c r="C212" s="227"/>
      <c r="D212" s="344"/>
      <c r="E212" s="235"/>
      <c r="F212" s="235"/>
      <c r="G212" s="227"/>
      <c r="H212" s="227"/>
      <c r="I212" s="350"/>
      <c r="J212" s="227"/>
      <c r="K212" s="227"/>
      <c r="L212" s="224"/>
      <c r="M212" s="224"/>
      <c r="N212" s="224"/>
      <c r="O212" s="224"/>
      <c r="P212" s="224"/>
      <c r="Q212" s="224"/>
      <c r="R212" s="224"/>
      <c r="S212" s="224"/>
      <c r="T212" s="224"/>
      <c r="U212" s="224"/>
      <c r="V212" s="224"/>
      <c r="W212" s="106"/>
    </row>
    <row r="213" spans="1:23" s="101" customFormat="1" x14ac:dyDescent="0.3">
      <c r="A213" s="222"/>
      <c r="B213" s="235"/>
      <c r="C213" s="227"/>
      <c r="D213" s="344"/>
      <c r="E213" s="235"/>
      <c r="F213" s="235"/>
      <c r="G213" s="227"/>
      <c r="H213" s="227"/>
      <c r="I213" s="350"/>
      <c r="J213" s="227"/>
      <c r="K213" s="227"/>
      <c r="L213" s="224"/>
      <c r="M213" s="224"/>
      <c r="N213" s="224"/>
      <c r="O213" s="224"/>
      <c r="P213" s="224"/>
      <c r="Q213" s="224"/>
      <c r="R213" s="224"/>
      <c r="S213" s="224"/>
      <c r="T213" s="224"/>
      <c r="U213" s="224"/>
      <c r="V213" s="224"/>
      <c r="W213" s="106"/>
    </row>
    <row r="214" spans="1:23" s="101" customFormat="1" x14ac:dyDescent="0.3">
      <c r="A214" s="222"/>
      <c r="B214" s="235"/>
      <c r="C214" s="227"/>
      <c r="D214" s="344"/>
      <c r="E214" s="235"/>
      <c r="F214" s="235"/>
      <c r="G214" s="227"/>
      <c r="H214" s="227"/>
      <c r="I214" s="350"/>
      <c r="J214" s="227"/>
      <c r="K214" s="227"/>
      <c r="L214" s="224"/>
      <c r="M214" s="224"/>
      <c r="N214" s="224"/>
      <c r="O214" s="224"/>
      <c r="P214" s="224"/>
      <c r="Q214" s="224"/>
      <c r="R214" s="224"/>
      <c r="S214" s="224"/>
      <c r="T214" s="224"/>
      <c r="U214" s="224"/>
      <c r="V214" s="224"/>
      <c r="W214" s="106"/>
    </row>
    <row r="215" spans="1:23" s="101" customFormat="1" x14ac:dyDescent="0.3">
      <c r="A215" s="222"/>
      <c r="B215" s="235"/>
      <c r="C215" s="227"/>
      <c r="D215" s="344"/>
      <c r="E215" s="235"/>
      <c r="F215" s="235"/>
      <c r="G215" s="227"/>
      <c r="H215" s="227"/>
      <c r="I215" s="350"/>
      <c r="J215" s="227"/>
      <c r="K215" s="227"/>
      <c r="L215" s="224"/>
      <c r="M215" s="224"/>
      <c r="N215" s="224"/>
      <c r="O215" s="224"/>
      <c r="P215" s="224"/>
      <c r="Q215" s="224"/>
      <c r="R215" s="224"/>
      <c r="S215" s="224"/>
      <c r="T215" s="224"/>
      <c r="U215" s="224"/>
      <c r="V215" s="224"/>
      <c r="W215" s="106"/>
    </row>
    <row r="216" spans="1:23" s="101" customFormat="1" x14ac:dyDescent="0.3">
      <c r="A216" s="222"/>
      <c r="B216" s="235"/>
      <c r="C216" s="227"/>
      <c r="D216" s="344"/>
      <c r="E216" s="235"/>
      <c r="F216" s="235"/>
      <c r="G216" s="227"/>
      <c r="H216" s="227"/>
      <c r="I216" s="350"/>
      <c r="J216" s="227"/>
      <c r="K216" s="227"/>
      <c r="L216" s="224"/>
      <c r="M216" s="224"/>
      <c r="N216" s="224"/>
      <c r="O216" s="224"/>
      <c r="P216" s="224"/>
      <c r="Q216" s="224"/>
      <c r="R216" s="224"/>
      <c r="S216" s="224"/>
      <c r="T216" s="224"/>
      <c r="U216" s="224"/>
      <c r="V216" s="224"/>
      <c r="W216" s="106"/>
    </row>
    <row r="217" spans="1:23" s="101" customFormat="1" x14ac:dyDescent="0.3">
      <c r="A217" s="222"/>
      <c r="B217" s="235"/>
      <c r="C217" s="227"/>
      <c r="D217" s="344"/>
      <c r="E217" s="235"/>
      <c r="F217" s="235"/>
      <c r="G217" s="227"/>
      <c r="H217" s="227"/>
      <c r="I217" s="350"/>
      <c r="J217" s="227"/>
      <c r="K217" s="227"/>
      <c r="L217" s="224"/>
      <c r="M217" s="224"/>
      <c r="N217" s="224"/>
      <c r="O217" s="224"/>
      <c r="P217" s="224"/>
      <c r="Q217" s="224"/>
      <c r="R217" s="224"/>
      <c r="S217" s="224"/>
      <c r="T217" s="224"/>
      <c r="U217" s="224"/>
      <c r="V217" s="224"/>
      <c r="W217" s="106"/>
    </row>
    <row r="218" spans="1:23" s="101" customFormat="1" x14ac:dyDescent="0.3">
      <c r="A218" s="222"/>
      <c r="B218" s="235"/>
      <c r="C218" s="227"/>
      <c r="D218" s="344"/>
      <c r="E218" s="235"/>
      <c r="F218" s="235"/>
      <c r="G218" s="227"/>
      <c r="H218" s="227"/>
      <c r="I218" s="350"/>
      <c r="J218" s="227"/>
      <c r="K218" s="227"/>
      <c r="L218" s="224"/>
      <c r="M218" s="224"/>
      <c r="N218" s="224"/>
      <c r="O218" s="224"/>
      <c r="P218" s="224"/>
      <c r="Q218" s="224"/>
      <c r="R218" s="224"/>
      <c r="S218" s="224"/>
      <c r="T218" s="224"/>
      <c r="U218" s="224"/>
      <c r="V218" s="224"/>
      <c r="W218" s="106"/>
    </row>
    <row r="219" spans="1:23" s="101" customFormat="1" x14ac:dyDescent="0.3">
      <c r="A219" s="222"/>
      <c r="B219" s="235"/>
      <c r="C219" s="227"/>
      <c r="D219" s="344"/>
      <c r="E219" s="235"/>
      <c r="F219" s="235"/>
      <c r="G219" s="227"/>
      <c r="H219" s="227"/>
      <c r="I219" s="350"/>
      <c r="J219" s="227"/>
      <c r="K219" s="227"/>
      <c r="L219" s="224"/>
      <c r="M219" s="224"/>
      <c r="N219" s="224"/>
      <c r="O219" s="224"/>
      <c r="P219" s="224"/>
      <c r="Q219" s="224"/>
      <c r="R219" s="224"/>
      <c r="S219" s="224"/>
      <c r="T219" s="224"/>
      <c r="U219" s="224"/>
      <c r="V219" s="224"/>
      <c r="W219" s="106"/>
    </row>
    <row r="220" spans="1:23" s="101" customFormat="1" x14ac:dyDescent="0.3">
      <c r="A220" s="222"/>
      <c r="B220" s="235"/>
      <c r="C220" s="227"/>
      <c r="D220" s="344"/>
      <c r="E220" s="235"/>
      <c r="F220" s="235"/>
      <c r="G220" s="227"/>
      <c r="H220" s="227"/>
      <c r="I220" s="350"/>
      <c r="J220" s="227"/>
      <c r="K220" s="227"/>
      <c r="L220" s="224"/>
      <c r="M220" s="224"/>
      <c r="N220" s="224"/>
      <c r="O220" s="224"/>
      <c r="P220" s="224"/>
      <c r="Q220" s="224"/>
      <c r="R220" s="224"/>
      <c r="S220" s="224"/>
      <c r="T220" s="224"/>
      <c r="U220" s="224"/>
      <c r="V220" s="224"/>
      <c r="W220" s="106"/>
    </row>
    <row r="221" spans="1:23" s="101" customFormat="1" x14ac:dyDescent="0.3">
      <c r="A221" s="222"/>
      <c r="B221" s="235"/>
      <c r="C221" s="227"/>
      <c r="D221" s="344"/>
      <c r="E221" s="235"/>
      <c r="F221" s="235"/>
      <c r="G221" s="227"/>
      <c r="H221" s="227"/>
      <c r="I221" s="350"/>
      <c r="J221" s="227"/>
      <c r="K221" s="227"/>
      <c r="L221" s="224"/>
      <c r="M221" s="224"/>
      <c r="N221" s="224"/>
      <c r="O221" s="224"/>
      <c r="P221" s="224"/>
      <c r="Q221" s="224"/>
      <c r="R221" s="224"/>
      <c r="S221" s="224"/>
      <c r="T221" s="224"/>
      <c r="U221" s="224"/>
      <c r="V221" s="224"/>
      <c r="W221" s="106"/>
    </row>
    <row r="222" spans="1:23" s="101" customFormat="1" x14ac:dyDescent="0.3">
      <c r="A222" s="222"/>
      <c r="B222" s="235"/>
      <c r="C222" s="227"/>
      <c r="D222" s="344"/>
      <c r="E222" s="235"/>
      <c r="F222" s="235"/>
      <c r="G222" s="227"/>
      <c r="H222" s="227"/>
      <c r="I222" s="350"/>
      <c r="J222" s="227"/>
      <c r="K222" s="227"/>
      <c r="L222" s="224"/>
      <c r="M222" s="224"/>
      <c r="N222" s="224"/>
      <c r="O222" s="224"/>
      <c r="P222" s="224"/>
      <c r="Q222" s="224"/>
      <c r="R222" s="224"/>
      <c r="S222" s="224"/>
      <c r="T222" s="224"/>
      <c r="U222" s="224"/>
      <c r="V222" s="224"/>
      <c r="W222" s="106"/>
    </row>
    <row r="223" spans="1:23" s="101" customFormat="1" x14ac:dyDescent="0.3">
      <c r="A223" s="222"/>
      <c r="B223" s="235"/>
      <c r="C223" s="227"/>
      <c r="D223" s="344"/>
      <c r="E223" s="235"/>
      <c r="F223" s="235"/>
      <c r="G223" s="227"/>
      <c r="H223" s="227"/>
      <c r="I223" s="350"/>
      <c r="J223" s="227"/>
      <c r="K223" s="227"/>
      <c r="L223" s="224"/>
      <c r="M223" s="224"/>
      <c r="N223" s="224"/>
      <c r="O223" s="224"/>
      <c r="P223" s="224"/>
      <c r="Q223" s="224"/>
      <c r="R223" s="224"/>
      <c r="S223" s="224"/>
      <c r="T223" s="224"/>
      <c r="U223" s="224"/>
      <c r="V223" s="224"/>
      <c r="W223" s="106"/>
    </row>
    <row r="224" spans="1:23" s="101" customFormat="1" x14ac:dyDescent="0.3">
      <c r="A224" s="222"/>
      <c r="B224" s="235"/>
      <c r="C224" s="227"/>
      <c r="D224" s="344"/>
      <c r="E224" s="235"/>
      <c r="F224" s="235"/>
      <c r="G224" s="227"/>
      <c r="H224" s="227"/>
      <c r="I224" s="350"/>
      <c r="J224" s="227"/>
      <c r="K224" s="227"/>
      <c r="L224" s="224"/>
      <c r="M224" s="224"/>
      <c r="N224" s="224"/>
      <c r="O224" s="224"/>
      <c r="P224" s="224"/>
      <c r="Q224" s="224"/>
      <c r="R224" s="224"/>
      <c r="S224" s="224"/>
      <c r="T224" s="224"/>
      <c r="U224" s="224"/>
      <c r="V224" s="224"/>
      <c r="W224" s="106"/>
    </row>
    <row r="225" spans="1:23" s="101" customFormat="1" x14ac:dyDescent="0.3">
      <c r="A225" s="222"/>
      <c r="B225" s="235"/>
      <c r="C225" s="227"/>
      <c r="D225" s="344"/>
      <c r="E225" s="235"/>
      <c r="F225" s="235"/>
      <c r="G225" s="227"/>
      <c r="H225" s="227"/>
      <c r="I225" s="350"/>
      <c r="J225" s="227"/>
      <c r="K225" s="227"/>
      <c r="L225" s="224"/>
      <c r="M225" s="224"/>
      <c r="N225" s="224"/>
      <c r="O225" s="224"/>
      <c r="P225" s="224"/>
      <c r="Q225" s="224"/>
      <c r="R225" s="224"/>
      <c r="S225" s="224"/>
      <c r="T225" s="224"/>
      <c r="U225" s="224"/>
      <c r="V225" s="224"/>
      <c r="W225" s="106"/>
    </row>
    <row r="226" spans="1:23" s="101" customFormat="1" x14ac:dyDescent="0.3">
      <c r="A226" s="222"/>
      <c r="B226" s="235"/>
      <c r="C226" s="227"/>
      <c r="D226" s="344"/>
      <c r="E226" s="235"/>
      <c r="F226" s="235"/>
      <c r="G226" s="227"/>
      <c r="H226" s="227"/>
      <c r="I226" s="350"/>
      <c r="J226" s="227"/>
      <c r="K226" s="227"/>
      <c r="L226" s="224"/>
      <c r="M226" s="224"/>
      <c r="N226" s="224"/>
      <c r="O226" s="224"/>
      <c r="P226" s="224"/>
      <c r="Q226" s="224"/>
      <c r="R226" s="224"/>
      <c r="S226" s="224"/>
      <c r="T226" s="224"/>
      <c r="U226" s="224"/>
      <c r="V226" s="224"/>
      <c r="W226" s="106"/>
    </row>
    <row r="227" spans="1:23" s="101" customFormat="1" x14ac:dyDescent="0.3">
      <c r="A227" s="222"/>
      <c r="B227" s="235"/>
      <c r="C227" s="227"/>
      <c r="D227" s="344"/>
      <c r="E227" s="235"/>
      <c r="F227" s="235"/>
      <c r="G227" s="227"/>
      <c r="H227" s="227"/>
      <c r="I227" s="350"/>
      <c r="J227" s="227"/>
      <c r="K227" s="227"/>
      <c r="L227" s="224"/>
      <c r="M227" s="224"/>
      <c r="N227" s="224"/>
      <c r="O227" s="224"/>
      <c r="P227" s="224"/>
      <c r="Q227" s="224"/>
      <c r="R227" s="224"/>
      <c r="S227" s="224"/>
      <c r="T227" s="224"/>
      <c r="U227" s="224"/>
      <c r="V227" s="224"/>
      <c r="W227" s="106"/>
    </row>
    <row r="228" spans="1:23" s="101" customFormat="1" x14ac:dyDescent="0.3">
      <c r="A228" s="222"/>
      <c r="B228" s="235"/>
      <c r="C228" s="227"/>
      <c r="D228" s="344"/>
      <c r="E228" s="235"/>
      <c r="F228" s="235"/>
      <c r="G228" s="227"/>
      <c r="H228" s="227"/>
      <c r="I228" s="350"/>
      <c r="J228" s="227"/>
      <c r="K228" s="227"/>
      <c r="L228" s="224"/>
      <c r="M228" s="224"/>
      <c r="N228" s="224"/>
      <c r="O228" s="224"/>
      <c r="P228" s="224"/>
      <c r="Q228" s="224"/>
      <c r="R228" s="224"/>
      <c r="S228" s="224"/>
      <c r="T228" s="224"/>
      <c r="U228" s="224"/>
      <c r="V228" s="224"/>
      <c r="W228" s="106"/>
    </row>
    <row r="229" spans="1:23" s="101" customFormat="1" x14ac:dyDescent="0.3">
      <c r="A229" s="222"/>
      <c r="B229" s="235"/>
      <c r="C229" s="227"/>
      <c r="D229" s="344"/>
      <c r="E229" s="235"/>
      <c r="F229" s="235"/>
      <c r="G229" s="227"/>
      <c r="H229" s="227"/>
      <c r="I229" s="350"/>
      <c r="J229" s="227"/>
      <c r="K229" s="227"/>
      <c r="L229" s="224"/>
      <c r="M229" s="224"/>
      <c r="N229" s="224"/>
      <c r="O229" s="224"/>
      <c r="P229" s="224"/>
      <c r="Q229" s="224"/>
      <c r="R229" s="224"/>
      <c r="S229" s="224"/>
      <c r="T229" s="224"/>
      <c r="U229" s="224"/>
      <c r="V229" s="224"/>
      <c r="W229" s="106"/>
    </row>
    <row r="230" spans="1:23" s="101" customFormat="1" x14ac:dyDescent="0.3">
      <c r="A230" s="222"/>
      <c r="B230" s="235"/>
      <c r="C230" s="227"/>
      <c r="D230" s="344"/>
      <c r="E230" s="235"/>
      <c r="F230" s="235"/>
      <c r="G230" s="227"/>
      <c r="H230" s="227"/>
      <c r="I230" s="350"/>
      <c r="J230" s="227"/>
      <c r="K230" s="227"/>
      <c r="L230" s="224"/>
      <c r="M230" s="224"/>
      <c r="N230" s="224"/>
      <c r="O230" s="224"/>
      <c r="P230" s="224"/>
      <c r="Q230" s="224"/>
      <c r="R230" s="224"/>
      <c r="S230" s="224"/>
      <c r="T230" s="224"/>
      <c r="U230" s="224"/>
      <c r="V230" s="224"/>
      <c r="W230" s="106"/>
    </row>
    <row r="231" spans="1:23" s="101" customFormat="1" x14ac:dyDescent="0.3">
      <c r="A231" s="222"/>
      <c r="B231" s="235"/>
      <c r="C231" s="227"/>
      <c r="D231" s="344"/>
      <c r="E231" s="235"/>
      <c r="F231" s="235"/>
      <c r="G231" s="227"/>
      <c r="H231" s="227"/>
      <c r="I231" s="350"/>
      <c r="J231" s="227"/>
      <c r="K231" s="227"/>
      <c r="L231" s="224"/>
      <c r="M231" s="224"/>
      <c r="N231" s="224"/>
      <c r="O231" s="224"/>
      <c r="P231" s="224"/>
      <c r="Q231" s="224"/>
      <c r="R231" s="224"/>
      <c r="S231" s="224"/>
      <c r="T231" s="224"/>
      <c r="U231" s="224"/>
      <c r="V231" s="224"/>
      <c r="W231" s="106"/>
    </row>
    <row r="232" spans="1:23" s="101" customFormat="1" x14ac:dyDescent="0.3">
      <c r="A232" s="222"/>
      <c r="B232" s="235"/>
      <c r="C232" s="227"/>
      <c r="D232" s="344"/>
      <c r="E232" s="235"/>
      <c r="F232" s="235"/>
      <c r="G232" s="227"/>
      <c r="H232" s="227"/>
      <c r="I232" s="350"/>
      <c r="J232" s="227"/>
      <c r="K232" s="227"/>
      <c r="L232" s="224"/>
      <c r="M232" s="224"/>
      <c r="N232" s="224"/>
      <c r="O232" s="224"/>
      <c r="P232" s="224"/>
      <c r="Q232" s="224"/>
      <c r="R232" s="224"/>
      <c r="S232" s="224"/>
      <c r="T232" s="224"/>
      <c r="U232" s="224"/>
      <c r="V232" s="224"/>
      <c r="W232" s="106"/>
    </row>
    <row r="233" spans="1:23" s="101" customFormat="1" x14ac:dyDescent="0.3">
      <c r="A233" s="222"/>
      <c r="B233" s="235"/>
      <c r="C233" s="227"/>
      <c r="D233" s="344"/>
      <c r="E233" s="235"/>
      <c r="F233" s="235"/>
      <c r="G233" s="227"/>
      <c r="H233" s="227"/>
      <c r="I233" s="350"/>
      <c r="J233" s="227"/>
      <c r="K233" s="227"/>
      <c r="L233" s="224"/>
      <c r="M233" s="224"/>
      <c r="N233" s="224"/>
      <c r="O233" s="224"/>
      <c r="P233" s="224"/>
      <c r="Q233" s="224"/>
      <c r="R233" s="224"/>
      <c r="S233" s="224"/>
      <c r="T233" s="224"/>
      <c r="U233" s="224"/>
      <c r="V233" s="224"/>
      <c r="W233" s="106"/>
    </row>
    <row r="234" spans="1:23" s="101" customFormat="1" x14ac:dyDescent="0.3">
      <c r="A234" s="222"/>
      <c r="B234" s="235"/>
      <c r="C234" s="227"/>
      <c r="D234" s="344"/>
      <c r="E234" s="235"/>
      <c r="F234" s="235"/>
      <c r="G234" s="227"/>
      <c r="H234" s="227"/>
      <c r="I234" s="350"/>
      <c r="J234" s="227"/>
      <c r="K234" s="227"/>
      <c r="L234" s="224"/>
      <c r="M234" s="224"/>
      <c r="N234" s="224"/>
      <c r="O234" s="224"/>
      <c r="P234" s="224"/>
      <c r="Q234" s="224"/>
      <c r="R234" s="224"/>
      <c r="S234" s="224"/>
      <c r="T234" s="224"/>
      <c r="U234" s="224"/>
      <c r="V234" s="224"/>
      <c r="W234" s="106"/>
    </row>
    <row r="235" spans="1:23" s="101" customFormat="1" x14ac:dyDescent="0.3">
      <c r="A235" s="222"/>
      <c r="B235" s="235"/>
      <c r="C235" s="227"/>
      <c r="D235" s="344"/>
      <c r="E235" s="235"/>
      <c r="F235" s="235"/>
      <c r="G235" s="227"/>
      <c r="H235" s="227"/>
      <c r="I235" s="350"/>
      <c r="J235" s="227"/>
      <c r="K235" s="227"/>
      <c r="L235" s="224"/>
      <c r="M235" s="224"/>
      <c r="N235" s="224"/>
      <c r="O235" s="224"/>
      <c r="P235" s="224"/>
      <c r="Q235" s="224"/>
      <c r="R235" s="224"/>
      <c r="S235" s="224"/>
      <c r="T235" s="224"/>
      <c r="U235" s="224"/>
      <c r="V235" s="224"/>
      <c r="W235" s="106"/>
    </row>
    <row r="236" spans="1:23" s="101" customFormat="1" x14ac:dyDescent="0.3">
      <c r="A236" s="222"/>
      <c r="B236" s="235"/>
      <c r="C236" s="227"/>
      <c r="D236" s="344"/>
      <c r="E236" s="235"/>
      <c r="F236" s="235"/>
      <c r="G236" s="227"/>
      <c r="H236" s="227"/>
      <c r="I236" s="350"/>
      <c r="J236" s="227"/>
      <c r="K236" s="227"/>
      <c r="L236" s="224"/>
      <c r="M236" s="224"/>
      <c r="N236" s="224"/>
      <c r="O236" s="224"/>
      <c r="P236" s="224"/>
      <c r="Q236" s="224"/>
      <c r="R236" s="224"/>
      <c r="S236" s="224"/>
      <c r="T236" s="224"/>
      <c r="U236" s="224"/>
      <c r="V236" s="224"/>
      <c r="W236" s="106"/>
    </row>
    <row r="237" spans="1:23" s="101" customFormat="1" x14ac:dyDescent="0.3">
      <c r="A237" s="222"/>
      <c r="B237" s="235"/>
      <c r="C237" s="227"/>
      <c r="D237" s="344"/>
      <c r="E237" s="235"/>
      <c r="F237" s="235"/>
      <c r="G237" s="227"/>
      <c r="H237" s="227"/>
      <c r="I237" s="350"/>
      <c r="J237" s="227"/>
      <c r="K237" s="227"/>
      <c r="L237" s="224"/>
      <c r="M237" s="224"/>
      <c r="N237" s="224"/>
      <c r="O237" s="224"/>
      <c r="P237" s="224"/>
      <c r="Q237" s="224"/>
      <c r="R237" s="224"/>
      <c r="S237" s="224"/>
      <c r="T237" s="224"/>
      <c r="U237" s="224"/>
      <c r="V237" s="224"/>
      <c r="W237" s="106"/>
    </row>
    <row r="238" spans="1:23" s="101" customFormat="1" x14ac:dyDescent="0.3">
      <c r="A238" s="222"/>
      <c r="B238" s="235"/>
      <c r="C238" s="227"/>
      <c r="D238" s="344"/>
      <c r="E238" s="235"/>
      <c r="F238" s="235"/>
      <c r="G238" s="227"/>
      <c r="H238" s="227"/>
      <c r="I238" s="350"/>
      <c r="J238" s="227"/>
      <c r="K238" s="227"/>
      <c r="L238" s="224"/>
      <c r="M238" s="224"/>
      <c r="N238" s="224"/>
      <c r="O238" s="224"/>
      <c r="P238" s="224"/>
      <c r="Q238" s="224"/>
      <c r="R238" s="224"/>
      <c r="S238" s="224"/>
      <c r="T238" s="224"/>
      <c r="U238" s="224"/>
      <c r="V238" s="224"/>
      <c r="W238" s="106"/>
    </row>
    <row r="239" spans="1:23" s="101" customFormat="1" x14ac:dyDescent="0.3">
      <c r="A239" s="222"/>
      <c r="B239" s="235"/>
      <c r="C239" s="227"/>
      <c r="D239" s="344"/>
      <c r="E239" s="235"/>
      <c r="F239" s="235"/>
      <c r="G239" s="227"/>
      <c r="H239" s="227"/>
      <c r="I239" s="350"/>
      <c r="J239" s="227"/>
      <c r="K239" s="227"/>
      <c r="L239" s="224"/>
      <c r="M239" s="224"/>
      <c r="N239" s="224"/>
      <c r="O239" s="224"/>
      <c r="P239" s="224"/>
      <c r="Q239" s="224"/>
      <c r="R239" s="224"/>
      <c r="S239" s="224"/>
      <c r="T239" s="224"/>
      <c r="U239" s="224"/>
      <c r="V239" s="224"/>
      <c r="W239" s="106"/>
    </row>
    <row r="240" spans="1:23" s="101" customFormat="1" x14ac:dyDescent="0.3">
      <c r="A240" s="222"/>
      <c r="B240" s="235"/>
      <c r="C240" s="227"/>
      <c r="D240" s="344"/>
      <c r="E240" s="235"/>
      <c r="F240" s="235"/>
      <c r="G240" s="227"/>
      <c r="H240" s="227"/>
      <c r="I240" s="350"/>
      <c r="J240" s="227"/>
      <c r="K240" s="227"/>
      <c r="L240" s="224"/>
      <c r="M240" s="224"/>
      <c r="N240" s="224"/>
      <c r="O240" s="224"/>
      <c r="P240" s="224"/>
      <c r="Q240" s="224"/>
      <c r="R240" s="224"/>
      <c r="S240" s="224"/>
      <c r="T240" s="224"/>
      <c r="U240" s="224"/>
      <c r="V240" s="224"/>
      <c r="W240" s="106"/>
    </row>
    <row r="241" spans="1:23" s="101" customFormat="1" x14ac:dyDescent="0.3">
      <c r="A241" s="222"/>
      <c r="B241" s="235"/>
      <c r="C241" s="227"/>
      <c r="D241" s="344"/>
      <c r="E241" s="235"/>
      <c r="F241" s="235"/>
      <c r="G241" s="227"/>
      <c r="H241" s="227"/>
      <c r="I241" s="350"/>
      <c r="J241" s="227"/>
      <c r="K241" s="227"/>
      <c r="L241" s="224"/>
      <c r="M241" s="224"/>
      <c r="N241" s="224"/>
      <c r="O241" s="224"/>
      <c r="P241" s="224"/>
      <c r="Q241" s="224"/>
      <c r="R241" s="224"/>
      <c r="S241" s="224"/>
      <c r="T241" s="224"/>
      <c r="U241" s="224"/>
      <c r="V241" s="224"/>
      <c r="W241" s="106"/>
    </row>
    <row r="242" spans="1:23" s="101" customFormat="1" x14ac:dyDescent="0.3">
      <c r="A242" s="222"/>
      <c r="B242" s="235"/>
      <c r="C242" s="227"/>
      <c r="D242" s="344"/>
      <c r="E242" s="235"/>
      <c r="F242" s="235"/>
      <c r="G242" s="227"/>
      <c r="H242" s="227"/>
      <c r="I242" s="350"/>
      <c r="J242" s="227"/>
      <c r="K242" s="227"/>
      <c r="L242" s="224"/>
      <c r="M242" s="224"/>
      <c r="N242" s="224"/>
      <c r="O242" s="224"/>
      <c r="P242" s="224"/>
      <c r="Q242" s="224"/>
      <c r="R242" s="224"/>
      <c r="S242" s="224"/>
      <c r="T242" s="224"/>
      <c r="U242" s="224"/>
      <c r="V242" s="224"/>
      <c r="W242" s="106"/>
    </row>
    <row r="243" spans="1:23" s="101" customFormat="1" x14ac:dyDescent="0.3">
      <c r="A243" s="222"/>
      <c r="B243" s="235"/>
      <c r="C243" s="227"/>
      <c r="D243" s="344"/>
      <c r="E243" s="235"/>
      <c r="F243" s="235"/>
      <c r="G243" s="227"/>
      <c r="H243" s="227"/>
      <c r="I243" s="350"/>
      <c r="J243" s="227"/>
      <c r="K243" s="227"/>
      <c r="L243" s="224"/>
      <c r="M243" s="224"/>
      <c r="N243" s="224"/>
      <c r="O243" s="224"/>
      <c r="P243" s="224"/>
      <c r="Q243" s="224"/>
      <c r="R243" s="224"/>
      <c r="S243" s="224"/>
      <c r="T243" s="224"/>
      <c r="U243" s="224"/>
      <c r="V243" s="224"/>
      <c r="W243" s="106"/>
    </row>
    <row r="244" spans="1:23" s="101" customFormat="1" x14ac:dyDescent="0.3">
      <c r="A244" s="222"/>
      <c r="B244" s="235"/>
      <c r="C244" s="227"/>
      <c r="D244" s="344"/>
      <c r="E244" s="235"/>
      <c r="F244" s="235"/>
      <c r="G244" s="227"/>
      <c r="H244" s="227"/>
      <c r="I244" s="350"/>
      <c r="J244" s="227"/>
      <c r="K244" s="227"/>
      <c r="L244" s="224"/>
      <c r="M244" s="224"/>
      <c r="N244" s="224"/>
      <c r="O244" s="224"/>
      <c r="P244" s="224"/>
      <c r="Q244" s="224"/>
      <c r="R244" s="224"/>
      <c r="S244" s="224"/>
      <c r="T244" s="224"/>
      <c r="U244" s="224"/>
      <c r="V244" s="224"/>
      <c r="W244" s="106"/>
    </row>
    <row r="245" spans="1:23" s="101" customFormat="1" x14ac:dyDescent="0.3">
      <c r="A245" s="222"/>
      <c r="B245" s="235"/>
      <c r="C245" s="227"/>
      <c r="D245" s="344"/>
      <c r="E245" s="235"/>
      <c r="F245" s="235"/>
      <c r="G245" s="227"/>
      <c r="H245" s="227"/>
      <c r="I245" s="350"/>
      <c r="J245" s="227"/>
      <c r="K245" s="227"/>
      <c r="L245" s="224"/>
      <c r="M245" s="224"/>
      <c r="N245" s="224"/>
      <c r="O245" s="224"/>
      <c r="P245" s="224"/>
      <c r="Q245" s="224"/>
      <c r="R245" s="224"/>
      <c r="S245" s="224"/>
      <c r="T245" s="224"/>
      <c r="U245" s="224"/>
      <c r="V245" s="224"/>
      <c r="W245" s="106"/>
    </row>
    <row r="246" spans="1:23" s="101" customFormat="1" x14ac:dyDescent="0.3">
      <c r="A246" s="222"/>
      <c r="B246" s="235"/>
      <c r="C246" s="227"/>
      <c r="D246" s="344"/>
      <c r="E246" s="235"/>
      <c r="F246" s="235"/>
      <c r="G246" s="227"/>
      <c r="H246" s="227"/>
      <c r="I246" s="350"/>
      <c r="J246" s="227"/>
      <c r="K246" s="227"/>
      <c r="L246" s="224"/>
      <c r="M246" s="224"/>
      <c r="N246" s="224"/>
      <c r="O246" s="224"/>
      <c r="P246" s="224"/>
      <c r="Q246" s="224"/>
      <c r="R246" s="224"/>
      <c r="S246" s="224"/>
      <c r="T246" s="224"/>
      <c r="U246" s="224"/>
      <c r="V246" s="224"/>
      <c r="W246" s="106"/>
    </row>
    <row r="247" spans="1:23" s="101" customFormat="1" x14ac:dyDescent="0.3">
      <c r="A247" s="222"/>
      <c r="B247" s="235"/>
      <c r="C247" s="227"/>
      <c r="D247" s="344"/>
      <c r="E247" s="235"/>
      <c r="F247" s="235"/>
      <c r="G247" s="227"/>
      <c r="H247" s="227"/>
      <c r="I247" s="350"/>
      <c r="J247" s="227"/>
      <c r="K247" s="227"/>
      <c r="L247" s="224"/>
      <c r="M247" s="224"/>
      <c r="N247" s="224"/>
      <c r="O247" s="224"/>
      <c r="P247" s="224"/>
      <c r="Q247" s="224"/>
      <c r="R247" s="224"/>
      <c r="S247" s="224"/>
      <c r="T247" s="224"/>
      <c r="U247" s="224"/>
      <c r="V247" s="224"/>
      <c r="W247" s="106"/>
    </row>
    <row r="248" spans="1:23" s="101" customFormat="1" x14ac:dyDescent="0.3">
      <c r="A248" s="222"/>
      <c r="B248" s="235"/>
      <c r="C248" s="227"/>
      <c r="D248" s="344"/>
      <c r="E248" s="235"/>
      <c r="F248" s="235"/>
      <c r="G248" s="227"/>
      <c r="H248" s="227"/>
      <c r="I248" s="350"/>
      <c r="J248" s="227"/>
      <c r="K248" s="227"/>
      <c r="L248" s="224"/>
      <c r="M248" s="224"/>
      <c r="N248" s="224"/>
      <c r="O248" s="224"/>
      <c r="P248" s="224"/>
      <c r="Q248" s="224"/>
      <c r="R248" s="224"/>
      <c r="S248" s="224"/>
      <c r="T248" s="224"/>
      <c r="U248" s="224"/>
      <c r="V248" s="224"/>
      <c r="W248" s="106"/>
    </row>
    <row r="249" spans="1:23" s="101" customFormat="1" x14ac:dyDescent="0.3">
      <c r="A249" s="222"/>
      <c r="B249" s="235"/>
      <c r="C249" s="227"/>
      <c r="D249" s="344"/>
      <c r="E249" s="235"/>
      <c r="F249" s="235"/>
      <c r="G249" s="227"/>
      <c r="H249" s="227"/>
      <c r="I249" s="350"/>
      <c r="J249" s="227"/>
      <c r="K249" s="227"/>
      <c r="L249" s="224"/>
      <c r="M249" s="224"/>
      <c r="N249" s="224"/>
      <c r="O249" s="224"/>
      <c r="P249" s="224"/>
      <c r="Q249" s="224"/>
      <c r="R249" s="224"/>
      <c r="S249" s="224"/>
      <c r="T249" s="224"/>
      <c r="U249" s="224"/>
      <c r="V249" s="224"/>
      <c r="W249" s="106"/>
    </row>
    <row r="250" spans="1:23" s="101" customFormat="1" x14ac:dyDescent="0.3">
      <c r="A250" s="222"/>
      <c r="B250" s="235"/>
      <c r="C250" s="227"/>
      <c r="D250" s="344"/>
      <c r="E250" s="235"/>
      <c r="F250" s="235"/>
      <c r="G250" s="227"/>
      <c r="H250" s="227"/>
      <c r="I250" s="350"/>
      <c r="J250" s="227"/>
      <c r="K250" s="227"/>
      <c r="L250" s="224"/>
      <c r="M250" s="224"/>
      <c r="N250" s="224"/>
      <c r="O250" s="224"/>
      <c r="P250" s="224"/>
      <c r="Q250" s="224"/>
      <c r="R250" s="224"/>
      <c r="S250" s="224"/>
      <c r="T250" s="224"/>
      <c r="U250" s="224"/>
      <c r="V250" s="224"/>
      <c r="W250" s="106"/>
    </row>
    <row r="251" spans="1:23" s="101" customFormat="1" x14ac:dyDescent="0.3">
      <c r="A251" s="222"/>
      <c r="B251" s="235"/>
      <c r="C251" s="227"/>
      <c r="D251" s="344"/>
      <c r="E251" s="235"/>
      <c r="F251" s="235"/>
      <c r="G251" s="227"/>
      <c r="H251" s="227"/>
      <c r="I251" s="350"/>
      <c r="J251" s="227"/>
      <c r="K251" s="227"/>
      <c r="L251" s="224"/>
      <c r="M251" s="224"/>
      <c r="N251" s="224"/>
      <c r="O251" s="224"/>
      <c r="P251" s="224"/>
      <c r="Q251" s="224"/>
      <c r="R251" s="224"/>
      <c r="S251" s="224"/>
      <c r="T251" s="224"/>
      <c r="U251" s="224"/>
      <c r="V251" s="224"/>
      <c r="W251" s="106"/>
    </row>
    <row r="252" spans="1:23" s="101" customFormat="1" x14ac:dyDescent="0.3">
      <c r="A252" s="222"/>
      <c r="B252" s="235"/>
      <c r="C252" s="227"/>
      <c r="D252" s="344"/>
      <c r="E252" s="235"/>
      <c r="F252" s="235"/>
      <c r="G252" s="227"/>
      <c r="H252" s="227"/>
      <c r="I252" s="350"/>
      <c r="J252" s="227"/>
      <c r="K252" s="227"/>
      <c r="L252" s="224"/>
      <c r="M252" s="224"/>
      <c r="N252" s="224"/>
      <c r="O252" s="224"/>
      <c r="P252" s="224"/>
      <c r="Q252" s="224"/>
      <c r="R252" s="224"/>
      <c r="S252" s="224"/>
      <c r="T252" s="224"/>
      <c r="U252" s="224"/>
      <c r="V252" s="224"/>
      <c r="W252" s="106"/>
    </row>
    <row r="253" spans="1:23" s="101" customFormat="1" x14ac:dyDescent="0.3">
      <c r="A253" s="222"/>
      <c r="B253" s="235"/>
      <c r="C253" s="227"/>
      <c r="D253" s="344"/>
      <c r="E253" s="235"/>
      <c r="F253" s="235"/>
      <c r="G253" s="227"/>
      <c r="H253" s="227"/>
      <c r="I253" s="350"/>
      <c r="J253" s="227"/>
      <c r="K253" s="227"/>
      <c r="L253" s="224"/>
      <c r="M253" s="224"/>
      <c r="N253" s="224"/>
      <c r="O253" s="224"/>
      <c r="P253" s="224"/>
      <c r="Q253" s="224"/>
      <c r="R253" s="224"/>
      <c r="S253" s="224"/>
      <c r="T253" s="224"/>
      <c r="U253" s="224"/>
      <c r="V253" s="224"/>
      <c r="W253" s="106"/>
    </row>
    <row r="254" spans="1:23" s="101" customFormat="1" x14ac:dyDescent="0.3">
      <c r="A254" s="222"/>
      <c r="B254" s="235"/>
      <c r="C254" s="227"/>
      <c r="D254" s="344"/>
      <c r="E254" s="235"/>
      <c r="F254" s="235"/>
      <c r="G254" s="227"/>
      <c r="H254" s="227"/>
      <c r="I254" s="350"/>
      <c r="J254" s="227"/>
      <c r="K254" s="227"/>
      <c r="L254" s="224"/>
      <c r="M254" s="224"/>
      <c r="N254" s="224"/>
      <c r="O254" s="224"/>
      <c r="P254" s="224"/>
      <c r="Q254" s="224"/>
      <c r="R254" s="224"/>
      <c r="S254" s="224"/>
      <c r="T254" s="224"/>
      <c r="U254" s="224"/>
      <c r="V254" s="224"/>
      <c r="W254" s="106"/>
    </row>
    <row r="255" spans="1:23" s="101" customFormat="1" x14ac:dyDescent="0.3">
      <c r="A255" s="222"/>
      <c r="B255" s="235"/>
      <c r="C255" s="227"/>
      <c r="D255" s="344"/>
      <c r="E255" s="235"/>
      <c r="F255" s="235"/>
      <c r="G255" s="227"/>
      <c r="H255" s="227"/>
      <c r="I255" s="350"/>
      <c r="J255" s="227"/>
      <c r="K255" s="227"/>
      <c r="L255" s="224"/>
      <c r="M255" s="224"/>
      <c r="N255" s="224"/>
      <c r="O255" s="224"/>
      <c r="P255" s="224"/>
      <c r="Q255" s="224"/>
      <c r="R255" s="224"/>
      <c r="S255" s="224"/>
      <c r="T255" s="224"/>
      <c r="U255" s="224"/>
      <c r="V255" s="224"/>
      <c r="W255" s="106"/>
    </row>
    <row r="256" spans="1:23" s="101" customFormat="1" x14ac:dyDescent="0.3">
      <c r="A256" s="222"/>
      <c r="B256" s="235"/>
      <c r="C256" s="227"/>
      <c r="D256" s="344"/>
      <c r="E256" s="235"/>
      <c r="F256" s="235"/>
      <c r="G256" s="227"/>
      <c r="H256" s="227"/>
      <c r="I256" s="350"/>
      <c r="J256" s="227"/>
      <c r="K256" s="227"/>
      <c r="L256" s="224"/>
      <c r="M256" s="224"/>
      <c r="N256" s="224"/>
      <c r="O256" s="224"/>
      <c r="P256" s="224"/>
      <c r="Q256" s="224"/>
      <c r="R256" s="224"/>
      <c r="S256" s="224"/>
      <c r="T256" s="224"/>
      <c r="U256" s="224"/>
      <c r="V256" s="224"/>
      <c r="W256" s="106"/>
    </row>
    <row r="257" spans="1:23" s="101" customFormat="1" x14ac:dyDescent="0.3">
      <c r="A257" s="222"/>
      <c r="B257" s="235"/>
      <c r="C257" s="227"/>
      <c r="D257" s="344"/>
      <c r="E257" s="235"/>
      <c r="F257" s="235"/>
      <c r="G257" s="227"/>
      <c r="H257" s="227"/>
      <c r="I257" s="350"/>
      <c r="J257" s="227"/>
      <c r="K257" s="227"/>
      <c r="L257" s="224"/>
      <c r="M257" s="224"/>
      <c r="N257" s="224"/>
      <c r="O257" s="224"/>
      <c r="P257" s="224"/>
      <c r="Q257" s="224"/>
      <c r="R257" s="224"/>
      <c r="S257" s="224"/>
      <c r="T257" s="224"/>
      <c r="U257" s="224"/>
      <c r="V257" s="224"/>
      <c r="W257" s="106"/>
    </row>
    <row r="258" spans="1:23" s="101" customFormat="1" x14ac:dyDescent="0.3">
      <c r="A258" s="222"/>
      <c r="B258" s="235"/>
      <c r="C258" s="227"/>
      <c r="D258" s="344"/>
      <c r="E258" s="235"/>
      <c r="F258" s="235"/>
      <c r="G258" s="227"/>
      <c r="H258" s="227"/>
      <c r="I258" s="350"/>
      <c r="J258" s="227"/>
      <c r="K258" s="227"/>
      <c r="L258" s="224"/>
      <c r="M258" s="224"/>
      <c r="N258" s="224"/>
      <c r="O258" s="224"/>
      <c r="P258" s="224"/>
      <c r="Q258" s="224"/>
      <c r="R258" s="224"/>
      <c r="S258" s="224"/>
      <c r="T258" s="224"/>
      <c r="U258" s="224"/>
      <c r="V258" s="224"/>
      <c r="W258" s="106"/>
    </row>
    <row r="259" spans="1:23" s="101" customFormat="1" x14ac:dyDescent="0.3">
      <c r="A259" s="222"/>
      <c r="B259" s="235"/>
      <c r="C259" s="227"/>
      <c r="D259" s="344"/>
      <c r="E259" s="235"/>
      <c r="F259" s="235"/>
      <c r="G259" s="227"/>
      <c r="H259" s="227"/>
      <c r="I259" s="350"/>
      <c r="J259" s="227"/>
      <c r="K259" s="227"/>
      <c r="L259" s="224"/>
      <c r="M259" s="224"/>
      <c r="N259" s="224"/>
      <c r="O259" s="224"/>
      <c r="P259" s="224"/>
      <c r="Q259" s="224"/>
      <c r="R259" s="224"/>
      <c r="S259" s="224"/>
      <c r="T259" s="224"/>
      <c r="U259" s="224"/>
      <c r="V259" s="224"/>
      <c r="W259" s="106"/>
    </row>
    <row r="260" spans="1:23" s="101" customFormat="1" x14ac:dyDescent="0.3">
      <c r="A260" s="222"/>
      <c r="B260" s="235"/>
      <c r="C260" s="227"/>
      <c r="D260" s="344"/>
      <c r="E260" s="235"/>
      <c r="F260" s="235"/>
      <c r="G260" s="227"/>
      <c r="H260" s="227"/>
      <c r="I260" s="350"/>
      <c r="J260" s="227"/>
      <c r="K260" s="227"/>
      <c r="L260" s="224"/>
      <c r="M260" s="224"/>
      <c r="N260" s="224"/>
      <c r="O260" s="224"/>
      <c r="P260" s="224"/>
      <c r="Q260" s="224"/>
      <c r="R260" s="224"/>
      <c r="S260" s="224"/>
      <c r="T260" s="224"/>
      <c r="U260" s="224"/>
      <c r="V260" s="224"/>
      <c r="W260" s="106"/>
    </row>
    <row r="261" spans="1:23" s="101" customFormat="1" x14ac:dyDescent="0.3">
      <c r="A261" s="222"/>
      <c r="B261" s="235"/>
      <c r="C261" s="227"/>
      <c r="D261" s="344"/>
      <c r="E261" s="235"/>
      <c r="F261" s="235"/>
      <c r="G261" s="227"/>
      <c r="H261" s="227"/>
      <c r="I261" s="350"/>
      <c r="J261" s="227"/>
      <c r="K261" s="227"/>
      <c r="L261" s="224"/>
      <c r="M261" s="224"/>
      <c r="N261" s="224"/>
      <c r="O261" s="224"/>
      <c r="P261" s="224"/>
      <c r="Q261" s="224"/>
      <c r="R261" s="224"/>
      <c r="S261" s="224"/>
      <c r="T261" s="224"/>
      <c r="U261" s="224"/>
      <c r="V261" s="224"/>
      <c r="W261" s="106"/>
    </row>
    <row r="262" spans="1:23" s="101" customFormat="1" x14ac:dyDescent="0.3">
      <c r="A262" s="222"/>
      <c r="B262" s="235"/>
      <c r="C262" s="227"/>
      <c r="D262" s="344"/>
      <c r="E262" s="235"/>
      <c r="F262" s="235"/>
      <c r="G262" s="227"/>
      <c r="H262" s="227"/>
      <c r="I262" s="350"/>
      <c r="J262" s="227"/>
      <c r="K262" s="227"/>
      <c r="L262" s="224"/>
      <c r="M262" s="224"/>
      <c r="N262" s="224"/>
      <c r="O262" s="224"/>
      <c r="P262" s="224"/>
      <c r="Q262" s="224"/>
      <c r="R262" s="224"/>
      <c r="S262" s="224"/>
      <c r="T262" s="224"/>
      <c r="U262" s="224"/>
      <c r="V262" s="224"/>
      <c r="W262" s="106"/>
    </row>
    <row r="263" spans="1:23" s="101" customFormat="1" x14ac:dyDescent="0.3">
      <c r="A263" s="222"/>
      <c r="B263" s="235"/>
      <c r="C263" s="227"/>
      <c r="D263" s="344"/>
      <c r="E263" s="235"/>
      <c r="F263" s="235"/>
      <c r="G263" s="227"/>
      <c r="H263" s="227"/>
      <c r="I263" s="350"/>
      <c r="J263" s="227"/>
      <c r="K263" s="227"/>
      <c r="L263" s="224"/>
      <c r="M263" s="224"/>
      <c r="N263" s="224"/>
      <c r="O263" s="224"/>
      <c r="P263" s="224"/>
      <c r="Q263" s="224"/>
      <c r="R263" s="224"/>
      <c r="S263" s="224"/>
      <c r="T263" s="224"/>
      <c r="U263" s="224"/>
      <c r="V263" s="224"/>
      <c r="W263" s="106"/>
    </row>
    <row r="264" spans="1:23" s="101" customFormat="1" x14ac:dyDescent="0.3">
      <c r="A264" s="222"/>
      <c r="B264" s="235"/>
      <c r="C264" s="227"/>
      <c r="D264" s="344"/>
      <c r="E264" s="235"/>
      <c r="F264" s="235"/>
      <c r="G264" s="227"/>
      <c r="H264" s="227"/>
      <c r="I264" s="350"/>
      <c r="J264" s="227"/>
      <c r="K264" s="227"/>
      <c r="L264" s="224"/>
      <c r="M264" s="224"/>
      <c r="N264" s="224"/>
      <c r="O264" s="224"/>
      <c r="P264" s="224"/>
      <c r="Q264" s="224"/>
      <c r="R264" s="224"/>
      <c r="S264" s="224"/>
      <c r="T264" s="224"/>
      <c r="U264" s="224"/>
      <c r="V264" s="224"/>
      <c r="W264" s="106"/>
    </row>
    <row r="265" spans="1:23" s="101" customFormat="1" x14ac:dyDescent="0.3">
      <c r="A265" s="222"/>
      <c r="B265" s="235"/>
      <c r="C265" s="227"/>
      <c r="D265" s="344"/>
      <c r="E265" s="235"/>
      <c r="F265" s="235"/>
      <c r="G265" s="227"/>
      <c r="H265" s="227"/>
      <c r="I265" s="350"/>
      <c r="J265" s="227"/>
      <c r="K265" s="227"/>
      <c r="L265" s="224"/>
      <c r="M265" s="224"/>
      <c r="N265" s="224"/>
      <c r="O265" s="224"/>
      <c r="P265" s="224"/>
      <c r="Q265" s="224"/>
      <c r="R265" s="224"/>
      <c r="S265" s="224"/>
      <c r="T265" s="224"/>
      <c r="U265" s="224"/>
      <c r="V265" s="224"/>
      <c r="W265" s="106"/>
    </row>
    <row r="266" spans="1:23" s="101" customFormat="1" x14ac:dyDescent="0.3">
      <c r="A266" s="222"/>
      <c r="B266" s="235"/>
      <c r="C266" s="227"/>
      <c r="D266" s="344"/>
      <c r="E266" s="235"/>
      <c r="F266" s="235"/>
      <c r="G266" s="227"/>
      <c r="H266" s="227"/>
      <c r="I266" s="350"/>
      <c r="J266" s="227"/>
      <c r="K266" s="227"/>
      <c r="L266" s="224"/>
      <c r="M266" s="224"/>
      <c r="N266" s="224"/>
      <c r="O266" s="224"/>
      <c r="P266" s="224"/>
      <c r="Q266" s="224"/>
      <c r="R266" s="224"/>
      <c r="S266" s="224"/>
      <c r="T266" s="224"/>
      <c r="U266" s="224"/>
      <c r="V266" s="224"/>
      <c r="W266" s="106"/>
    </row>
    <row r="267" spans="1:23" s="101" customFormat="1" x14ac:dyDescent="0.3">
      <c r="A267" s="222"/>
      <c r="B267" s="235"/>
      <c r="C267" s="227"/>
      <c r="D267" s="344"/>
      <c r="E267" s="235"/>
      <c r="F267" s="235"/>
      <c r="G267" s="227"/>
      <c r="H267" s="227"/>
      <c r="I267" s="350"/>
      <c r="J267" s="227"/>
      <c r="K267" s="227"/>
      <c r="L267" s="224"/>
      <c r="M267" s="224"/>
      <c r="N267" s="224"/>
      <c r="O267" s="224"/>
      <c r="P267" s="224"/>
      <c r="Q267" s="224"/>
      <c r="R267" s="224"/>
      <c r="S267" s="224"/>
      <c r="T267" s="224"/>
      <c r="U267" s="224"/>
      <c r="V267" s="224"/>
      <c r="W267" s="106"/>
    </row>
    <row r="268" spans="1:23" s="101" customFormat="1" x14ac:dyDescent="0.3">
      <c r="A268" s="222"/>
      <c r="B268" s="235"/>
      <c r="C268" s="227"/>
      <c r="D268" s="344"/>
      <c r="E268" s="235"/>
      <c r="F268" s="235"/>
      <c r="G268" s="227"/>
      <c r="H268" s="227"/>
      <c r="I268" s="350"/>
      <c r="J268" s="227"/>
      <c r="K268" s="227"/>
      <c r="L268" s="224"/>
      <c r="M268" s="224"/>
      <c r="N268" s="224"/>
      <c r="O268" s="224"/>
      <c r="P268" s="224"/>
      <c r="Q268" s="224"/>
      <c r="R268" s="224"/>
      <c r="S268" s="224"/>
      <c r="T268" s="224"/>
      <c r="U268" s="224"/>
      <c r="V268" s="224"/>
      <c r="W268" s="106"/>
    </row>
    <row r="269" spans="1:23" s="101" customFormat="1" x14ac:dyDescent="0.3">
      <c r="A269" s="222"/>
      <c r="B269" s="235"/>
      <c r="C269" s="227"/>
      <c r="D269" s="344"/>
      <c r="E269" s="235"/>
      <c r="F269" s="235"/>
      <c r="G269" s="227"/>
      <c r="H269" s="227"/>
      <c r="I269" s="350"/>
      <c r="J269" s="227"/>
      <c r="K269" s="227"/>
      <c r="L269" s="224"/>
      <c r="M269" s="224"/>
      <c r="N269" s="224"/>
      <c r="O269" s="224"/>
      <c r="P269" s="224"/>
      <c r="Q269" s="224"/>
      <c r="R269" s="224"/>
      <c r="S269" s="224"/>
      <c r="T269" s="224"/>
      <c r="U269" s="224"/>
      <c r="V269" s="224"/>
      <c r="W269" s="106"/>
    </row>
    <row r="270" spans="1:23" s="101" customFormat="1" x14ac:dyDescent="0.3">
      <c r="A270" s="222"/>
      <c r="B270" s="235"/>
      <c r="C270" s="227"/>
      <c r="D270" s="344"/>
      <c r="E270" s="235"/>
      <c r="F270" s="235"/>
      <c r="G270" s="227"/>
      <c r="H270" s="227"/>
      <c r="I270" s="350"/>
      <c r="J270" s="227"/>
      <c r="K270" s="227"/>
      <c r="L270" s="224"/>
      <c r="M270" s="224"/>
      <c r="N270" s="224"/>
      <c r="O270" s="224"/>
      <c r="P270" s="224"/>
      <c r="Q270" s="224"/>
      <c r="R270" s="224"/>
      <c r="S270" s="224"/>
      <c r="T270" s="224"/>
      <c r="U270" s="224"/>
      <c r="V270" s="224"/>
      <c r="W270" s="106"/>
    </row>
    <row r="271" spans="1:23" s="101" customFormat="1" x14ac:dyDescent="0.3">
      <c r="A271" s="222"/>
      <c r="B271" s="235"/>
      <c r="C271" s="227"/>
      <c r="D271" s="344"/>
      <c r="E271" s="235"/>
      <c r="F271" s="235"/>
      <c r="G271" s="227"/>
      <c r="H271" s="227"/>
      <c r="I271" s="350"/>
      <c r="J271" s="227"/>
      <c r="K271" s="227"/>
      <c r="L271" s="224"/>
      <c r="M271" s="224"/>
      <c r="N271" s="224"/>
      <c r="O271" s="224"/>
      <c r="P271" s="224"/>
      <c r="Q271" s="224"/>
      <c r="R271" s="224"/>
      <c r="S271" s="224"/>
      <c r="T271" s="224"/>
      <c r="U271" s="224"/>
      <c r="V271" s="224"/>
      <c r="W271" s="106"/>
    </row>
    <row r="272" spans="1:23" s="101" customFormat="1" x14ac:dyDescent="0.3">
      <c r="A272" s="222"/>
      <c r="B272" s="235"/>
      <c r="C272" s="227"/>
      <c r="D272" s="344"/>
      <c r="E272" s="235"/>
      <c r="F272" s="235"/>
      <c r="G272" s="227"/>
      <c r="H272" s="227"/>
      <c r="I272" s="350"/>
      <c r="J272" s="227"/>
      <c r="K272" s="227"/>
      <c r="L272" s="224"/>
      <c r="M272" s="224"/>
      <c r="N272" s="224"/>
      <c r="O272" s="224"/>
      <c r="P272" s="224"/>
      <c r="Q272" s="224"/>
      <c r="R272" s="224"/>
      <c r="S272" s="224"/>
      <c r="T272" s="224"/>
      <c r="U272" s="224"/>
      <c r="V272" s="224"/>
      <c r="W272" s="106"/>
    </row>
    <row r="273" spans="1:23" s="101" customFormat="1" x14ac:dyDescent="0.3">
      <c r="A273" s="222"/>
      <c r="B273" s="235"/>
      <c r="C273" s="227"/>
      <c r="D273" s="344"/>
      <c r="E273" s="235"/>
      <c r="F273" s="235"/>
      <c r="G273" s="227"/>
      <c r="H273" s="227"/>
      <c r="I273" s="350"/>
      <c r="J273" s="227"/>
      <c r="K273" s="227"/>
      <c r="L273" s="224"/>
      <c r="M273" s="224"/>
      <c r="N273" s="224"/>
      <c r="O273" s="224"/>
      <c r="P273" s="224"/>
      <c r="Q273" s="224"/>
      <c r="R273" s="224"/>
      <c r="S273" s="224"/>
      <c r="T273" s="224"/>
      <c r="U273" s="224"/>
      <c r="V273" s="224"/>
      <c r="W273" s="106"/>
    </row>
    <row r="274" spans="1:23" s="101" customFormat="1" x14ac:dyDescent="0.3">
      <c r="A274" s="222"/>
      <c r="B274" s="235"/>
      <c r="C274" s="227"/>
      <c r="D274" s="344"/>
      <c r="E274" s="235"/>
      <c r="F274" s="235"/>
      <c r="G274" s="227"/>
      <c r="H274" s="227"/>
      <c r="I274" s="350"/>
      <c r="J274" s="227"/>
      <c r="K274" s="227"/>
      <c r="L274" s="224"/>
      <c r="M274" s="224"/>
      <c r="N274" s="224"/>
      <c r="O274" s="224"/>
      <c r="P274" s="224"/>
      <c r="Q274" s="224"/>
      <c r="R274" s="224"/>
      <c r="S274" s="224"/>
      <c r="T274" s="224"/>
      <c r="U274" s="224"/>
      <c r="V274" s="224"/>
      <c r="W274" s="106"/>
    </row>
    <row r="275" spans="1:23" s="101" customFormat="1" x14ac:dyDescent="0.3">
      <c r="A275" s="222"/>
      <c r="B275" s="235"/>
      <c r="C275" s="227"/>
      <c r="D275" s="344"/>
      <c r="E275" s="235"/>
      <c r="F275" s="235"/>
      <c r="G275" s="227"/>
      <c r="H275" s="227"/>
      <c r="I275" s="350"/>
      <c r="J275" s="227"/>
      <c r="K275" s="227"/>
      <c r="L275" s="224"/>
      <c r="M275" s="224"/>
      <c r="N275" s="224"/>
      <c r="O275" s="224"/>
      <c r="P275" s="224"/>
      <c r="Q275" s="224"/>
      <c r="R275" s="224"/>
      <c r="S275" s="224"/>
      <c r="T275" s="224"/>
      <c r="U275" s="224"/>
      <c r="V275" s="224"/>
      <c r="W275" s="106"/>
    </row>
    <row r="276" spans="1:23" s="101" customFormat="1" x14ac:dyDescent="0.3">
      <c r="A276" s="222"/>
      <c r="B276" s="235"/>
      <c r="C276" s="227"/>
      <c r="D276" s="344"/>
      <c r="E276" s="235"/>
      <c r="F276" s="235"/>
      <c r="G276" s="227"/>
      <c r="H276" s="227"/>
      <c r="I276" s="350"/>
      <c r="J276" s="227"/>
      <c r="K276" s="227"/>
      <c r="L276" s="224"/>
      <c r="M276" s="224"/>
      <c r="N276" s="224"/>
      <c r="O276" s="224"/>
      <c r="P276" s="224"/>
      <c r="Q276" s="224"/>
      <c r="R276" s="224"/>
      <c r="S276" s="224"/>
      <c r="T276" s="224"/>
      <c r="U276" s="224"/>
      <c r="V276" s="224"/>
      <c r="W276" s="106"/>
    </row>
    <row r="277" spans="1:23" s="101" customFormat="1" x14ac:dyDescent="0.3">
      <c r="A277" s="222"/>
      <c r="B277" s="235"/>
      <c r="C277" s="227"/>
      <c r="D277" s="344"/>
      <c r="E277" s="235"/>
      <c r="F277" s="235"/>
      <c r="G277" s="227"/>
      <c r="H277" s="227"/>
      <c r="I277" s="350"/>
      <c r="J277" s="227"/>
      <c r="K277" s="227"/>
      <c r="L277" s="224"/>
      <c r="M277" s="224"/>
      <c r="N277" s="224"/>
      <c r="O277" s="224"/>
      <c r="P277" s="224"/>
      <c r="Q277" s="224"/>
      <c r="R277" s="224"/>
      <c r="S277" s="224"/>
      <c r="T277" s="224"/>
      <c r="U277" s="224"/>
      <c r="V277" s="224"/>
      <c r="W277" s="106"/>
    </row>
    <row r="278" spans="1:23" s="101" customFormat="1" x14ac:dyDescent="0.3">
      <c r="A278" s="222"/>
      <c r="B278" s="235"/>
      <c r="C278" s="227"/>
      <c r="D278" s="344"/>
      <c r="E278" s="235"/>
      <c r="F278" s="235"/>
      <c r="G278" s="227"/>
      <c r="H278" s="227"/>
      <c r="I278" s="350"/>
      <c r="J278" s="227"/>
      <c r="K278" s="227"/>
      <c r="L278" s="224"/>
      <c r="M278" s="224"/>
      <c r="N278" s="224"/>
      <c r="O278" s="224"/>
      <c r="P278" s="224"/>
      <c r="Q278" s="224"/>
      <c r="R278" s="224"/>
      <c r="S278" s="224"/>
      <c r="T278" s="224"/>
      <c r="U278" s="224"/>
      <c r="V278" s="224"/>
      <c r="W278" s="106"/>
    </row>
    <row r="279" spans="1:23" s="101" customFormat="1" x14ac:dyDescent="0.3">
      <c r="A279" s="222"/>
      <c r="B279" s="235"/>
      <c r="C279" s="227"/>
      <c r="D279" s="344"/>
      <c r="E279" s="235"/>
      <c r="F279" s="235"/>
      <c r="G279" s="227"/>
      <c r="H279" s="227"/>
      <c r="I279" s="350"/>
      <c r="J279" s="227"/>
      <c r="K279" s="227"/>
      <c r="L279" s="224"/>
      <c r="M279" s="224"/>
      <c r="N279" s="224"/>
      <c r="O279" s="224"/>
      <c r="P279" s="224"/>
      <c r="Q279" s="224"/>
      <c r="R279" s="224"/>
      <c r="S279" s="224"/>
      <c r="T279" s="224"/>
      <c r="U279" s="224"/>
      <c r="V279" s="224"/>
      <c r="W279" s="106"/>
    </row>
    <row r="280" spans="1:23" s="101" customFormat="1" x14ac:dyDescent="0.3">
      <c r="A280" s="222"/>
      <c r="B280" s="235"/>
      <c r="C280" s="227"/>
      <c r="D280" s="344"/>
      <c r="E280" s="235"/>
      <c r="F280" s="235"/>
      <c r="G280" s="227"/>
      <c r="H280" s="227"/>
      <c r="I280" s="350"/>
      <c r="J280" s="227"/>
      <c r="K280" s="227"/>
      <c r="L280" s="224"/>
      <c r="M280" s="224"/>
      <c r="N280" s="224"/>
      <c r="O280" s="224"/>
      <c r="P280" s="224"/>
      <c r="Q280" s="224"/>
      <c r="R280" s="224"/>
      <c r="S280" s="224"/>
      <c r="T280" s="224"/>
      <c r="U280" s="224"/>
      <c r="V280" s="224"/>
      <c r="W280" s="106"/>
    </row>
    <row r="281" spans="1:23" s="101" customFormat="1" x14ac:dyDescent="0.3">
      <c r="A281" s="222"/>
      <c r="B281" s="235"/>
      <c r="C281" s="227"/>
      <c r="D281" s="344"/>
      <c r="E281" s="235"/>
      <c r="F281" s="235"/>
      <c r="G281" s="227"/>
      <c r="H281" s="227"/>
      <c r="I281" s="350"/>
      <c r="J281" s="227"/>
      <c r="K281" s="227"/>
      <c r="L281" s="224"/>
      <c r="M281" s="224"/>
      <c r="N281" s="224"/>
      <c r="O281" s="224"/>
      <c r="P281" s="224"/>
      <c r="Q281" s="224"/>
      <c r="R281" s="224"/>
      <c r="S281" s="224"/>
      <c r="T281" s="224"/>
      <c r="U281" s="224"/>
      <c r="V281" s="224"/>
      <c r="W281" s="106"/>
    </row>
    <row r="282" spans="1:23" s="101" customFormat="1" x14ac:dyDescent="0.3">
      <c r="A282" s="222"/>
      <c r="B282" s="235"/>
      <c r="C282" s="227"/>
      <c r="D282" s="344"/>
      <c r="E282" s="235"/>
      <c r="F282" s="235"/>
      <c r="G282" s="227"/>
      <c r="H282" s="227"/>
      <c r="I282" s="350"/>
      <c r="J282" s="227"/>
      <c r="K282" s="227"/>
      <c r="L282" s="224"/>
      <c r="M282" s="224"/>
      <c r="N282" s="224"/>
      <c r="O282" s="224"/>
      <c r="P282" s="224"/>
      <c r="Q282" s="224"/>
      <c r="R282" s="224"/>
      <c r="S282" s="224"/>
      <c r="T282" s="224"/>
      <c r="U282" s="224"/>
      <c r="V282" s="224"/>
      <c r="W282" s="106"/>
    </row>
    <row r="283" spans="1:23" s="101" customFormat="1" x14ac:dyDescent="0.3">
      <c r="A283" s="222"/>
      <c r="B283" s="235"/>
      <c r="C283" s="227"/>
      <c r="D283" s="344"/>
      <c r="E283" s="235"/>
      <c r="F283" s="235"/>
      <c r="G283" s="227"/>
      <c r="H283" s="227"/>
      <c r="I283" s="350"/>
      <c r="J283" s="227"/>
      <c r="K283" s="227"/>
      <c r="L283" s="224"/>
      <c r="M283" s="224"/>
      <c r="N283" s="224"/>
      <c r="O283" s="224"/>
      <c r="P283" s="224"/>
      <c r="Q283" s="224"/>
      <c r="R283" s="224"/>
      <c r="S283" s="224"/>
      <c r="T283" s="224"/>
      <c r="U283" s="224"/>
      <c r="V283" s="224"/>
      <c r="W283" s="106"/>
    </row>
    <row r="284" spans="1:23" s="101" customFormat="1" x14ac:dyDescent="0.3">
      <c r="A284" s="222"/>
      <c r="B284" s="235"/>
      <c r="C284" s="227"/>
      <c r="D284" s="344"/>
      <c r="E284" s="235"/>
      <c r="F284" s="235"/>
      <c r="G284" s="227"/>
      <c r="H284" s="227"/>
      <c r="I284" s="350"/>
      <c r="J284" s="227"/>
      <c r="K284" s="227"/>
      <c r="L284" s="224"/>
      <c r="M284" s="224"/>
      <c r="N284" s="224"/>
      <c r="O284" s="224"/>
      <c r="P284" s="224"/>
      <c r="Q284" s="224"/>
      <c r="R284" s="224"/>
      <c r="S284" s="224"/>
      <c r="T284" s="224"/>
      <c r="U284" s="224"/>
      <c r="V284" s="224"/>
      <c r="W284" s="106"/>
    </row>
    <row r="285" spans="1:23" s="101" customFormat="1" x14ac:dyDescent="0.3">
      <c r="A285" s="222"/>
      <c r="B285" s="235"/>
      <c r="C285" s="227"/>
      <c r="D285" s="344"/>
      <c r="E285" s="235"/>
      <c r="F285" s="235"/>
      <c r="G285" s="227"/>
      <c r="H285" s="227"/>
      <c r="I285" s="350"/>
      <c r="J285" s="227"/>
      <c r="K285" s="227"/>
      <c r="L285" s="224"/>
      <c r="M285" s="224"/>
      <c r="N285" s="224"/>
      <c r="O285" s="224"/>
      <c r="P285" s="224"/>
      <c r="Q285" s="224"/>
      <c r="R285" s="224"/>
      <c r="S285" s="224"/>
      <c r="T285" s="224"/>
      <c r="U285" s="224"/>
      <c r="V285" s="224"/>
      <c r="W285" s="106"/>
    </row>
    <row r="286" spans="1:23" s="101" customFormat="1" x14ac:dyDescent="0.3">
      <c r="A286" s="222"/>
      <c r="B286" s="235"/>
      <c r="C286" s="227"/>
      <c r="D286" s="344"/>
      <c r="E286" s="235"/>
      <c r="F286" s="235"/>
      <c r="G286" s="227"/>
      <c r="H286" s="227"/>
      <c r="I286" s="350"/>
      <c r="J286" s="227"/>
      <c r="K286" s="227"/>
      <c r="L286" s="224"/>
      <c r="M286" s="224"/>
      <c r="N286" s="224"/>
      <c r="O286" s="224"/>
      <c r="P286" s="224"/>
      <c r="Q286" s="224"/>
      <c r="R286" s="224"/>
      <c r="S286" s="224"/>
      <c r="T286" s="224"/>
      <c r="U286" s="224"/>
      <c r="V286" s="224"/>
      <c r="W286" s="106"/>
    </row>
    <row r="287" spans="1:23" s="101" customFormat="1" x14ac:dyDescent="0.3">
      <c r="A287" s="222"/>
      <c r="B287" s="235"/>
      <c r="C287" s="227"/>
      <c r="D287" s="344"/>
      <c r="E287" s="235"/>
      <c r="F287" s="235"/>
      <c r="G287" s="227"/>
      <c r="H287" s="227"/>
      <c r="I287" s="350"/>
      <c r="J287" s="227"/>
      <c r="K287" s="227"/>
      <c r="L287" s="224"/>
      <c r="M287" s="224"/>
      <c r="N287" s="224"/>
      <c r="O287" s="224"/>
      <c r="P287" s="224"/>
      <c r="Q287" s="224"/>
      <c r="R287" s="224"/>
      <c r="S287" s="224"/>
      <c r="T287" s="224"/>
      <c r="U287" s="224"/>
      <c r="V287" s="224"/>
      <c r="W287" s="106"/>
    </row>
    <row r="288" spans="1:23" s="101" customFormat="1" x14ac:dyDescent="0.3">
      <c r="A288" s="222"/>
      <c r="B288" s="235"/>
      <c r="C288" s="227"/>
      <c r="D288" s="344"/>
      <c r="E288" s="235"/>
      <c r="F288" s="235"/>
      <c r="G288" s="227"/>
      <c r="H288" s="227"/>
      <c r="I288" s="350"/>
      <c r="J288" s="227"/>
      <c r="K288" s="227"/>
      <c r="L288" s="224"/>
      <c r="M288" s="224"/>
      <c r="N288" s="224"/>
      <c r="O288" s="224"/>
      <c r="P288" s="224"/>
      <c r="Q288" s="224"/>
      <c r="R288" s="224"/>
      <c r="S288" s="224"/>
      <c r="T288" s="224"/>
      <c r="U288" s="224"/>
      <c r="V288" s="224"/>
      <c r="W288" s="106"/>
    </row>
    <row r="289" spans="1:23" s="101" customFormat="1" x14ac:dyDescent="0.3">
      <c r="A289" s="222"/>
      <c r="B289" s="235"/>
      <c r="C289" s="227"/>
      <c r="D289" s="344"/>
      <c r="E289" s="235"/>
      <c r="F289" s="235"/>
      <c r="G289" s="227"/>
      <c r="H289" s="227"/>
      <c r="I289" s="350"/>
      <c r="J289" s="227"/>
      <c r="K289" s="227"/>
      <c r="L289" s="224"/>
      <c r="M289" s="224"/>
      <c r="N289" s="224"/>
      <c r="O289" s="224"/>
      <c r="P289" s="224"/>
      <c r="Q289" s="224"/>
      <c r="R289" s="224"/>
      <c r="S289" s="224"/>
      <c r="T289" s="224"/>
      <c r="U289" s="224"/>
      <c r="V289" s="224"/>
      <c r="W289" s="106"/>
    </row>
    <row r="290" spans="1:23" s="101" customFormat="1" x14ac:dyDescent="0.3">
      <c r="A290" s="222"/>
      <c r="B290" s="235"/>
      <c r="C290" s="227"/>
      <c r="D290" s="344"/>
      <c r="E290" s="235"/>
      <c r="F290" s="235"/>
      <c r="G290" s="227"/>
      <c r="H290" s="227"/>
      <c r="I290" s="350"/>
      <c r="J290" s="227"/>
      <c r="K290" s="227"/>
      <c r="L290" s="224"/>
      <c r="M290" s="224"/>
      <c r="N290" s="224"/>
      <c r="O290" s="224"/>
      <c r="P290" s="224"/>
      <c r="Q290" s="224"/>
      <c r="R290" s="224"/>
      <c r="S290" s="224"/>
      <c r="T290" s="224"/>
      <c r="U290" s="224"/>
      <c r="V290" s="224"/>
      <c r="W290" s="106"/>
    </row>
    <row r="291" spans="1:23" s="101" customFormat="1" x14ac:dyDescent="0.3">
      <c r="A291" s="222"/>
      <c r="B291" s="235"/>
      <c r="C291" s="227"/>
      <c r="D291" s="344"/>
      <c r="E291" s="235"/>
      <c r="F291" s="235"/>
      <c r="G291" s="227"/>
      <c r="H291" s="227"/>
      <c r="I291" s="350"/>
      <c r="J291" s="227"/>
      <c r="K291" s="227"/>
      <c r="L291" s="224"/>
      <c r="M291" s="224"/>
      <c r="N291" s="224"/>
      <c r="O291" s="224"/>
      <c r="P291" s="224"/>
      <c r="Q291" s="224"/>
      <c r="R291" s="224"/>
      <c r="S291" s="224"/>
      <c r="T291" s="224"/>
      <c r="U291" s="224"/>
      <c r="V291" s="224"/>
      <c r="W291" s="106"/>
    </row>
    <row r="292" spans="1:23" s="101" customFormat="1" x14ac:dyDescent="0.3">
      <c r="A292" s="222"/>
      <c r="B292" s="235"/>
      <c r="C292" s="227"/>
      <c r="D292" s="344"/>
      <c r="E292" s="235"/>
      <c r="F292" s="235"/>
      <c r="G292" s="227"/>
      <c r="H292" s="227"/>
      <c r="I292" s="350"/>
      <c r="J292" s="227"/>
      <c r="K292" s="227"/>
      <c r="L292" s="224"/>
      <c r="M292" s="224"/>
      <c r="N292" s="224"/>
      <c r="O292" s="224"/>
      <c r="P292" s="224"/>
      <c r="Q292" s="224"/>
      <c r="R292" s="224"/>
      <c r="S292" s="224"/>
      <c r="T292" s="224"/>
      <c r="U292" s="224"/>
      <c r="V292" s="224"/>
      <c r="W292" s="106"/>
    </row>
    <row r="293" spans="1:23" s="101" customFormat="1" x14ac:dyDescent="0.3">
      <c r="A293" s="222"/>
      <c r="B293" s="235"/>
      <c r="C293" s="227"/>
      <c r="D293" s="344"/>
      <c r="E293" s="235"/>
      <c r="F293" s="235"/>
      <c r="G293" s="227"/>
      <c r="H293" s="227"/>
      <c r="I293" s="350"/>
      <c r="J293" s="227"/>
      <c r="K293" s="227"/>
      <c r="L293" s="224"/>
      <c r="M293" s="224"/>
      <c r="N293" s="224"/>
      <c r="O293" s="224"/>
      <c r="P293" s="224"/>
      <c r="Q293" s="224"/>
      <c r="R293" s="224"/>
      <c r="S293" s="224"/>
      <c r="T293" s="224"/>
      <c r="U293" s="224"/>
      <c r="V293" s="224"/>
      <c r="W293" s="106"/>
    </row>
    <row r="294" spans="1:23" s="101" customFormat="1" x14ac:dyDescent="0.3">
      <c r="A294" s="222"/>
      <c r="B294" s="235"/>
      <c r="C294" s="227"/>
      <c r="D294" s="344"/>
      <c r="E294" s="235"/>
      <c r="F294" s="235"/>
      <c r="G294" s="227"/>
      <c r="H294" s="227"/>
      <c r="I294" s="350"/>
      <c r="J294" s="227"/>
      <c r="K294" s="227"/>
      <c r="L294" s="224"/>
      <c r="M294" s="224"/>
      <c r="N294" s="224"/>
      <c r="O294" s="224"/>
      <c r="P294" s="224"/>
      <c r="Q294" s="224"/>
      <c r="R294" s="224"/>
      <c r="S294" s="224"/>
      <c r="T294" s="224"/>
      <c r="U294" s="224"/>
      <c r="V294" s="224"/>
      <c r="W294" s="106"/>
    </row>
    <row r="295" spans="1:23" s="101" customFormat="1" x14ac:dyDescent="0.3">
      <c r="A295" s="222"/>
      <c r="B295" s="235"/>
      <c r="C295" s="227"/>
      <c r="D295" s="344"/>
      <c r="E295" s="235"/>
      <c r="F295" s="235"/>
      <c r="G295" s="227"/>
      <c r="H295" s="227"/>
      <c r="I295" s="350"/>
      <c r="J295" s="227"/>
      <c r="K295" s="227"/>
      <c r="L295" s="224"/>
      <c r="M295" s="224"/>
      <c r="N295" s="224"/>
      <c r="O295" s="224"/>
      <c r="P295" s="224"/>
      <c r="Q295" s="224"/>
      <c r="R295" s="224"/>
      <c r="S295" s="224"/>
      <c r="T295" s="224"/>
      <c r="U295" s="224"/>
      <c r="V295" s="224"/>
      <c r="W295" s="106"/>
    </row>
    <row r="296" spans="1:23" s="101" customFormat="1" x14ac:dyDescent="0.3">
      <c r="A296" s="222"/>
      <c r="B296" s="235"/>
      <c r="C296" s="227"/>
      <c r="D296" s="344"/>
      <c r="E296" s="235"/>
      <c r="F296" s="235"/>
      <c r="G296" s="227"/>
      <c r="H296" s="227"/>
      <c r="I296" s="350"/>
      <c r="J296" s="227"/>
      <c r="K296" s="227"/>
      <c r="L296" s="224"/>
      <c r="M296" s="224"/>
      <c r="N296" s="224"/>
      <c r="O296" s="224"/>
      <c r="P296" s="224"/>
      <c r="Q296" s="224"/>
      <c r="R296" s="224"/>
      <c r="S296" s="224"/>
      <c r="T296" s="224"/>
      <c r="U296" s="224"/>
      <c r="V296" s="224"/>
      <c r="W296" s="106"/>
    </row>
    <row r="297" spans="1:23" s="101" customFormat="1" x14ac:dyDescent="0.3">
      <c r="A297" s="222"/>
      <c r="B297" s="235"/>
      <c r="C297" s="227"/>
      <c r="D297" s="344"/>
      <c r="E297" s="235"/>
      <c r="F297" s="235"/>
      <c r="G297" s="227"/>
      <c r="H297" s="227"/>
      <c r="I297" s="350"/>
      <c r="J297" s="227"/>
      <c r="K297" s="227"/>
      <c r="L297" s="224"/>
      <c r="M297" s="224"/>
      <c r="N297" s="224"/>
      <c r="O297" s="224"/>
      <c r="P297" s="224"/>
      <c r="Q297" s="224"/>
      <c r="R297" s="224"/>
      <c r="S297" s="224"/>
      <c r="T297" s="224"/>
      <c r="U297" s="224"/>
      <c r="V297" s="224"/>
      <c r="W297" s="106"/>
    </row>
    <row r="298" spans="1:23" s="101" customFormat="1" x14ac:dyDescent="0.3">
      <c r="A298" s="222"/>
      <c r="B298" s="235"/>
      <c r="C298" s="227"/>
      <c r="D298" s="344"/>
      <c r="E298" s="235"/>
      <c r="F298" s="235"/>
      <c r="G298" s="227"/>
      <c r="H298" s="227"/>
      <c r="I298" s="350"/>
      <c r="J298" s="227"/>
      <c r="K298" s="227"/>
      <c r="L298" s="224"/>
      <c r="M298" s="224"/>
      <c r="N298" s="224"/>
      <c r="O298" s="224"/>
      <c r="P298" s="224"/>
      <c r="Q298" s="224"/>
      <c r="R298" s="224"/>
      <c r="S298" s="224"/>
      <c r="T298" s="224"/>
      <c r="U298" s="224"/>
      <c r="V298" s="224"/>
      <c r="W298" s="106"/>
    </row>
    <row r="299" spans="1:23" s="101" customFormat="1" x14ac:dyDescent="0.3">
      <c r="A299" s="222"/>
      <c r="B299" s="235"/>
      <c r="C299" s="227"/>
      <c r="D299" s="344"/>
      <c r="E299" s="235"/>
      <c r="F299" s="235"/>
      <c r="G299" s="227"/>
      <c r="H299" s="227"/>
      <c r="I299" s="350"/>
      <c r="J299" s="227"/>
      <c r="K299" s="227"/>
      <c r="L299" s="224"/>
      <c r="M299" s="224"/>
      <c r="N299" s="224"/>
      <c r="O299" s="224"/>
      <c r="P299" s="224"/>
      <c r="Q299" s="224"/>
      <c r="R299" s="224"/>
      <c r="S299" s="224"/>
      <c r="T299" s="224"/>
      <c r="U299" s="224"/>
      <c r="V299" s="224"/>
      <c r="W299" s="106"/>
    </row>
    <row r="300" spans="1:23" s="101" customFormat="1" x14ac:dyDescent="0.3">
      <c r="A300" s="222"/>
      <c r="B300" s="235"/>
      <c r="C300" s="227"/>
      <c r="D300" s="344"/>
      <c r="E300" s="235"/>
      <c r="F300" s="235"/>
      <c r="G300" s="227"/>
      <c r="H300" s="227"/>
      <c r="I300" s="350"/>
      <c r="J300" s="227"/>
      <c r="K300" s="227"/>
      <c r="L300" s="224"/>
      <c r="M300" s="224"/>
      <c r="N300" s="224"/>
      <c r="O300" s="224"/>
      <c r="P300" s="224"/>
      <c r="Q300" s="224"/>
      <c r="R300" s="224"/>
      <c r="S300" s="224"/>
      <c r="T300" s="224"/>
      <c r="U300" s="224"/>
      <c r="V300" s="224"/>
      <c r="W300" s="106"/>
    </row>
    <row r="301" spans="1:23" s="101" customFormat="1" x14ac:dyDescent="0.3">
      <c r="A301" s="222"/>
      <c r="B301" s="235"/>
      <c r="C301" s="227"/>
      <c r="D301" s="344"/>
      <c r="E301" s="235"/>
      <c r="F301" s="235"/>
      <c r="G301" s="227"/>
      <c r="H301" s="227"/>
      <c r="I301" s="350"/>
      <c r="J301" s="227"/>
      <c r="K301" s="227"/>
      <c r="L301" s="224"/>
      <c r="M301" s="224"/>
      <c r="N301" s="224"/>
      <c r="O301" s="224"/>
      <c r="P301" s="224"/>
      <c r="Q301" s="224"/>
      <c r="R301" s="224"/>
      <c r="S301" s="224"/>
      <c r="T301" s="224"/>
      <c r="U301" s="224"/>
      <c r="V301" s="224"/>
      <c r="W301" s="106"/>
    </row>
    <row r="302" spans="1:23" s="101" customFormat="1" x14ac:dyDescent="0.3">
      <c r="A302" s="222"/>
      <c r="B302" s="235"/>
      <c r="C302" s="227"/>
      <c r="D302" s="344"/>
      <c r="E302" s="235"/>
      <c r="F302" s="235"/>
      <c r="G302" s="227"/>
      <c r="H302" s="227"/>
      <c r="I302" s="350"/>
      <c r="J302" s="227"/>
      <c r="K302" s="227"/>
      <c r="L302" s="224"/>
      <c r="M302" s="224"/>
      <c r="N302" s="224"/>
      <c r="O302" s="224"/>
      <c r="P302" s="224"/>
      <c r="Q302" s="224"/>
      <c r="R302" s="224"/>
      <c r="S302" s="224"/>
      <c r="T302" s="224"/>
      <c r="U302" s="224"/>
      <c r="V302" s="224"/>
      <c r="W302" s="106"/>
    </row>
    <row r="303" spans="1:23" s="101" customFormat="1" x14ac:dyDescent="0.3">
      <c r="A303" s="222"/>
      <c r="B303" s="235"/>
      <c r="C303" s="227"/>
      <c r="D303" s="344"/>
      <c r="E303" s="235"/>
      <c r="F303" s="235"/>
      <c r="G303" s="227"/>
      <c r="H303" s="227"/>
      <c r="I303" s="350"/>
      <c r="J303" s="227"/>
      <c r="K303" s="227"/>
      <c r="L303" s="224"/>
      <c r="M303" s="224"/>
      <c r="N303" s="224"/>
      <c r="O303" s="224"/>
      <c r="P303" s="224"/>
      <c r="Q303" s="224"/>
      <c r="R303" s="224"/>
      <c r="S303" s="224"/>
      <c r="T303" s="224"/>
      <c r="U303" s="224"/>
      <c r="V303" s="224"/>
      <c r="W303" s="106"/>
    </row>
    <row r="304" spans="1:23" s="101" customFormat="1" x14ac:dyDescent="0.3">
      <c r="A304" s="222"/>
      <c r="B304" s="235"/>
      <c r="C304" s="227"/>
      <c r="D304" s="344"/>
      <c r="E304" s="235"/>
      <c r="F304" s="235"/>
      <c r="G304" s="227"/>
      <c r="H304" s="227"/>
      <c r="I304" s="350"/>
      <c r="J304" s="227"/>
      <c r="K304" s="227"/>
      <c r="L304" s="224"/>
      <c r="M304" s="224"/>
      <c r="N304" s="224"/>
      <c r="O304" s="224"/>
      <c r="P304" s="224"/>
      <c r="Q304" s="224"/>
      <c r="R304" s="224"/>
      <c r="S304" s="224"/>
      <c r="T304" s="224"/>
      <c r="U304" s="224"/>
      <c r="V304" s="224"/>
      <c r="W304" s="106"/>
    </row>
    <row r="305" spans="1:23" s="101" customFormat="1" x14ac:dyDescent="0.3">
      <c r="A305" s="222"/>
      <c r="B305" s="235"/>
      <c r="C305" s="227"/>
      <c r="D305" s="344"/>
      <c r="E305" s="235"/>
      <c r="F305" s="235"/>
      <c r="G305" s="227"/>
      <c r="H305" s="227"/>
      <c r="I305" s="350"/>
      <c r="J305" s="227"/>
      <c r="K305" s="227"/>
      <c r="L305" s="224"/>
      <c r="M305" s="224"/>
      <c r="N305" s="224"/>
      <c r="O305" s="224"/>
      <c r="P305" s="224"/>
      <c r="Q305" s="224"/>
      <c r="R305" s="224"/>
      <c r="S305" s="224"/>
      <c r="T305" s="224"/>
      <c r="U305" s="224"/>
      <c r="V305" s="224"/>
      <c r="W305" s="106"/>
    </row>
    <row r="306" spans="1:23" s="101" customFormat="1" x14ac:dyDescent="0.3">
      <c r="A306" s="222"/>
      <c r="B306" s="235"/>
      <c r="C306" s="227"/>
      <c r="D306" s="344"/>
      <c r="E306" s="235"/>
      <c r="F306" s="235"/>
      <c r="G306" s="227"/>
      <c r="H306" s="227"/>
      <c r="I306" s="350"/>
      <c r="J306" s="227"/>
      <c r="K306" s="227"/>
      <c r="L306" s="224"/>
      <c r="M306" s="224"/>
      <c r="N306" s="224"/>
      <c r="O306" s="224"/>
      <c r="P306" s="224"/>
      <c r="Q306" s="224"/>
      <c r="R306" s="224"/>
      <c r="S306" s="224"/>
      <c r="T306" s="224"/>
      <c r="U306" s="224"/>
      <c r="V306" s="224"/>
      <c r="W306" s="106"/>
    </row>
    <row r="307" spans="1:23" s="101" customFormat="1" x14ac:dyDescent="0.3">
      <c r="A307" s="222"/>
      <c r="B307" s="235"/>
      <c r="C307" s="227"/>
      <c r="D307" s="344"/>
      <c r="E307" s="235"/>
      <c r="F307" s="235"/>
      <c r="G307" s="227"/>
      <c r="H307" s="227"/>
      <c r="I307" s="350"/>
      <c r="J307" s="227"/>
      <c r="K307" s="227"/>
      <c r="L307" s="224"/>
      <c r="M307" s="224"/>
      <c r="N307" s="224"/>
      <c r="O307" s="224"/>
      <c r="P307" s="224"/>
      <c r="Q307" s="224"/>
      <c r="R307" s="224"/>
      <c r="S307" s="224"/>
      <c r="T307" s="224"/>
      <c r="U307" s="224"/>
      <c r="V307" s="224"/>
      <c r="W307" s="106"/>
    </row>
    <row r="308" spans="1:23" s="101" customFormat="1" x14ac:dyDescent="0.3">
      <c r="A308" s="222"/>
      <c r="B308" s="235"/>
      <c r="C308" s="227"/>
      <c r="D308" s="344"/>
      <c r="E308" s="235"/>
      <c r="F308" s="235"/>
      <c r="G308" s="227"/>
      <c r="H308" s="227"/>
      <c r="I308" s="350"/>
      <c r="J308" s="227"/>
      <c r="K308" s="227"/>
      <c r="L308" s="224"/>
      <c r="M308" s="224"/>
      <c r="N308" s="224"/>
      <c r="O308" s="224"/>
      <c r="P308" s="224"/>
      <c r="Q308" s="224"/>
      <c r="R308" s="224"/>
      <c r="S308" s="224"/>
      <c r="T308" s="224"/>
      <c r="U308" s="224"/>
      <c r="V308" s="224"/>
      <c r="W308" s="106"/>
    </row>
    <row r="309" spans="1:23" s="101" customFormat="1" x14ac:dyDescent="0.3">
      <c r="A309" s="222"/>
      <c r="B309" s="235"/>
      <c r="C309" s="227"/>
      <c r="D309" s="344"/>
      <c r="E309" s="235"/>
      <c r="F309" s="235"/>
      <c r="G309" s="227"/>
      <c r="H309" s="227"/>
      <c r="I309" s="350"/>
      <c r="J309" s="227"/>
      <c r="K309" s="227"/>
      <c r="L309" s="224"/>
      <c r="M309" s="224"/>
      <c r="N309" s="224"/>
      <c r="O309" s="224"/>
      <c r="P309" s="224"/>
      <c r="Q309" s="224"/>
      <c r="R309" s="224"/>
      <c r="S309" s="224"/>
      <c r="T309" s="224"/>
      <c r="U309" s="224"/>
      <c r="V309" s="224"/>
      <c r="W309" s="106"/>
    </row>
    <row r="310" spans="1:23" s="101" customFormat="1" x14ac:dyDescent="0.3">
      <c r="A310" s="222"/>
      <c r="B310" s="235"/>
      <c r="C310" s="227"/>
      <c r="D310" s="344"/>
      <c r="E310" s="235"/>
      <c r="F310" s="235"/>
      <c r="G310" s="227"/>
      <c r="H310" s="227"/>
      <c r="I310" s="350"/>
      <c r="J310" s="227"/>
      <c r="K310" s="227"/>
      <c r="L310" s="224"/>
      <c r="M310" s="224"/>
      <c r="N310" s="224"/>
      <c r="O310" s="224"/>
      <c r="P310" s="224"/>
      <c r="Q310" s="224"/>
      <c r="R310" s="224"/>
      <c r="S310" s="224"/>
      <c r="T310" s="224"/>
      <c r="U310" s="224"/>
      <c r="V310" s="224"/>
      <c r="W310" s="106"/>
    </row>
    <row r="311" spans="1:23" s="101" customFormat="1" x14ac:dyDescent="0.3">
      <c r="A311" s="222"/>
      <c r="B311" s="235"/>
      <c r="C311" s="227"/>
      <c r="D311" s="344"/>
      <c r="E311" s="235"/>
      <c r="F311" s="235"/>
      <c r="G311" s="227"/>
      <c r="H311" s="227"/>
      <c r="I311" s="350"/>
      <c r="J311" s="227"/>
      <c r="K311" s="227"/>
      <c r="L311" s="224"/>
      <c r="M311" s="224"/>
      <c r="N311" s="224"/>
      <c r="O311" s="224"/>
      <c r="P311" s="224"/>
      <c r="Q311" s="224"/>
      <c r="R311" s="224"/>
      <c r="S311" s="224"/>
      <c r="T311" s="224"/>
      <c r="U311" s="224"/>
      <c r="V311" s="224"/>
      <c r="W311" s="106"/>
    </row>
    <row r="312" spans="1:23" s="101" customFormat="1" x14ac:dyDescent="0.3">
      <c r="A312" s="222"/>
      <c r="B312" s="235"/>
      <c r="C312" s="227"/>
      <c r="D312" s="344"/>
      <c r="E312" s="235"/>
      <c r="F312" s="235"/>
      <c r="G312" s="227"/>
      <c r="H312" s="227"/>
      <c r="I312" s="350"/>
      <c r="J312" s="227"/>
      <c r="K312" s="227"/>
      <c r="L312" s="224"/>
      <c r="M312" s="224"/>
      <c r="N312" s="224"/>
      <c r="O312" s="224"/>
      <c r="P312" s="224"/>
      <c r="Q312" s="224"/>
      <c r="R312" s="224"/>
      <c r="S312" s="224"/>
      <c r="T312" s="224"/>
      <c r="U312" s="224"/>
      <c r="V312" s="224"/>
      <c r="W312" s="106"/>
    </row>
    <row r="313" spans="1:23" s="101" customFormat="1" x14ac:dyDescent="0.3">
      <c r="A313" s="222"/>
      <c r="B313" s="235"/>
      <c r="C313" s="227"/>
      <c r="D313" s="344"/>
      <c r="E313" s="235"/>
      <c r="F313" s="235"/>
      <c r="G313" s="227"/>
      <c r="H313" s="227"/>
      <c r="I313" s="350"/>
      <c r="J313" s="227"/>
      <c r="K313" s="227"/>
      <c r="L313" s="224"/>
      <c r="M313" s="224"/>
      <c r="N313" s="224"/>
      <c r="O313" s="224"/>
      <c r="P313" s="224"/>
      <c r="Q313" s="224"/>
      <c r="R313" s="224"/>
      <c r="S313" s="224"/>
      <c r="T313" s="224"/>
      <c r="U313" s="224"/>
      <c r="V313" s="224"/>
      <c r="W313" s="106"/>
    </row>
    <row r="314" spans="1:23" s="101" customFormat="1" x14ac:dyDescent="0.3">
      <c r="A314" s="222"/>
      <c r="B314" s="235"/>
      <c r="C314" s="227"/>
      <c r="D314" s="344"/>
      <c r="E314" s="235"/>
      <c r="F314" s="235"/>
      <c r="G314" s="227"/>
      <c r="H314" s="227"/>
      <c r="I314" s="350"/>
      <c r="J314" s="227"/>
      <c r="K314" s="227"/>
      <c r="L314" s="224"/>
      <c r="M314" s="224"/>
      <c r="N314" s="224"/>
      <c r="O314" s="224"/>
      <c r="P314" s="224"/>
      <c r="Q314" s="224"/>
      <c r="R314" s="224"/>
      <c r="S314" s="224"/>
      <c r="T314" s="224"/>
      <c r="U314" s="224"/>
      <c r="V314" s="224"/>
      <c r="W314" s="106"/>
    </row>
    <row r="315" spans="1:23" s="101" customFormat="1" x14ac:dyDescent="0.3">
      <c r="A315" s="222"/>
      <c r="B315" s="235"/>
      <c r="C315" s="227"/>
      <c r="D315" s="344"/>
      <c r="E315" s="235"/>
      <c r="F315" s="235"/>
      <c r="G315" s="227"/>
      <c r="H315" s="227"/>
      <c r="I315" s="350"/>
      <c r="J315" s="227"/>
      <c r="K315" s="227"/>
      <c r="L315" s="224"/>
      <c r="M315" s="224"/>
      <c r="N315" s="224"/>
      <c r="O315" s="224"/>
      <c r="P315" s="224"/>
      <c r="Q315" s="224"/>
      <c r="R315" s="224"/>
      <c r="S315" s="224"/>
      <c r="T315" s="224"/>
      <c r="U315" s="224"/>
      <c r="V315" s="224"/>
      <c r="W315" s="106"/>
    </row>
    <row r="316" spans="1:23" s="101" customFormat="1" x14ac:dyDescent="0.3">
      <c r="A316" s="222"/>
      <c r="B316" s="235"/>
      <c r="C316" s="227"/>
      <c r="D316" s="344"/>
      <c r="E316" s="235"/>
      <c r="F316" s="235"/>
      <c r="G316" s="227"/>
      <c r="H316" s="227"/>
      <c r="I316" s="350"/>
      <c r="J316" s="227"/>
      <c r="K316" s="227"/>
      <c r="L316" s="224"/>
      <c r="M316" s="224"/>
      <c r="N316" s="224"/>
      <c r="O316" s="224"/>
      <c r="P316" s="224"/>
      <c r="Q316" s="224"/>
      <c r="R316" s="224"/>
      <c r="S316" s="224"/>
      <c r="T316" s="224"/>
      <c r="U316" s="224"/>
      <c r="V316" s="224"/>
      <c r="W316" s="106"/>
    </row>
    <row r="317" spans="1:23" s="101" customFormat="1" x14ac:dyDescent="0.3">
      <c r="A317" s="222"/>
      <c r="B317" s="235"/>
      <c r="C317" s="227"/>
      <c r="D317" s="344"/>
      <c r="E317" s="235"/>
      <c r="F317" s="235"/>
      <c r="G317" s="227"/>
      <c r="H317" s="227"/>
      <c r="I317" s="350"/>
      <c r="J317" s="227"/>
      <c r="K317" s="227"/>
      <c r="L317" s="224"/>
      <c r="M317" s="224"/>
      <c r="N317" s="224"/>
      <c r="O317" s="224"/>
      <c r="P317" s="224"/>
      <c r="Q317" s="224"/>
      <c r="R317" s="224"/>
      <c r="S317" s="224"/>
      <c r="T317" s="224"/>
      <c r="U317" s="224"/>
      <c r="V317" s="224"/>
      <c r="W317" s="106"/>
    </row>
    <row r="318" spans="1:23" s="101" customFormat="1" x14ac:dyDescent="0.3">
      <c r="A318" s="222"/>
      <c r="B318" s="235"/>
      <c r="C318" s="227"/>
      <c r="D318" s="344"/>
      <c r="E318" s="235"/>
      <c r="F318" s="235"/>
      <c r="G318" s="227"/>
      <c r="H318" s="227"/>
      <c r="I318" s="350"/>
      <c r="J318" s="227"/>
      <c r="K318" s="227"/>
      <c r="L318" s="224"/>
      <c r="M318" s="224"/>
      <c r="N318" s="224"/>
      <c r="O318" s="224"/>
      <c r="P318" s="224"/>
      <c r="Q318" s="224"/>
      <c r="R318" s="224"/>
      <c r="S318" s="224"/>
      <c r="T318" s="224"/>
      <c r="U318" s="224"/>
      <c r="V318" s="224"/>
      <c r="W318" s="106"/>
    </row>
    <row r="319" spans="1:23" s="101" customFormat="1" x14ac:dyDescent="0.3">
      <c r="A319" s="222"/>
      <c r="B319" s="235"/>
      <c r="C319" s="227"/>
      <c r="D319" s="344"/>
      <c r="E319" s="235"/>
      <c r="F319" s="235"/>
      <c r="G319" s="227"/>
      <c r="H319" s="227"/>
      <c r="I319" s="350"/>
      <c r="J319" s="227"/>
      <c r="K319" s="227"/>
      <c r="L319" s="224"/>
      <c r="M319" s="224"/>
      <c r="N319" s="224"/>
      <c r="O319" s="224"/>
      <c r="P319" s="224"/>
      <c r="Q319" s="224"/>
      <c r="R319" s="224"/>
      <c r="S319" s="224"/>
      <c r="T319" s="224"/>
      <c r="U319" s="224"/>
      <c r="V319" s="224"/>
      <c r="W319" s="106"/>
    </row>
    <row r="320" spans="1:23" s="101" customFormat="1" x14ac:dyDescent="0.3">
      <c r="A320" s="222"/>
      <c r="B320" s="235"/>
      <c r="C320" s="227"/>
      <c r="D320" s="344"/>
      <c r="E320" s="235"/>
      <c r="F320" s="235"/>
      <c r="G320" s="227"/>
      <c r="H320" s="227"/>
      <c r="I320" s="350"/>
      <c r="J320" s="227"/>
      <c r="K320" s="227"/>
      <c r="L320" s="224"/>
      <c r="M320" s="224"/>
      <c r="N320" s="224"/>
      <c r="O320" s="224"/>
      <c r="P320" s="224"/>
      <c r="Q320" s="224"/>
      <c r="R320" s="224"/>
      <c r="S320" s="224"/>
      <c r="T320" s="224"/>
      <c r="U320" s="224"/>
      <c r="V320" s="224"/>
      <c r="W320" s="106"/>
    </row>
    <row r="321" spans="1:23" s="101" customFormat="1" x14ac:dyDescent="0.3">
      <c r="A321" s="222"/>
      <c r="B321" s="235"/>
      <c r="C321" s="227"/>
      <c r="D321" s="344"/>
      <c r="E321" s="235"/>
      <c r="F321" s="235"/>
      <c r="G321" s="227"/>
      <c r="H321" s="227"/>
      <c r="I321" s="350"/>
      <c r="J321" s="227"/>
      <c r="K321" s="227"/>
      <c r="L321" s="224"/>
      <c r="M321" s="224"/>
      <c r="N321" s="224"/>
      <c r="O321" s="224"/>
      <c r="P321" s="224"/>
      <c r="Q321" s="224"/>
      <c r="R321" s="224"/>
      <c r="S321" s="224"/>
      <c r="T321" s="224"/>
      <c r="U321" s="224"/>
      <c r="V321" s="224"/>
      <c r="W321" s="106"/>
    </row>
    <row r="322" spans="1:23" s="101" customFormat="1" x14ac:dyDescent="0.3">
      <c r="A322" s="222"/>
      <c r="B322" s="235"/>
      <c r="C322" s="227"/>
      <c r="D322" s="344"/>
      <c r="E322" s="235"/>
      <c r="F322" s="235"/>
      <c r="G322" s="227"/>
      <c r="H322" s="227"/>
      <c r="I322" s="350"/>
      <c r="J322" s="227"/>
      <c r="K322" s="227"/>
      <c r="L322" s="224"/>
      <c r="M322" s="224"/>
      <c r="N322" s="224"/>
      <c r="O322" s="224"/>
      <c r="P322" s="224"/>
      <c r="Q322" s="224"/>
      <c r="R322" s="224"/>
      <c r="S322" s="224"/>
      <c r="T322" s="224"/>
      <c r="U322" s="224"/>
      <c r="V322" s="224"/>
      <c r="W322" s="106"/>
    </row>
    <row r="323" spans="1:23" s="101" customFormat="1" x14ac:dyDescent="0.3">
      <c r="A323" s="222"/>
      <c r="B323" s="235"/>
      <c r="C323" s="227"/>
      <c r="D323" s="344"/>
      <c r="E323" s="235"/>
      <c r="F323" s="235"/>
      <c r="G323" s="227"/>
      <c r="H323" s="227"/>
      <c r="I323" s="350"/>
      <c r="J323" s="227"/>
      <c r="K323" s="227"/>
      <c r="L323" s="224"/>
      <c r="M323" s="224"/>
      <c r="N323" s="224"/>
      <c r="O323" s="224"/>
      <c r="P323" s="224"/>
      <c r="Q323" s="224"/>
      <c r="R323" s="224"/>
      <c r="S323" s="224"/>
      <c r="T323" s="224"/>
      <c r="U323" s="224"/>
      <c r="V323" s="224"/>
      <c r="W323" s="106"/>
    </row>
    <row r="324" spans="1:23" s="101" customFormat="1" x14ac:dyDescent="0.3">
      <c r="A324" s="222"/>
      <c r="B324" s="235"/>
      <c r="C324" s="227"/>
      <c r="D324" s="344"/>
      <c r="E324" s="235"/>
      <c r="F324" s="235"/>
      <c r="G324" s="227"/>
      <c r="H324" s="227"/>
      <c r="I324" s="350"/>
      <c r="J324" s="227"/>
      <c r="K324" s="227"/>
      <c r="L324" s="224"/>
      <c r="M324" s="224"/>
      <c r="N324" s="224"/>
      <c r="O324" s="224"/>
      <c r="P324" s="224"/>
      <c r="Q324" s="224"/>
      <c r="R324" s="224"/>
      <c r="S324" s="224"/>
      <c r="T324" s="224"/>
      <c r="U324" s="224"/>
      <c r="V324" s="224"/>
      <c r="W324" s="106"/>
    </row>
    <row r="325" spans="1:23" s="101" customFormat="1" x14ac:dyDescent="0.3">
      <c r="A325" s="222"/>
      <c r="B325" s="235"/>
      <c r="C325" s="227"/>
      <c r="D325" s="344"/>
      <c r="E325" s="235"/>
      <c r="F325" s="235"/>
      <c r="G325" s="227"/>
      <c r="H325" s="227"/>
      <c r="I325" s="350"/>
      <c r="J325" s="227"/>
      <c r="K325" s="227"/>
      <c r="L325" s="224"/>
      <c r="M325" s="224"/>
      <c r="N325" s="224"/>
      <c r="O325" s="224"/>
      <c r="P325" s="224"/>
      <c r="Q325" s="224"/>
      <c r="R325" s="224"/>
      <c r="S325" s="224"/>
      <c r="T325" s="224"/>
      <c r="U325" s="224"/>
      <c r="V325" s="224"/>
      <c r="W325" s="106"/>
    </row>
    <row r="326" spans="1:23" s="101" customFormat="1" x14ac:dyDescent="0.3">
      <c r="A326" s="222"/>
      <c r="B326" s="235"/>
      <c r="C326" s="227"/>
      <c r="D326" s="344"/>
      <c r="E326" s="235"/>
      <c r="F326" s="235"/>
      <c r="G326" s="227"/>
      <c r="H326" s="227"/>
      <c r="I326" s="350"/>
      <c r="J326" s="227"/>
      <c r="K326" s="227"/>
      <c r="L326" s="224"/>
      <c r="M326" s="224"/>
      <c r="N326" s="224"/>
      <c r="O326" s="224"/>
      <c r="P326" s="224"/>
      <c r="Q326" s="224"/>
      <c r="R326" s="224"/>
      <c r="S326" s="224"/>
      <c r="T326" s="224"/>
      <c r="U326" s="224"/>
      <c r="V326" s="224"/>
      <c r="W326" s="106"/>
    </row>
    <row r="327" spans="1:23" s="101" customFormat="1" x14ac:dyDescent="0.3">
      <c r="A327" s="222"/>
      <c r="B327" s="235"/>
      <c r="C327" s="227"/>
      <c r="D327" s="344"/>
      <c r="E327" s="235"/>
      <c r="F327" s="235"/>
      <c r="G327" s="227"/>
      <c r="H327" s="227"/>
      <c r="I327" s="350"/>
      <c r="J327" s="227"/>
      <c r="K327" s="227"/>
      <c r="L327" s="224"/>
      <c r="M327" s="224"/>
      <c r="N327" s="224"/>
      <c r="O327" s="224"/>
      <c r="P327" s="224"/>
      <c r="Q327" s="224"/>
      <c r="R327" s="224"/>
      <c r="S327" s="224"/>
      <c r="T327" s="224"/>
      <c r="U327" s="224"/>
      <c r="V327" s="224"/>
      <c r="W327" s="106"/>
    </row>
    <row r="328" spans="1:23" s="101" customFormat="1" x14ac:dyDescent="0.3">
      <c r="A328" s="222"/>
      <c r="B328" s="235"/>
      <c r="C328" s="227"/>
      <c r="D328" s="344"/>
      <c r="E328" s="235"/>
      <c r="F328" s="235"/>
      <c r="G328" s="227"/>
      <c r="H328" s="227"/>
      <c r="I328" s="350"/>
      <c r="J328" s="227"/>
      <c r="K328" s="227"/>
      <c r="L328" s="224"/>
      <c r="M328" s="224"/>
      <c r="N328" s="224"/>
      <c r="O328" s="224"/>
      <c r="P328" s="224"/>
      <c r="Q328" s="224"/>
      <c r="R328" s="224"/>
      <c r="S328" s="224"/>
      <c r="T328" s="224"/>
      <c r="U328" s="224"/>
      <c r="V328" s="224"/>
      <c r="W328" s="106"/>
    </row>
    <row r="329" spans="1:23" s="101" customFormat="1" x14ac:dyDescent="0.3">
      <c r="A329" s="222"/>
      <c r="B329" s="235"/>
      <c r="C329" s="227"/>
      <c r="D329" s="344"/>
      <c r="E329" s="235"/>
      <c r="F329" s="235"/>
      <c r="G329" s="227"/>
      <c r="H329" s="227"/>
      <c r="I329" s="350"/>
      <c r="J329" s="227"/>
      <c r="K329" s="227"/>
      <c r="L329" s="224"/>
      <c r="M329" s="224"/>
      <c r="N329" s="224"/>
      <c r="O329" s="224"/>
      <c r="P329" s="224"/>
      <c r="Q329" s="224"/>
      <c r="R329" s="224"/>
      <c r="S329" s="224"/>
      <c r="T329" s="224"/>
      <c r="U329" s="224"/>
      <c r="V329" s="224"/>
      <c r="W329" s="106"/>
    </row>
    <row r="330" spans="1:23" s="101" customFormat="1" x14ac:dyDescent="0.3">
      <c r="A330" s="222"/>
      <c r="B330" s="235"/>
      <c r="C330" s="227"/>
      <c r="D330" s="344"/>
      <c r="E330" s="235"/>
      <c r="F330" s="235"/>
      <c r="G330" s="227"/>
      <c r="H330" s="227"/>
      <c r="I330" s="350"/>
      <c r="J330" s="227"/>
      <c r="K330" s="227"/>
      <c r="L330" s="224"/>
      <c r="M330" s="224"/>
      <c r="N330" s="224"/>
      <c r="O330" s="224"/>
      <c r="P330" s="224"/>
      <c r="Q330" s="224"/>
      <c r="R330" s="224"/>
      <c r="S330" s="224"/>
      <c r="T330" s="224"/>
      <c r="U330" s="224"/>
      <c r="V330" s="224"/>
      <c r="W330" s="106"/>
    </row>
    <row r="331" spans="1:23" s="101" customFormat="1" x14ac:dyDescent="0.3">
      <c r="A331" s="222"/>
      <c r="B331" s="235"/>
      <c r="C331" s="227"/>
      <c r="D331" s="344"/>
      <c r="E331" s="235"/>
      <c r="F331" s="235"/>
      <c r="G331" s="227"/>
      <c r="H331" s="227"/>
      <c r="I331" s="350"/>
      <c r="J331" s="227"/>
      <c r="K331" s="227"/>
      <c r="L331" s="224"/>
      <c r="M331" s="224"/>
      <c r="N331" s="224"/>
      <c r="O331" s="224"/>
      <c r="P331" s="224"/>
      <c r="Q331" s="224"/>
      <c r="R331" s="224"/>
      <c r="S331" s="224"/>
      <c r="T331" s="224"/>
      <c r="U331" s="224"/>
      <c r="V331" s="224"/>
      <c r="W331" s="106"/>
    </row>
    <row r="332" spans="1:23" s="101" customFormat="1" x14ac:dyDescent="0.3">
      <c r="A332" s="222"/>
      <c r="B332" s="235"/>
      <c r="C332" s="227"/>
      <c r="D332" s="344"/>
      <c r="E332" s="235"/>
      <c r="F332" s="235"/>
      <c r="G332" s="227"/>
      <c r="H332" s="227"/>
      <c r="I332" s="350"/>
      <c r="J332" s="227"/>
      <c r="K332" s="227"/>
      <c r="L332" s="224"/>
      <c r="M332" s="224"/>
      <c r="N332" s="224"/>
      <c r="O332" s="224"/>
      <c r="P332" s="224"/>
      <c r="Q332" s="224"/>
      <c r="R332" s="224"/>
      <c r="S332" s="224"/>
      <c r="T332" s="224"/>
      <c r="U332" s="224"/>
      <c r="V332" s="224"/>
      <c r="W332" s="106"/>
    </row>
    <row r="333" spans="1:23" s="101" customFormat="1" x14ac:dyDescent="0.3">
      <c r="A333" s="222"/>
      <c r="B333" s="235"/>
      <c r="C333" s="227"/>
      <c r="D333" s="344"/>
      <c r="E333" s="235"/>
      <c r="F333" s="235"/>
      <c r="G333" s="227"/>
      <c r="H333" s="227"/>
      <c r="I333" s="350"/>
      <c r="J333" s="227"/>
      <c r="K333" s="227"/>
      <c r="L333" s="224"/>
      <c r="M333" s="224"/>
      <c r="N333" s="224"/>
      <c r="O333" s="224"/>
      <c r="P333" s="224"/>
      <c r="Q333" s="224"/>
      <c r="R333" s="224"/>
      <c r="S333" s="224"/>
      <c r="T333" s="224"/>
      <c r="U333" s="224"/>
      <c r="V333" s="224"/>
      <c r="W333" s="106"/>
    </row>
    <row r="334" spans="1:23" s="101" customFormat="1" x14ac:dyDescent="0.3">
      <c r="A334" s="222"/>
      <c r="B334" s="235"/>
      <c r="C334" s="227"/>
      <c r="D334" s="344"/>
      <c r="E334" s="235"/>
      <c r="F334" s="235"/>
      <c r="G334" s="227"/>
      <c r="H334" s="227"/>
      <c r="I334" s="350"/>
      <c r="J334" s="227"/>
      <c r="K334" s="227"/>
      <c r="L334" s="224"/>
      <c r="M334" s="224"/>
      <c r="N334" s="224"/>
      <c r="O334" s="224"/>
      <c r="P334" s="224"/>
      <c r="Q334" s="224"/>
      <c r="R334" s="224"/>
      <c r="S334" s="224"/>
      <c r="T334" s="224"/>
      <c r="U334" s="224"/>
      <c r="V334" s="224"/>
      <c r="W334" s="106"/>
    </row>
    <row r="335" spans="1:23" s="101" customFormat="1" x14ac:dyDescent="0.3">
      <c r="A335" s="222"/>
      <c r="B335" s="235"/>
      <c r="C335" s="227"/>
      <c r="D335" s="344"/>
      <c r="E335" s="235"/>
      <c r="F335" s="235"/>
      <c r="G335" s="227"/>
      <c r="H335" s="227"/>
      <c r="I335" s="350"/>
      <c r="J335" s="227"/>
      <c r="K335" s="227"/>
      <c r="L335" s="224"/>
      <c r="M335" s="224"/>
      <c r="N335" s="224"/>
      <c r="O335" s="224"/>
      <c r="P335" s="224"/>
      <c r="Q335" s="224"/>
      <c r="R335" s="224"/>
      <c r="S335" s="224"/>
      <c r="T335" s="224"/>
      <c r="U335" s="224"/>
      <c r="V335" s="224"/>
      <c r="W335" s="106"/>
    </row>
    <row r="336" spans="1:23" s="101" customFormat="1" x14ac:dyDescent="0.3">
      <c r="A336" s="222"/>
      <c r="B336" s="235"/>
      <c r="C336" s="227"/>
      <c r="D336" s="344"/>
      <c r="E336" s="235"/>
      <c r="F336" s="235"/>
      <c r="G336" s="227"/>
      <c r="H336" s="227"/>
      <c r="I336" s="350"/>
      <c r="J336" s="227"/>
      <c r="K336" s="227"/>
      <c r="L336" s="224"/>
      <c r="M336" s="224"/>
      <c r="N336" s="224"/>
      <c r="O336" s="224"/>
      <c r="P336" s="224"/>
      <c r="Q336" s="224"/>
      <c r="R336" s="224"/>
      <c r="S336" s="224"/>
      <c r="T336" s="224"/>
      <c r="U336" s="224"/>
      <c r="V336" s="224"/>
      <c r="W336" s="106"/>
    </row>
    <row r="337" spans="1:23" s="101" customFormat="1" x14ac:dyDescent="0.3">
      <c r="A337" s="222"/>
      <c r="B337" s="235"/>
      <c r="C337" s="227"/>
      <c r="D337" s="344"/>
      <c r="E337" s="235"/>
      <c r="F337" s="235"/>
      <c r="G337" s="227"/>
      <c r="H337" s="227"/>
      <c r="I337" s="350"/>
      <c r="J337" s="227"/>
      <c r="K337" s="227"/>
      <c r="L337" s="224"/>
      <c r="M337" s="224"/>
      <c r="N337" s="224"/>
      <c r="O337" s="224"/>
      <c r="P337" s="224"/>
      <c r="Q337" s="224"/>
      <c r="R337" s="224"/>
      <c r="S337" s="224"/>
      <c r="T337" s="224"/>
      <c r="U337" s="224"/>
      <c r="V337" s="224"/>
      <c r="W337" s="106"/>
    </row>
    <row r="338" spans="1:23" s="101" customFormat="1" x14ac:dyDescent="0.3">
      <c r="A338" s="222"/>
      <c r="B338" s="235"/>
      <c r="C338" s="227"/>
      <c r="D338" s="344"/>
      <c r="E338" s="235"/>
      <c r="F338" s="235"/>
      <c r="G338" s="227"/>
      <c r="H338" s="227"/>
      <c r="I338" s="350"/>
      <c r="J338" s="227"/>
      <c r="K338" s="227"/>
      <c r="L338" s="224"/>
      <c r="M338" s="224"/>
      <c r="N338" s="224"/>
      <c r="O338" s="224"/>
      <c r="P338" s="224"/>
      <c r="Q338" s="224"/>
      <c r="R338" s="224"/>
      <c r="S338" s="224"/>
      <c r="T338" s="224"/>
      <c r="U338" s="224"/>
      <c r="V338" s="224"/>
      <c r="W338" s="106"/>
    </row>
    <row r="339" spans="1:23" s="101" customFormat="1" x14ac:dyDescent="0.3">
      <c r="A339" s="222"/>
      <c r="B339" s="235"/>
      <c r="C339" s="227"/>
      <c r="D339" s="344"/>
      <c r="E339" s="235"/>
      <c r="F339" s="235"/>
      <c r="G339" s="227"/>
      <c r="H339" s="227"/>
      <c r="I339" s="350"/>
      <c r="J339" s="227"/>
      <c r="K339" s="227"/>
      <c r="L339" s="224"/>
      <c r="M339" s="224"/>
      <c r="N339" s="224"/>
      <c r="O339" s="224"/>
      <c r="P339" s="224"/>
      <c r="Q339" s="224"/>
      <c r="R339" s="224"/>
      <c r="S339" s="224"/>
      <c r="T339" s="224"/>
      <c r="U339" s="224"/>
      <c r="V339" s="224"/>
      <c r="W339" s="106"/>
    </row>
    <row r="340" spans="1:23" s="101" customFormat="1" x14ac:dyDescent="0.3">
      <c r="A340" s="222"/>
      <c r="B340" s="235"/>
      <c r="C340" s="227"/>
      <c r="D340" s="344"/>
      <c r="E340" s="235"/>
      <c r="F340" s="235"/>
      <c r="G340" s="227"/>
      <c r="H340" s="227"/>
      <c r="I340" s="350"/>
      <c r="J340" s="227"/>
      <c r="K340" s="227"/>
      <c r="L340" s="224"/>
      <c r="M340" s="224"/>
      <c r="N340" s="224"/>
      <c r="O340" s="224"/>
      <c r="P340" s="224"/>
      <c r="Q340" s="224"/>
      <c r="R340" s="224"/>
      <c r="S340" s="224"/>
      <c r="T340" s="224"/>
      <c r="U340" s="224"/>
      <c r="V340" s="224"/>
      <c r="W340" s="106"/>
    </row>
    <row r="341" spans="1:23" s="101" customFormat="1" x14ac:dyDescent="0.3">
      <c r="A341" s="222"/>
      <c r="B341" s="235"/>
      <c r="C341" s="227"/>
      <c r="D341" s="344"/>
      <c r="E341" s="235"/>
      <c r="F341" s="235"/>
      <c r="G341" s="227"/>
      <c r="H341" s="227"/>
      <c r="I341" s="350"/>
      <c r="J341" s="227"/>
      <c r="K341" s="227"/>
      <c r="L341" s="224"/>
      <c r="M341" s="224"/>
      <c r="N341" s="224"/>
      <c r="O341" s="224"/>
      <c r="P341" s="224"/>
      <c r="Q341" s="224"/>
      <c r="R341" s="224"/>
      <c r="S341" s="224"/>
      <c r="T341" s="224"/>
      <c r="U341" s="224"/>
      <c r="V341" s="224"/>
      <c r="W341" s="106"/>
    </row>
    <row r="342" spans="1:23" s="101" customFormat="1" x14ac:dyDescent="0.3">
      <c r="A342" s="222"/>
      <c r="B342" s="235"/>
      <c r="C342" s="227"/>
      <c r="D342" s="344"/>
      <c r="E342" s="235"/>
      <c r="F342" s="235"/>
      <c r="G342" s="227"/>
      <c r="H342" s="227"/>
      <c r="I342" s="350"/>
      <c r="J342" s="227"/>
      <c r="K342" s="227"/>
      <c r="L342" s="224"/>
      <c r="M342" s="224"/>
      <c r="N342" s="224"/>
      <c r="O342" s="224"/>
      <c r="P342" s="224"/>
      <c r="Q342" s="224"/>
      <c r="R342" s="224"/>
      <c r="S342" s="224"/>
      <c r="T342" s="224"/>
      <c r="U342" s="224"/>
      <c r="V342" s="224"/>
      <c r="W342" s="106"/>
    </row>
    <row r="343" spans="1:23" s="101" customFormat="1" x14ac:dyDescent="0.3">
      <c r="A343" s="222"/>
      <c r="B343" s="235"/>
      <c r="C343" s="227"/>
      <c r="D343" s="344"/>
      <c r="E343" s="235"/>
      <c r="F343" s="235"/>
      <c r="G343" s="227"/>
      <c r="H343" s="227"/>
      <c r="I343" s="350"/>
      <c r="J343" s="227"/>
      <c r="K343" s="227"/>
      <c r="L343" s="224"/>
      <c r="M343" s="224"/>
      <c r="N343" s="224"/>
      <c r="O343" s="224"/>
      <c r="P343" s="224"/>
      <c r="Q343" s="224"/>
      <c r="R343" s="224"/>
      <c r="S343" s="224"/>
      <c r="T343" s="224"/>
      <c r="U343" s="224"/>
      <c r="V343" s="224"/>
      <c r="W343" s="106"/>
    </row>
    <row r="344" spans="1:23" s="101" customFormat="1" x14ac:dyDescent="0.3">
      <c r="A344" s="222"/>
      <c r="B344" s="235"/>
      <c r="C344" s="227"/>
      <c r="D344" s="344"/>
      <c r="E344" s="235"/>
      <c r="F344" s="235"/>
      <c r="G344" s="227"/>
      <c r="H344" s="227"/>
      <c r="I344" s="350"/>
      <c r="J344" s="227"/>
      <c r="K344" s="227"/>
      <c r="L344" s="224"/>
      <c r="M344" s="224"/>
      <c r="N344" s="224"/>
      <c r="O344" s="224"/>
      <c r="P344" s="224"/>
      <c r="Q344" s="224"/>
      <c r="R344" s="224"/>
      <c r="S344" s="224"/>
      <c r="T344" s="224"/>
      <c r="U344" s="224"/>
      <c r="V344" s="224"/>
      <c r="W344" s="106"/>
    </row>
    <row r="345" spans="1:23" s="101" customFormat="1" x14ac:dyDescent="0.3">
      <c r="A345" s="222"/>
      <c r="B345" s="235"/>
      <c r="C345" s="227"/>
      <c r="D345" s="344"/>
      <c r="E345" s="235"/>
      <c r="F345" s="235"/>
      <c r="G345" s="227"/>
      <c r="H345" s="227"/>
      <c r="I345" s="350"/>
      <c r="J345" s="227"/>
      <c r="K345" s="227"/>
      <c r="L345" s="224"/>
      <c r="M345" s="224"/>
      <c r="N345" s="224"/>
      <c r="O345" s="224"/>
      <c r="P345" s="224"/>
      <c r="Q345" s="224"/>
      <c r="R345" s="224"/>
      <c r="S345" s="224"/>
      <c r="T345" s="224"/>
      <c r="U345" s="224"/>
      <c r="V345" s="224"/>
      <c r="W345" s="106"/>
    </row>
    <row r="346" spans="1:23" s="101" customFormat="1" x14ac:dyDescent="0.3">
      <c r="A346" s="222"/>
      <c r="B346" s="235"/>
      <c r="C346" s="227"/>
      <c r="D346" s="344"/>
      <c r="E346" s="235"/>
      <c r="F346" s="235"/>
      <c r="G346" s="227"/>
      <c r="H346" s="227"/>
      <c r="I346" s="350"/>
      <c r="J346" s="227"/>
      <c r="K346" s="227"/>
      <c r="L346" s="224"/>
      <c r="M346" s="224"/>
      <c r="N346" s="224"/>
      <c r="O346" s="224"/>
      <c r="P346" s="224"/>
      <c r="Q346" s="224"/>
      <c r="R346" s="224"/>
      <c r="S346" s="224"/>
      <c r="T346" s="224"/>
      <c r="U346" s="224"/>
      <c r="V346" s="224"/>
      <c r="W346" s="106"/>
    </row>
    <row r="347" spans="1:23" s="101" customFormat="1" x14ac:dyDescent="0.3">
      <c r="A347" s="222"/>
      <c r="B347" s="235"/>
      <c r="C347" s="227"/>
      <c r="D347" s="344"/>
      <c r="E347" s="235"/>
      <c r="F347" s="235"/>
      <c r="G347" s="227"/>
      <c r="H347" s="227"/>
      <c r="I347" s="350"/>
      <c r="J347" s="227"/>
      <c r="K347" s="227"/>
      <c r="L347" s="224"/>
      <c r="M347" s="224"/>
      <c r="N347" s="224"/>
      <c r="O347" s="224"/>
      <c r="P347" s="224"/>
      <c r="Q347" s="224"/>
      <c r="R347" s="224"/>
      <c r="S347" s="224"/>
      <c r="T347" s="224"/>
      <c r="U347" s="224"/>
      <c r="V347" s="224"/>
      <c r="W347" s="106"/>
    </row>
    <row r="348" spans="1:23" s="101" customFormat="1" x14ac:dyDescent="0.3">
      <c r="A348" s="222"/>
      <c r="B348" s="235"/>
      <c r="C348" s="227"/>
      <c r="D348" s="344"/>
      <c r="E348" s="235"/>
      <c r="F348" s="235"/>
      <c r="G348" s="227"/>
      <c r="H348" s="227"/>
      <c r="I348" s="350"/>
      <c r="J348" s="227"/>
      <c r="K348" s="227"/>
      <c r="L348" s="224"/>
      <c r="M348" s="224"/>
      <c r="N348" s="224"/>
      <c r="O348" s="224"/>
      <c r="P348" s="224"/>
      <c r="Q348" s="224"/>
      <c r="R348" s="224"/>
      <c r="S348" s="224"/>
      <c r="T348" s="224"/>
      <c r="U348" s="224"/>
      <c r="V348" s="224"/>
      <c r="W348" s="106"/>
    </row>
    <row r="349" spans="1:23" s="101" customFormat="1" x14ac:dyDescent="0.3">
      <c r="A349" s="222"/>
      <c r="B349" s="235"/>
      <c r="C349" s="227"/>
      <c r="D349" s="344"/>
      <c r="E349" s="235"/>
      <c r="F349" s="235"/>
      <c r="G349" s="227"/>
      <c r="H349" s="227"/>
      <c r="I349" s="350"/>
      <c r="J349" s="227"/>
      <c r="K349" s="227"/>
      <c r="L349" s="224"/>
      <c r="M349" s="224"/>
      <c r="N349" s="224"/>
      <c r="O349" s="224"/>
      <c r="P349" s="224"/>
      <c r="Q349" s="224"/>
      <c r="R349" s="224"/>
      <c r="S349" s="224"/>
      <c r="T349" s="224"/>
      <c r="U349" s="224"/>
      <c r="V349" s="224"/>
      <c r="W349" s="106"/>
    </row>
    <row r="350" spans="1:23" s="101" customFormat="1" x14ac:dyDescent="0.3">
      <c r="A350" s="222"/>
      <c r="B350" s="235"/>
      <c r="C350" s="227"/>
      <c r="D350" s="344"/>
      <c r="E350" s="235"/>
      <c r="F350" s="235"/>
      <c r="G350" s="227"/>
      <c r="H350" s="227"/>
      <c r="I350" s="350"/>
      <c r="J350" s="227"/>
      <c r="K350" s="227"/>
      <c r="L350" s="224"/>
      <c r="M350" s="224"/>
      <c r="N350" s="224"/>
      <c r="O350" s="224"/>
      <c r="P350" s="224"/>
      <c r="Q350" s="224"/>
      <c r="R350" s="224"/>
      <c r="S350" s="224"/>
      <c r="T350" s="224"/>
      <c r="U350" s="224"/>
      <c r="V350" s="224"/>
      <c r="W350" s="106"/>
    </row>
    <row r="351" spans="1:23" s="101" customFormat="1" x14ac:dyDescent="0.3">
      <c r="A351" s="222"/>
      <c r="B351" s="235"/>
      <c r="C351" s="227"/>
      <c r="D351" s="344"/>
      <c r="E351" s="235"/>
      <c r="F351" s="235"/>
      <c r="G351" s="227"/>
      <c r="H351" s="227"/>
      <c r="I351" s="350"/>
      <c r="J351" s="227"/>
      <c r="K351" s="227"/>
      <c r="L351" s="224"/>
      <c r="M351" s="224"/>
      <c r="N351" s="224"/>
      <c r="O351" s="224"/>
      <c r="P351" s="224"/>
      <c r="Q351" s="224"/>
      <c r="R351" s="224"/>
      <c r="S351" s="224"/>
      <c r="T351" s="224"/>
      <c r="U351" s="224"/>
      <c r="V351" s="224"/>
      <c r="W351" s="106"/>
    </row>
    <row r="352" spans="1:23" s="101" customFormat="1" x14ac:dyDescent="0.3">
      <c r="A352" s="222"/>
      <c r="B352" s="235"/>
      <c r="C352" s="227"/>
      <c r="D352" s="344"/>
      <c r="E352" s="235"/>
      <c r="F352" s="235"/>
      <c r="G352" s="227"/>
      <c r="H352" s="227"/>
      <c r="I352" s="350"/>
      <c r="J352" s="227"/>
      <c r="K352" s="227"/>
      <c r="L352" s="224"/>
      <c r="M352" s="224"/>
      <c r="N352" s="224"/>
      <c r="O352" s="224"/>
      <c r="P352" s="224"/>
      <c r="Q352" s="224"/>
      <c r="R352" s="224"/>
      <c r="S352" s="224"/>
      <c r="T352" s="224"/>
      <c r="U352" s="224"/>
      <c r="V352" s="224"/>
      <c r="W352" s="106"/>
    </row>
    <row r="353" spans="1:23" s="101" customFormat="1" x14ac:dyDescent="0.3">
      <c r="A353" s="222"/>
      <c r="B353" s="235"/>
      <c r="C353" s="227"/>
      <c r="D353" s="344"/>
      <c r="E353" s="235"/>
      <c r="F353" s="235"/>
      <c r="G353" s="227"/>
      <c r="H353" s="227"/>
      <c r="I353" s="350"/>
      <c r="J353" s="227"/>
      <c r="K353" s="227"/>
      <c r="L353" s="224"/>
      <c r="M353" s="224"/>
      <c r="N353" s="224"/>
      <c r="O353" s="224"/>
      <c r="P353" s="224"/>
      <c r="Q353" s="224"/>
      <c r="R353" s="224"/>
      <c r="S353" s="224"/>
      <c r="T353" s="224"/>
      <c r="U353" s="224"/>
      <c r="V353" s="224"/>
      <c r="W353" s="106"/>
    </row>
    <row r="354" spans="1:23" s="101" customFormat="1" x14ac:dyDescent="0.3">
      <c r="A354" s="222"/>
      <c r="B354" s="235"/>
      <c r="C354" s="227"/>
      <c r="D354" s="344"/>
      <c r="E354" s="235"/>
      <c r="F354" s="235"/>
      <c r="G354" s="227"/>
      <c r="H354" s="227"/>
      <c r="I354" s="350"/>
      <c r="J354" s="227"/>
      <c r="K354" s="227"/>
      <c r="L354" s="224"/>
      <c r="M354" s="224"/>
      <c r="N354" s="224"/>
      <c r="O354" s="224"/>
      <c r="P354" s="224"/>
      <c r="Q354" s="224"/>
      <c r="R354" s="224"/>
      <c r="S354" s="224"/>
      <c r="T354" s="224"/>
      <c r="U354" s="224"/>
      <c r="V354" s="224"/>
      <c r="W354" s="106"/>
    </row>
    <row r="355" spans="1:23" s="101" customFormat="1" x14ac:dyDescent="0.3">
      <c r="A355" s="222"/>
      <c r="B355" s="235"/>
      <c r="C355" s="227"/>
      <c r="D355" s="344"/>
      <c r="E355" s="235"/>
      <c r="F355" s="235"/>
      <c r="G355" s="227"/>
      <c r="H355" s="227"/>
      <c r="I355" s="350"/>
      <c r="J355" s="227"/>
      <c r="K355" s="227"/>
      <c r="L355" s="224"/>
      <c r="M355" s="224"/>
      <c r="N355" s="224"/>
      <c r="O355" s="224"/>
      <c r="P355" s="224"/>
      <c r="Q355" s="224"/>
      <c r="R355" s="224"/>
      <c r="S355" s="224"/>
      <c r="T355" s="224"/>
      <c r="U355" s="224"/>
      <c r="V355" s="224"/>
      <c r="W355" s="106"/>
    </row>
    <row r="356" spans="1:23" s="101" customFormat="1" x14ac:dyDescent="0.3">
      <c r="A356" s="222"/>
      <c r="B356" s="235"/>
      <c r="C356" s="227"/>
      <c r="D356" s="344"/>
      <c r="E356" s="235"/>
      <c r="F356" s="235"/>
      <c r="G356" s="227"/>
      <c r="H356" s="227"/>
      <c r="I356" s="350"/>
      <c r="J356" s="227"/>
      <c r="K356" s="227"/>
      <c r="L356" s="224"/>
      <c r="M356" s="224"/>
      <c r="N356" s="224"/>
      <c r="O356" s="224"/>
      <c r="P356" s="224"/>
      <c r="Q356" s="224"/>
      <c r="R356" s="224"/>
      <c r="S356" s="224"/>
      <c r="T356" s="224"/>
      <c r="U356" s="224"/>
      <c r="V356" s="224"/>
      <c r="W356" s="106"/>
    </row>
    <row r="357" spans="1:23" s="101" customFormat="1" x14ac:dyDescent="0.3">
      <c r="A357" s="222"/>
      <c r="B357" s="235"/>
      <c r="C357" s="227"/>
      <c r="D357" s="344"/>
      <c r="E357" s="235"/>
      <c r="F357" s="235"/>
      <c r="G357" s="227"/>
      <c r="H357" s="227"/>
      <c r="I357" s="350"/>
      <c r="J357" s="227"/>
      <c r="K357" s="227"/>
      <c r="L357" s="224"/>
      <c r="M357" s="224"/>
      <c r="N357" s="224"/>
      <c r="O357" s="224"/>
      <c r="P357" s="224"/>
      <c r="Q357" s="224"/>
      <c r="R357" s="224"/>
      <c r="S357" s="224"/>
      <c r="T357" s="224"/>
      <c r="U357" s="224"/>
      <c r="V357" s="224"/>
      <c r="W357" s="106"/>
    </row>
    <row r="358" spans="1:23" s="101" customFormat="1" x14ac:dyDescent="0.3">
      <c r="A358" s="222"/>
      <c r="B358" s="235"/>
      <c r="C358" s="227"/>
      <c r="D358" s="344"/>
      <c r="E358" s="235"/>
      <c r="F358" s="235"/>
      <c r="G358" s="227"/>
      <c r="H358" s="227"/>
      <c r="I358" s="350"/>
      <c r="J358" s="227"/>
      <c r="K358" s="227"/>
      <c r="L358" s="224"/>
      <c r="M358" s="224"/>
      <c r="N358" s="224"/>
      <c r="O358" s="224"/>
      <c r="P358" s="224"/>
      <c r="Q358" s="224"/>
      <c r="R358" s="224"/>
      <c r="S358" s="224"/>
      <c r="T358" s="224"/>
      <c r="U358" s="224"/>
      <c r="V358" s="224"/>
      <c r="W358" s="106"/>
    </row>
    <row r="359" spans="1:23" s="101" customFormat="1" x14ac:dyDescent="0.3">
      <c r="A359" s="222"/>
      <c r="B359" s="235"/>
      <c r="C359" s="227"/>
      <c r="D359" s="344"/>
      <c r="E359" s="235"/>
      <c r="F359" s="235"/>
      <c r="G359" s="227"/>
      <c r="H359" s="227"/>
      <c r="I359" s="350"/>
      <c r="J359" s="227"/>
      <c r="K359" s="227"/>
      <c r="L359" s="224"/>
      <c r="M359" s="224"/>
      <c r="N359" s="224"/>
      <c r="O359" s="224"/>
      <c r="P359" s="224"/>
      <c r="Q359" s="224"/>
      <c r="R359" s="224"/>
      <c r="S359" s="224"/>
      <c r="T359" s="224"/>
      <c r="U359" s="224"/>
      <c r="V359" s="224"/>
      <c r="W359" s="106"/>
    </row>
    <row r="360" spans="1:23" s="101" customFormat="1" x14ac:dyDescent="0.3">
      <c r="A360" s="222"/>
      <c r="B360" s="235"/>
      <c r="C360" s="227"/>
      <c r="D360" s="344"/>
      <c r="E360" s="235"/>
      <c r="F360" s="235"/>
      <c r="G360" s="227"/>
      <c r="H360" s="227"/>
      <c r="I360" s="350"/>
      <c r="J360" s="227"/>
      <c r="K360" s="227"/>
      <c r="L360" s="224"/>
      <c r="M360" s="224"/>
      <c r="N360" s="224"/>
      <c r="O360" s="224"/>
      <c r="P360" s="224"/>
      <c r="Q360" s="224"/>
      <c r="R360" s="224"/>
      <c r="S360" s="224"/>
      <c r="T360" s="224"/>
      <c r="U360" s="224"/>
      <c r="V360" s="224"/>
      <c r="W360" s="106"/>
    </row>
    <row r="361" spans="1:23" s="101" customFormat="1" x14ac:dyDescent="0.3">
      <c r="A361" s="222"/>
      <c r="B361" s="235"/>
      <c r="C361" s="227"/>
      <c r="D361" s="344"/>
      <c r="E361" s="235"/>
      <c r="F361" s="235"/>
      <c r="G361" s="227"/>
      <c r="H361" s="227"/>
      <c r="I361" s="350"/>
      <c r="J361" s="227"/>
      <c r="K361" s="227"/>
      <c r="L361" s="224"/>
      <c r="M361" s="224"/>
      <c r="N361" s="224"/>
      <c r="O361" s="224"/>
      <c r="P361" s="224"/>
      <c r="Q361" s="224"/>
      <c r="R361" s="224"/>
      <c r="S361" s="224"/>
      <c r="T361" s="224"/>
      <c r="U361" s="224"/>
      <c r="V361" s="224"/>
      <c r="W361" s="106"/>
    </row>
    <row r="362" spans="1:23" s="101" customFormat="1" x14ac:dyDescent="0.3">
      <c r="A362" s="222"/>
      <c r="B362" s="235"/>
      <c r="C362" s="227"/>
      <c r="D362" s="344"/>
      <c r="E362" s="235"/>
      <c r="F362" s="235"/>
      <c r="G362" s="227"/>
      <c r="H362" s="227"/>
      <c r="I362" s="350"/>
      <c r="J362" s="227"/>
      <c r="K362" s="227"/>
      <c r="L362" s="224"/>
      <c r="M362" s="224"/>
      <c r="N362" s="224"/>
      <c r="O362" s="224"/>
      <c r="P362" s="224"/>
      <c r="Q362" s="224"/>
      <c r="R362" s="224"/>
      <c r="S362" s="224"/>
      <c r="T362" s="224"/>
      <c r="U362" s="224"/>
      <c r="V362" s="224"/>
      <c r="W362" s="106"/>
    </row>
    <row r="363" spans="1:23" s="101" customFormat="1" x14ac:dyDescent="0.3">
      <c r="A363" s="222"/>
      <c r="B363" s="235"/>
      <c r="C363" s="227"/>
      <c r="D363" s="344"/>
      <c r="E363" s="235"/>
      <c r="F363" s="235"/>
      <c r="G363" s="227"/>
      <c r="H363" s="227"/>
      <c r="I363" s="350"/>
      <c r="J363" s="227"/>
      <c r="K363" s="227"/>
      <c r="L363" s="224"/>
      <c r="M363" s="224"/>
      <c r="N363" s="224"/>
      <c r="O363" s="224"/>
      <c r="P363" s="224"/>
      <c r="Q363" s="224"/>
      <c r="R363" s="224"/>
      <c r="S363" s="224"/>
      <c r="T363" s="224"/>
      <c r="U363" s="224"/>
      <c r="V363" s="224"/>
      <c r="W363" s="106"/>
    </row>
    <row r="364" spans="1:23" s="101" customFormat="1" x14ac:dyDescent="0.3">
      <c r="A364" s="222"/>
      <c r="B364" s="235"/>
      <c r="C364" s="227"/>
      <c r="D364" s="344"/>
      <c r="E364" s="235"/>
      <c r="F364" s="235"/>
      <c r="G364" s="227"/>
      <c r="H364" s="227"/>
      <c r="I364" s="350"/>
      <c r="J364" s="227"/>
      <c r="K364" s="227"/>
      <c r="L364" s="224"/>
      <c r="M364" s="224"/>
      <c r="N364" s="224"/>
      <c r="O364" s="224"/>
      <c r="P364" s="224"/>
      <c r="Q364" s="224"/>
      <c r="R364" s="224"/>
      <c r="S364" s="224"/>
      <c r="T364" s="224"/>
      <c r="U364" s="224"/>
      <c r="V364" s="224"/>
      <c r="W364" s="106"/>
    </row>
    <row r="365" spans="1:23" s="101" customFormat="1" x14ac:dyDescent="0.3">
      <c r="A365" s="222"/>
      <c r="B365" s="235"/>
      <c r="C365" s="227"/>
      <c r="D365" s="344"/>
      <c r="E365" s="235"/>
      <c r="F365" s="235"/>
      <c r="G365" s="227"/>
      <c r="H365" s="227"/>
      <c r="I365" s="350"/>
      <c r="J365" s="227"/>
      <c r="K365" s="227"/>
      <c r="L365" s="224"/>
      <c r="M365" s="224"/>
      <c r="N365" s="224"/>
      <c r="O365" s="224"/>
      <c r="P365" s="224"/>
      <c r="Q365" s="224"/>
      <c r="R365" s="224"/>
      <c r="S365" s="224"/>
      <c r="T365" s="224"/>
      <c r="U365" s="224"/>
      <c r="V365" s="224"/>
      <c r="W365" s="106"/>
    </row>
    <row r="366" spans="1:23" s="101" customFormat="1" x14ac:dyDescent="0.3">
      <c r="A366" s="222"/>
      <c r="B366" s="235"/>
      <c r="C366" s="227"/>
      <c r="D366" s="344"/>
      <c r="E366" s="235"/>
      <c r="F366" s="235"/>
      <c r="G366" s="227"/>
      <c r="H366" s="227"/>
      <c r="I366" s="350"/>
      <c r="J366" s="227"/>
      <c r="K366" s="227"/>
      <c r="L366" s="224"/>
      <c r="M366" s="224"/>
      <c r="N366" s="224"/>
      <c r="O366" s="224"/>
      <c r="P366" s="224"/>
      <c r="Q366" s="224"/>
      <c r="R366" s="224"/>
      <c r="S366" s="224"/>
      <c r="T366" s="224"/>
      <c r="U366" s="224"/>
      <c r="V366" s="224"/>
      <c r="W366" s="106"/>
    </row>
    <row r="367" spans="1:23" s="101" customFormat="1" x14ac:dyDescent="0.3">
      <c r="A367" s="222"/>
      <c r="B367" s="235"/>
      <c r="C367" s="227"/>
      <c r="D367" s="344"/>
      <c r="E367" s="235"/>
      <c r="F367" s="235"/>
      <c r="G367" s="227"/>
      <c r="H367" s="227"/>
      <c r="I367" s="350"/>
      <c r="J367" s="227"/>
      <c r="K367" s="227"/>
      <c r="L367" s="224"/>
      <c r="M367" s="224"/>
      <c r="N367" s="224"/>
      <c r="O367" s="224"/>
      <c r="P367" s="224"/>
      <c r="Q367" s="224"/>
      <c r="R367" s="224"/>
      <c r="S367" s="224"/>
      <c r="T367" s="224"/>
      <c r="U367" s="224"/>
      <c r="V367" s="224"/>
      <c r="W367" s="106"/>
    </row>
    <row r="368" spans="1:23" s="101" customFormat="1" x14ac:dyDescent="0.3">
      <c r="A368" s="222"/>
      <c r="B368" s="235"/>
      <c r="C368" s="227"/>
      <c r="D368" s="344"/>
      <c r="E368" s="235"/>
      <c r="F368" s="235"/>
      <c r="G368" s="227"/>
      <c r="H368" s="227"/>
      <c r="I368" s="350"/>
      <c r="J368" s="227"/>
      <c r="K368" s="227"/>
      <c r="L368" s="224"/>
      <c r="M368" s="224"/>
      <c r="N368" s="224"/>
      <c r="O368" s="224"/>
      <c r="P368" s="224"/>
      <c r="Q368" s="224"/>
      <c r="R368" s="224"/>
      <c r="S368" s="224"/>
      <c r="T368" s="224"/>
      <c r="U368" s="224"/>
      <c r="V368" s="224"/>
      <c r="W368" s="106"/>
    </row>
    <row r="369" spans="1:23" s="101" customFormat="1" x14ac:dyDescent="0.3">
      <c r="A369" s="222"/>
      <c r="B369" s="235"/>
      <c r="C369" s="227"/>
      <c r="D369" s="344"/>
      <c r="E369" s="235"/>
      <c r="F369" s="235"/>
      <c r="G369" s="227"/>
      <c r="H369" s="227"/>
      <c r="I369" s="350"/>
      <c r="J369" s="227"/>
      <c r="K369" s="227"/>
      <c r="L369" s="224"/>
      <c r="M369" s="224"/>
      <c r="N369" s="224"/>
      <c r="O369" s="224"/>
      <c r="P369" s="224"/>
      <c r="Q369" s="224"/>
      <c r="R369" s="224"/>
      <c r="S369" s="224"/>
      <c r="T369" s="224"/>
      <c r="U369" s="224"/>
      <c r="V369" s="224"/>
      <c r="W369" s="106"/>
    </row>
    <row r="370" spans="1:23" s="101" customFormat="1" x14ac:dyDescent="0.3">
      <c r="A370" s="222"/>
      <c r="B370" s="235"/>
      <c r="C370" s="227"/>
      <c r="D370" s="344"/>
      <c r="E370" s="235"/>
      <c r="F370" s="235"/>
      <c r="G370" s="227"/>
      <c r="H370" s="227"/>
      <c r="I370" s="350"/>
      <c r="J370" s="227"/>
      <c r="K370" s="227"/>
      <c r="L370" s="224"/>
      <c r="M370" s="224"/>
      <c r="N370" s="224"/>
      <c r="O370" s="224"/>
      <c r="P370" s="224"/>
      <c r="Q370" s="224"/>
      <c r="R370" s="224"/>
      <c r="S370" s="224"/>
      <c r="T370" s="224"/>
      <c r="U370" s="224"/>
      <c r="V370" s="224"/>
      <c r="W370" s="106"/>
    </row>
    <row r="371" spans="1:23" s="101" customFormat="1" x14ac:dyDescent="0.3">
      <c r="A371" s="222"/>
      <c r="B371" s="235"/>
      <c r="C371" s="227"/>
      <c r="D371" s="344"/>
      <c r="E371" s="235"/>
      <c r="F371" s="235"/>
      <c r="G371" s="227"/>
      <c r="H371" s="227"/>
      <c r="I371" s="350"/>
      <c r="J371" s="227"/>
      <c r="K371" s="227"/>
      <c r="L371" s="224"/>
      <c r="M371" s="224"/>
      <c r="N371" s="224"/>
      <c r="O371" s="224"/>
      <c r="P371" s="224"/>
      <c r="Q371" s="224"/>
      <c r="R371" s="224"/>
      <c r="S371" s="224"/>
      <c r="T371" s="224"/>
      <c r="U371" s="224"/>
      <c r="V371" s="224"/>
      <c r="W371" s="106"/>
    </row>
    <row r="372" spans="1:23" s="101" customFormat="1" x14ac:dyDescent="0.3">
      <c r="A372" s="222"/>
      <c r="B372" s="235"/>
      <c r="C372" s="227"/>
      <c r="D372" s="344"/>
      <c r="E372" s="235"/>
      <c r="F372" s="235"/>
      <c r="G372" s="227"/>
      <c r="H372" s="227"/>
      <c r="I372" s="350"/>
      <c r="J372" s="227"/>
      <c r="K372" s="227"/>
      <c r="L372" s="224"/>
      <c r="M372" s="224"/>
      <c r="N372" s="224"/>
      <c r="O372" s="224"/>
      <c r="P372" s="224"/>
      <c r="Q372" s="224"/>
      <c r="R372" s="224"/>
      <c r="S372" s="224"/>
      <c r="T372" s="224"/>
      <c r="U372" s="224"/>
      <c r="V372" s="224"/>
      <c r="W372" s="106"/>
    </row>
    <row r="373" spans="1:23" s="101" customFormat="1" x14ac:dyDescent="0.3">
      <c r="A373" s="222"/>
      <c r="B373" s="235"/>
      <c r="C373" s="227"/>
      <c r="D373" s="344"/>
      <c r="E373" s="235"/>
      <c r="F373" s="235"/>
      <c r="G373" s="227"/>
      <c r="H373" s="227"/>
      <c r="I373" s="350"/>
      <c r="J373" s="227"/>
      <c r="K373" s="227"/>
      <c r="L373" s="224"/>
      <c r="M373" s="224"/>
      <c r="N373" s="224"/>
      <c r="O373" s="224"/>
      <c r="P373" s="224"/>
      <c r="Q373" s="224"/>
      <c r="R373" s="224"/>
      <c r="S373" s="224"/>
      <c r="T373" s="224"/>
      <c r="U373" s="224"/>
      <c r="V373" s="224"/>
      <c r="W373" s="106"/>
    </row>
    <row r="374" spans="1:23" s="101" customFormat="1" x14ac:dyDescent="0.3">
      <c r="A374" s="222"/>
      <c r="B374" s="235"/>
      <c r="C374" s="227"/>
      <c r="D374" s="344"/>
      <c r="E374" s="235"/>
      <c r="F374" s="235"/>
      <c r="G374" s="227"/>
      <c r="H374" s="227"/>
      <c r="I374" s="350"/>
      <c r="J374" s="227"/>
      <c r="K374" s="227"/>
      <c r="L374" s="224"/>
      <c r="M374" s="224"/>
      <c r="N374" s="224"/>
      <c r="O374" s="224"/>
      <c r="P374" s="224"/>
      <c r="Q374" s="224"/>
      <c r="R374" s="224"/>
      <c r="S374" s="224"/>
      <c r="T374" s="224"/>
      <c r="U374" s="224"/>
      <c r="V374" s="224"/>
      <c r="W374" s="106"/>
    </row>
    <row r="375" spans="1:23" s="101" customFormat="1" x14ac:dyDescent="0.3">
      <c r="A375" s="222"/>
      <c r="B375" s="235"/>
      <c r="C375" s="227"/>
      <c r="D375" s="344"/>
      <c r="E375" s="235"/>
      <c r="F375" s="235"/>
      <c r="G375" s="227"/>
      <c r="H375" s="227"/>
      <c r="I375" s="350"/>
      <c r="J375" s="227"/>
      <c r="K375" s="227"/>
      <c r="L375" s="224"/>
      <c r="M375" s="224"/>
      <c r="N375" s="224"/>
      <c r="O375" s="224"/>
      <c r="P375" s="224"/>
      <c r="Q375" s="224"/>
      <c r="R375" s="224"/>
      <c r="S375" s="224"/>
      <c r="T375" s="224"/>
      <c r="U375" s="224"/>
      <c r="V375" s="224"/>
      <c r="W375" s="106"/>
    </row>
    <row r="376" spans="1:23" s="101" customFormat="1" x14ac:dyDescent="0.3">
      <c r="A376" s="222"/>
      <c r="B376" s="235"/>
      <c r="C376" s="227"/>
      <c r="D376" s="344"/>
      <c r="E376" s="235"/>
      <c r="F376" s="235"/>
      <c r="G376" s="227"/>
      <c r="H376" s="227"/>
      <c r="I376" s="350"/>
      <c r="J376" s="227"/>
      <c r="K376" s="227"/>
      <c r="L376" s="224"/>
      <c r="M376" s="224"/>
      <c r="N376" s="224"/>
      <c r="O376" s="224"/>
      <c r="P376" s="224"/>
      <c r="Q376" s="224"/>
      <c r="R376" s="224"/>
      <c r="S376" s="224"/>
      <c r="T376" s="224"/>
      <c r="U376" s="224"/>
      <c r="V376" s="224"/>
      <c r="W376" s="106"/>
    </row>
    <row r="377" spans="1:23" s="101" customFormat="1" x14ac:dyDescent="0.3">
      <c r="A377" s="222"/>
      <c r="B377" s="235"/>
      <c r="C377" s="227"/>
      <c r="D377" s="344"/>
      <c r="E377" s="235"/>
      <c r="F377" s="235"/>
      <c r="G377" s="227"/>
      <c r="H377" s="227"/>
      <c r="I377" s="350"/>
      <c r="J377" s="227"/>
      <c r="K377" s="227"/>
      <c r="L377" s="224"/>
      <c r="M377" s="224"/>
      <c r="N377" s="224"/>
      <c r="O377" s="224"/>
      <c r="P377" s="224"/>
      <c r="Q377" s="224"/>
      <c r="R377" s="224"/>
      <c r="S377" s="224"/>
      <c r="T377" s="224"/>
      <c r="U377" s="224"/>
      <c r="V377" s="224"/>
      <c r="W377" s="106"/>
    </row>
    <row r="378" spans="1:23" s="101" customFormat="1" x14ac:dyDescent="0.3">
      <c r="A378" s="222"/>
      <c r="B378" s="235"/>
      <c r="C378" s="227"/>
      <c r="D378" s="344"/>
      <c r="E378" s="235"/>
      <c r="F378" s="235"/>
      <c r="G378" s="227"/>
      <c r="H378" s="227"/>
      <c r="I378" s="350"/>
      <c r="J378" s="227"/>
      <c r="K378" s="227"/>
      <c r="L378" s="224"/>
      <c r="M378" s="224"/>
      <c r="N378" s="224"/>
      <c r="O378" s="224"/>
      <c r="P378" s="224"/>
      <c r="Q378" s="224"/>
      <c r="R378" s="224"/>
      <c r="S378" s="224"/>
      <c r="T378" s="224"/>
      <c r="U378" s="224"/>
      <c r="V378" s="224"/>
      <c r="W378" s="106"/>
    </row>
    <row r="379" spans="1:23" s="101" customFormat="1" x14ac:dyDescent="0.3">
      <c r="A379" s="222"/>
      <c r="B379" s="235"/>
      <c r="C379" s="227"/>
      <c r="D379" s="344"/>
      <c r="E379" s="235"/>
      <c r="F379" s="235"/>
      <c r="G379" s="227"/>
      <c r="H379" s="227"/>
      <c r="I379" s="350"/>
      <c r="J379" s="227"/>
      <c r="K379" s="227"/>
      <c r="L379" s="224"/>
      <c r="M379" s="224"/>
      <c r="N379" s="224"/>
      <c r="O379" s="224"/>
      <c r="P379" s="224"/>
      <c r="Q379" s="224"/>
      <c r="R379" s="224"/>
      <c r="S379" s="224"/>
      <c r="T379" s="224"/>
      <c r="U379" s="224"/>
      <c r="V379" s="224"/>
      <c r="W379" s="106"/>
    </row>
    <row r="380" spans="1:23" s="101" customFormat="1" x14ac:dyDescent="0.3">
      <c r="A380" s="222"/>
      <c r="B380" s="235"/>
      <c r="C380" s="227"/>
      <c r="D380" s="344"/>
      <c r="E380" s="235"/>
      <c r="F380" s="235"/>
      <c r="G380" s="227"/>
      <c r="H380" s="227"/>
      <c r="I380" s="350"/>
      <c r="J380" s="227"/>
      <c r="K380" s="227"/>
      <c r="L380" s="224"/>
      <c r="M380" s="224"/>
      <c r="N380" s="224"/>
      <c r="O380" s="224"/>
      <c r="P380" s="224"/>
      <c r="Q380" s="224"/>
      <c r="R380" s="224"/>
      <c r="S380" s="224"/>
      <c r="T380" s="224"/>
      <c r="U380" s="224"/>
      <c r="V380" s="224"/>
      <c r="W380" s="106"/>
    </row>
    <row r="381" spans="1:23" s="101" customFormat="1" x14ac:dyDescent="0.3">
      <c r="A381" s="222"/>
      <c r="B381" s="235"/>
      <c r="C381" s="227"/>
      <c r="D381" s="344"/>
      <c r="E381" s="235"/>
      <c r="F381" s="235"/>
      <c r="G381" s="227"/>
      <c r="H381" s="227"/>
      <c r="I381" s="350"/>
      <c r="J381" s="227"/>
      <c r="K381" s="227"/>
      <c r="L381" s="224"/>
      <c r="M381" s="224"/>
      <c r="N381" s="224"/>
      <c r="O381" s="224"/>
      <c r="P381" s="224"/>
      <c r="Q381" s="224"/>
      <c r="R381" s="224"/>
      <c r="S381" s="224"/>
      <c r="T381" s="224"/>
      <c r="U381" s="224"/>
      <c r="V381" s="224"/>
      <c r="W381" s="106"/>
    </row>
    <row r="382" spans="1:23" s="101" customFormat="1" x14ac:dyDescent="0.3">
      <c r="A382" s="222"/>
      <c r="B382" s="235"/>
      <c r="C382" s="227"/>
      <c r="D382" s="344"/>
      <c r="E382" s="235"/>
      <c r="F382" s="235"/>
      <c r="G382" s="227"/>
      <c r="H382" s="227"/>
      <c r="I382" s="350"/>
      <c r="J382" s="227"/>
      <c r="K382" s="227"/>
      <c r="L382" s="224"/>
      <c r="M382" s="224"/>
      <c r="N382" s="224"/>
      <c r="O382" s="224"/>
      <c r="P382" s="224"/>
      <c r="Q382" s="224"/>
      <c r="R382" s="224"/>
      <c r="S382" s="224"/>
      <c r="T382" s="224"/>
      <c r="U382" s="224"/>
      <c r="V382" s="224"/>
      <c r="W382" s="106"/>
    </row>
    <row r="383" spans="1:23" s="101" customFormat="1" x14ac:dyDescent="0.3">
      <c r="A383" s="222"/>
      <c r="B383" s="235"/>
      <c r="C383" s="227"/>
      <c r="D383" s="344"/>
      <c r="E383" s="235"/>
      <c r="F383" s="235"/>
      <c r="G383" s="227"/>
      <c r="H383" s="227"/>
      <c r="I383" s="350"/>
      <c r="J383" s="227"/>
      <c r="K383" s="227"/>
      <c r="L383" s="224"/>
      <c r="M383" s="224"/>
      <c r="N383" s="224"/>
      <c r="O383" s="224"/>
      <c r="P383" s="224"/>
      <c r="Q383" s="224"/>
      <c r="R383" s="224"/>
      <c r="S383" s="224"/>
      <c r="T383" s="224"/>
      <c r="U383" s="224"/>
      <c r="V383" s="224"/>
      <c r="W383" s="106"/>
    </row>
    <row r="384" spans="1:23" s="101" customFormat="1" x14ac:dyDescent="0.3">
      <c r="A384" s="222"/>
      <c r="B384" s="235"/>
      <c r="C384" s="227"/>
      <c r="D384" s="344"/>
      <c r="E384" s="235"/>
      <c r="F384" s="235"/>
      <c r="G384" s="227"/>
      <c r="H384" s="227"/>
      <c r="I384" s="350"/>
      <c r="J384" s="227"/>
      <c r="K384" s="227"/>
      <c r="L384" s="224"/>
      <c r="M384" s="224"/>
      <c r="N384" s="224"/>
      <c r="O384" s="224"/>
      <c r="P384" s="224"/>
      <c r="Q384" s="224"/>
      <c r="R384" s="224"/>
      <c r="S384" s="224"/>
      <c r="T384" s="224"/>
      <c r="U384" s="224"/>
      <c r="V384" s="224"/>
      <c r="W384" s="106"/>
    </row>
    <row r="385" spans="1:23" s="101" customFormat="1" x14ac:dyDescent="0.3">
      <c r="A385" s="222"/>
      <c r="B385" s="235"/>
      <c r="C385" s="227"/>
      <c r="D385" s="344"/>
      <c r="E385" s="235"/>
      <c r="F385" s="235"/>
      <c r="G385" s="227"/>
      <c r="H385" s="227"/>
      <c r="I385" s="350"/>
      <c r="J385" s="227"/>
      <c r="K385" s="227"/>
      <c r="L385" s="224"/>
      <c r="M385" s="224"/>
      <c r="N385" s="224"/>
      <c r="O385" s="224"/>
      <c r="P385" s="224"/>
      <c r="Q385" s="224"/>
      <c r="R385" s="224"/>
      <c r="S385" s="224"/>
      <c r="T385" s="224"/>
      <c r="U385" s="224"/>
      <c r="V385" s="224"/>
      <c r="W385" s="106"/>
    </row>
    <row r="386" spans="1:23" s="101" customFormat="1" x14ac:dyDescent="0.3">
      <c r="A386" s="222"/>
      <c r="B386" s="235"/>
      <c r="C386" s="227"/>
      <c r="D386" s="344"/>
      <c r="E386" s="235"/>
      <c r="F386" s="235"/>
      <c r="G386" s="227"/>
      <c r="H386" s="227"/>
      <c r="I386" s="350"/>
      <c r="J386" s="227"/>
      <c r="K386" s="227"/>
      <c r="L386" s="224"/>
      <c r="M386" s="224"/>
      <c r="N386" s="224"/>
      <c r="O386" s="224"/>
      <c r="P386" s="224"/>
      <c r="Q386" s="224"/>
      <c r="R386" s="224"/>
      <c r="S386" s="224"/>
      <c r="T386" s="224"/>
      <c r="U386" s="224"/>
      <c r="V386" s="224"/>
      <c r="W386" s="106"/>
    </row>
    <row r="387" spans="1:23" s="101" customFormat="1" x14ac:dyDescent="0.3">
      <c r="A387" s="222"/>
      <c r="B387" s="235"/>
      <c r="C387" s="227"/>
      <c r="D387" s="344"/>
      <c r="E387" s="235"/>
      <c r="F387" s="235"/>
      <c r="G387" s="227"/>
      <c r="H387" s="227"/>
      <c r="I387" s="350"/>
      <c r="J387" s="227"/>
      <c r="K387" s="227"/>
      <c r="L387" s="224"/>
      <c r="M387" s="224"/>
      <c r="N387" s="224"/>
      <c r="O387" s="224"/>
      <c r="P387" s="224"/>
      <c r="Q387" s="224"/>
      <c r="R387" s="224"/>
      <c r="S387" s="224"/>
      <c r="T387" s="224"/>
      <c r="U387" s="224"/>
      <c r="V387" s="224"/>
      <c r="W387" s="106"/>
    </row>
    <row r="388" spans="1:23" s="101" customFormat="1" x14ac:dyDescent="0.3">
      <c r="A388" s="222"/>
      <c r="B388" s="235"/>
      <c r="C388" s="227"/>
      <c r="D388" s="344"/>
      <c r="E388" s="235"/>
      <c r="F388" s="235"/>
      <c r="G388" s="227"/>
      <c r="H388" s="227"/>
      <c r="I388" s="350"/>
      <c r="J388" s="227"/>
      <c r="K388" s="227"/>
      <c r="L388" s="224"/>
      <c r="M388" s="224"/>
      <c r="N388" s="224"/>
      <c r="O388" s="224"/>
      <c r="P388" s="224"/>
      <c r="Q388" s="224"/>
      <c r="R388" s="224"/>
      <c r="S388" s="224"/>
      <c r="T388" s="224"/>
      <c r="U388" s="224"/>
      <c r="V388" s="224"/>
      <c r="W388" s="106"/>
    </row>
    <row r="389" spans="1:23" s="101" customFormat="1" x14ac:dyDescent="0.3">
      <c r="A389" s="222"/>
      <c r="B389" s="235"/>
      <c r="C389" s="227"/>
      <c r="D389" s="344"/>
      <c r="E389" s="235"/>
      <c r="F389" s="235"/>
      <c r="G389" s="227"/>
      <c r="H389" s="227"/>
      <c r="I389" s="350"/>
      <c r="J389" s="227"/>
      <c r="K389" s="227"/>
      <c r="L389" s="224"/>
      <c r="M389" s="224"/>
      <c r="N389" s="224"/>
      <c r="O389" s="224"/>
      <c r="P389" s="224"/>
      <c r="Q389" s="224"/>
      <c r="R389" s="224"/>
      <c r="S389" s="224"/>
      <c r="T389" s="224"/>
      <c r="U389" s="224"/>
      <c r="V389" s="224"/>
      <c r="W389" s="106"/>
    </row>
    <row r="390" spans="1:23" s="101" customFormat="1" x14ac:dyDescent="0.3">
      <c r="A390" s="222"/>
      <c r="B390" s="235"/>
      <c r="C390" s="227"/>
      <c r="D390" s="344"/>
      <c r="E390" s="235"/>
      <c r="F390" s="235"/>
      <c r="G390" s="227"/>
      <c r="H390" s="227"/>
      <c r="I390" s="350"/>
      <c r="J390" s="227"/>
      <c r="K390" s="227"/>
      <c r="L390" s="224"/>
      <c r="M390" s="224"/>
      <c r="N390" s="224"/>
      <c r="O390" s="224"/>
      <c r="P390" s="224"/>
      <c r="Q390" s="224"/>
      <c r="R390" s="224"/>
      <c r="S390" s="224"/>
      <c r="T390" s="224"/>
      <c r="U390" s="224"/>
      <c r="V390" s="224"/>
      <c r="W390" s="106"/>
    </row>
    <row r="391" spans="1:23" s="101" customFormat="1" x14ac:dyDescent="0.3">
      <c r="A391" s="222"/>
      <c r="B391" s="235"/>
      <c r="C391" s="227"/>
      <c r="D391" s="344"/>
      <c r="E391" s="235"/>
      <c r="F391" s="235"/>
      <c r="G391" s="227"/>
      <c r="H391" s="227"/>
      <c r="I391" s="350"/>
      <c r="J391" s="227"/>
      <c r="K391" s="227"/>
      <c r="L391" s="224"/>
      <c r="M391" s="224"/>
      <c r="N391" s="224"/>
      <c r="O391" s="224"/>
      <c r="P391" s="224"/>
      <c r="Q391" s="224"/>
      <c r="R391" s="224"/>
      <c r="S391" s="224"/>
      <c r="T391" s="224"/>
      <c r="U391" s="224"/>
      <c r="V391" s="224"/>
      <c r="W391" s="106"/>
    </row>
    <row r="392" spans="1:23" s="101" customFormat="1" x14ac:dyDescent="0.3">
      <c r="A392" s="222"/>
      <c r="B392" s="235"/>
      <c r="C392" s="227"/>
      <c r="D392" s="344"/>
      <c r="E392" s="235"/>
      <c r="F392" s="235"/>
      <c r="G392" s="227"/>
      <c r="H392" s="227"/>
      <c r="I392" s="350"/>
      <c r="J392" s="227"/>
      <c r="K392" s="227"/>
      <c r="L392" s="224"/>
      <c r="M392" s="224"/>
      <c r="N392" s="224"/>
      <c r="O392" s="224"/>
      <c r="P392" s="224"/>
      <c r="Q392" s="224"/>
      <c r="R392" s="224"/>
      <c r="S392" s="224"/>
      <c r="T392" s="224"/>
      <c r="U392" s="224"/>
      <c r="V392" s="224"/>
      <c r="W392" s="106"/>
    </row>
    <row r="393" spans="1:23" s="101" customFormat="1" x14ac:dyDescent="0.3">
      <c r="A393" s="222"/>
      <c r="B393" s="235"/>
      <c r="C393" s="227"/>
      <c r="D393" s="344"/>
      <c r="E393" s="235"/>
      <c r="F393" s="235"/>
      <c r="G393" s="227"/>
      <c r="H393" s="227"/>
      <c r="I393" s="350"/>
      <c r="J393" s="227"/>
      <c r="K393" s="227"/>
      <c r="L393" s="224"/>
      <c r="M393" s="224"/>
      <c r="N393" s="224"/>
      <c r="O393" s="224"/>
      <c r="P393" s="224"/>
      <c r="Q393" s="224"/>
      <c r="R393" s="224"/>
      <c r="S393" s="224"/>
      <c r="T393" s="224"/>
      <c r="U393" s="224"/>
      <c r="V393" s="224"/>
      <c r="W393" s="106"/>
    </row>
    <row r="394" spans="1:23" s="101" customFormat="1" x14ac:dyDescent="0.3">
      <c r="A394" s="222"/>
      <c r="B394" s="235"/>
      <c r="C394" s="227"/>
      <c r="D394" s="344"/>
      <c r="E394" s="235"/>
      <c r="F394" s="235"/>
      <c r="G394" s="227"/>
      <c r="H394" s="227"/>
      <c r="I394" s="350"/>
      <c r="J394" s="227"/>
      <c r="K394" s="227"/>
      <c r="L394" s="224"/>
      <c r="M394" s="224"/>
      <c r="N394" s="224"/>
      <c r="O394" s="224"/>
      <c r="P394" s="224"/>
      <c r="Q394" s="224"/>
      <c r="R394" s="224"/>
      <c r="S394" s="224"/>
      <c r="T394" s="224"/>
      <c r="U394" s="224"/>
      <c r="V394" s="224"/>
      <c r="W394" s="106"/>
    </row>
    <row r="395" spans="1:23" s="101" customFormat="1" x14ac:dyDescent="0.3">
      <c r="A395" s="222"/>
      <c r="B395" s="235"/>
      <c r="C395" s="227"/>
      <c r="D395" s="344"/>
      <c r="E395" s="235"/>
      <c r="F395" s="235"/>
      <c r="G395" s="227"/>
      <c r="H395" s="227"/>
      <c r="I395" s="350"/>
      <c r="J395" s="227"/>
      <c r="K395" s="227"/>
      <c r="L395" s="224"/>
      <c r="M395" s="224"/>
      <c r="N395" s="224"/>
      <c r="O395" s="224"/>
      <c r="P395" s="224"/>
      <c r="Q395" s="224"/>
      <c r="R395" s="224"/>
      <c r="S395" s="224"/>
      <c r="T395" s="224"/>
      <c r="U395" s="224"/>
      <c r="V395" s="224"/>
      <c r="W395" s="106"/>
    </row>
    <row r="396" spans="1:23" s="101" customFormat="1" x14ac:dyDescent="0.3">
      <c r="A396" s="222"/>
      <c r="B396" s="235"/>
      <c r="C396" s="227"/>
      <c r="D396" s="344"/>
      <c r="E396" s="235"/>
      <c r="F396" s="235"/>
      <c r="G396" s="227"/>
      <c r="H396" s="227"/>
      <c r="I396" s="350"/>
      <c r="J396" s="227"/>
      <c r="K396" s="227"/>
      <c r="L396" s="224"/>
      <c r="M396" s="224"/>
      <c r="N396" s="224"/>
      <c r="O396" s="224"/>
      <c r="P396" s="224"/>
      <c r="Q396" s="224"/>
      <c r="R396" s="224"/>
      <c r="S396" s="224"/>
      <c r="T396" s="224"/>
      <c r="U396" s="224"/>
      <c r="V396" s="224"/>
      <c r="W396" s="106"/>
    </row>
    <row r="397" spans="1:23" s="101" customFormat="1" x14ac:dyDescent="0.3">
      <c r="A397" s="222"/>
      <c r="B397" s="235"/>
      <c r="C397" s="227"/>
      <c r="D397" s="344"/>
      <c r="E397" s="235"/>
      <c r="F397" s="235"/>
      <c r="G397" s="227"/>
      <c r="H397" s="227"/>
      <c r="I397" s="350"/>
      <c r="J397" s="227"/>
      <c r="K397" s="227"/>
      <c r="L397" s="224"/>
      <c r="M397" s="224"/>
      <c r="N397" s="224"/>
      <c r="O397" s="224"/>
      <c r="P397" s="224"/>
      <c r="Q397" s="224"/>
      <c r="R397" s="224"/>
      <c r="S397" s="224"/>
      <c r="T397" s="224"/>
      <c r="U397" s="224"/>
      <c r="V397" s="224"/>
      <c r="W397" s="106"/>
    </row>
    <row r="398" spans="1:23" s="101" customFormat="1" x14ac:dyDescent="0.3">
      <c r="A398" s="222"/>
      <c r="B398" s="235"/>
      <c r="C398" s="227"/>
      <c r="D398" s="344"/>
      <c r="E398" s="235"/>
      <c r="F398" s="235"/>
      <c r="G398" s="227"/>
      <c r="H398" s="227"/>
      <c r="I398" s="350"/>
      <c r="J398" s="227"/>
      <c r="K398" s="227"/>
      <c r="L398" s="224"/>
      <c r="M398" s="224"/>
      <c r="N398" s="224"/>
      <c r="O398" s="224"/>
      <c r="P398" s="224"/>
      <c r="Q398" s="224"/>
      <c r="R398" s="224"/>
      <c r="S398" s="224"/>
      <c r="T398" s="224"/>
      <c r="U398" s="224"/>
      <c r="V398" s="224"/>
      <c r="W398" s="106"/>
    </row>
    <row r="399" spans="1:23" s="101" customFormat="1" x14ac:dyDescent="0.3">
      <c r="A399" s="222"/>
      <c r="B399" s="235"/>
      <c r="C399" s="227"/>
      <c r="D399" s="344"/>
      <c r="E399" s="235"/>
      <c r="F399" s="235"/>
      <c r="G399" s="227"/>
      <c r="H399" s="227"/>
      <c r="I399" s="350"/>
      <c r="J399" s="227"/>
      <c r="K399" s="227"/>
      <c r="L399" s="224"/>
      <c r="M399" s="224"/>
      <c r="N399" s="224"/>
      <c r="O399" s="224"/>
      <c r="P399" s="224"/>
      <c r="Q399" s="224"/>
      <c r="R399" s="224"/>
      <c r="S399" s="224"/>
      <c r="T399" s="224"/>
      <c r="U399" s="224"/>
      <c r="V399" s="224"/>
      <c r="W399" s="106"/>
    </row>
    <row r="400" spans="1:23" s="101" customFormat="1" x14ac:dyDescent="0.3">
      <c r="A400" s="222"/>
      <c r="B400" s="235"/>
      <c r="C400" s="227"/>
      <c r="D400" s="344"/>
      <c r="E400" s="235"/>
      <c r="F400" s="235"/>
      <c r="G400" s="227"/>
      <c r="H400" s="227"/>
      <c r="I400" s="350"/>
      <c r="J400" s="227"/>
      <c r="K400" s="227"/>
      <c r="L400" s="224"/>
      <c r="M400" s="224"/>
      <c r="N400" s="224"/>
      <c r="O400" s="224"/>
      <c r="P400" s="224"/>
      <c r="Q400" s="224"/>
      <c r="R400" s="224"/>
      <c r="S400" s="224"/>
      <c r="T400" s="224"/>
      <c r="U400" s="224"/>
      <c r="V400" s="224"/>
      <c r="W400" s="106"/>
    </row>
    <row r="401" spans="1:23" s="101" customFormat="1" x14ac:dyDescent="0.3">
      <c r="A401" s="222"/>
      <c r="B401" s="235"/>
      <c r="C401" s="227"/>
      <c r="D401" s="344"/>
      <c r="E401" s="235"/>
      <c r="F401" s="235"/>
      <c r="G401" s="227"/>
      <c r="H401" s="227"/>
      <c r="I401" s="350"/>
      <c r="J401" s="227"/>
      <c r="K401" s="227"/>
      <c r="L401" s="224"/>
      <c r="M401" s="224"/>
      <c r="N401" s="224"/>
      <c r="O401" s="224"/>
      <c r="P401" s="224"/>
      <c r="Q401" s="224"/>
      <c r="R401" s="224"/>
      <c r="S401" s="224"/>
      <c r="T401" s="224"/>
      <c r="U401" s="224"/>
      <c r="V401" s="224"/>
      <c r="W401" s="106"/>
    </row>
    <row r="402" spans="1:23" s="101" customFormat="1" x14ac:dyDescent="0.3">
      <c r="A402" s="222"/>
      <c r="B402" s="235"/>
      <c r="C402" s="227"/>
      <c r="D402" s="344"/>
      <c r="E402" s="235"/>
      <c r="F402" s="235"/>
      <c r="G402" s="227"/>
      <c r="H402" s="227"/>
      <c r="I402" s="350"/>
      <c r="J402" s="227"/>
      <c r="K402" s="227"/>
      <c r="L402" s="224"/>
      <c r="M402" s="224"/>
      <c r="N402" s="224"/>
      <c r="O402" s="224"/>
      <c r="P402" s="224"/>
      <c r="Q402" s="224"/>
      <c r="R402" s="224"/>
      <c r="S402" s="224"/>
      <c r="T402" s="224"/>
      <c r="U402" s="224"/>
      <c r="V402" s="224"/>
      <c r="W402" s="106"/>
    </row>
    <row r="403" spans="1:23" s="101" customFormat="1" x14ac:dyDescent="0.3">
      <c r="A403" s="222"/>
      <c r="B403" s="235"/>
      <c r="C403" s="227"/>
      <c r="D403" s="344"/>
      <c r="E403" s="235"/>
      <c r="F403" s="235"/>
      <c r="G403" s="227"/>
      <c r="H403" s="227"/>
      <c r="I403" s="350"/>
      <c r="J403" s="227"/>
      <c r="K403" s="227"/>
      <c r="L403" s="224"/>
      <c r="M403" s="224"/>
      <c r="N403" s="224"/>
      <c r="O403" s="224"/>
      <c r="P403" s="224"/>
      <c r="Q403" s="224"/>
      <c r="R403" s="224"/>
      <c r="S403" s="224"/>
      <c r="T403" s="224"/>
      <c r="U403" s="224"/>
      <c r="V403" s="224"/>
      <c r="W403" s="106"/>
    </row>
    <row r="404" spans="1:23" s="101" customFormat="1" x14ac:dyDescent="0.3">
      <c r="A404" s="222"/>
      <c r="B404" s="235"/>
      <c r="C404" s="227"/>
      <c r="D404" s="344"/>
      <c r="E404" s="235"/>
      <c r="F404" s="235"/>
      <c r="G404" s="227"/>
      <c r="H404" s="227"/>
      <c r="I404" s="350"/>
      <c r="J404" s="227"/>
      <c r="K404" s="227"/>
      <c r="L404" s="224"/>
      <c r="M404" s="224"/>
      <c r="N404" s="224"/>
      <c r="O404" s="224"/>
      <c r="P404" s="224"/>
      <c r="Q404" s="224"/>
      <c r="R404" s="224"/>
      <c r="S404" s="224"/>
      <c r="T404" s="224"/>
      <c r="U404" s="224"/>
      <c r="V404" s="224"/>
      <c r="W404" s="106"/>
    </row>
    <row r="405" spans="1:23" s="101" customFormat="1" x14ac:dyDescent="0.3">
      <c r="A405" s="222"/>
      <c r="B405" s="235"/>
      <c r="C405" s="227"/>
      <c r="D405" s="344"/>
      <c r="E405" s="235"/>
      <c r="F405" s="235"/>
      <c r="G405" s="227"/>
      <c r="H405" s="227"/>
      <c r="I405" s="350"/>
      <c r="J405" s="227"/>
      <c r="K405" s="227"/>
      <c r="L405" s="224"/>
      <c r="M405" s="224"/>
      <c r="N405" s="224"/>
      <c r="O405" s="224"/>
      <c r="P405" s="224"/>
      <c r="Q405" s="224"/>
      <c r="R405" s="224"/>
      <c r="S405" s="224"/>
      <c r="T405" s="224"/>
      <c r="U405" s="224"/>
      <c r="V405" s="224"/>
      <c r="W405" s="106"/>
    </row>
    <row r="406" spans="1:23" s="101" customFormat="1" x14ac:dyDescent="0.3">
      <c r="A406" s="222"/>
      <c r="B406" s="235"/>
      <c r="C406" s="227"/>
      <c r="D406" s="344"/>
      <c r="E406" s="235"/>
      <c r="F406" s="235"/>
      <c r="G406" s="227"/>
      <c r="H406" s="227"/>
      <c r="I406" s="350"/>
      <c r="J406" s="227"/>
      <c r="K406" s="227"/>
      <c r="L406" s="224"/>
      <c r="M406" s="224"/>
      <c r="N406" s="224"/>
      <c r="O406" s="224"/>
      <c r="P406" s="224"/>
      <c r="Q406" s="224"/>
      <c r="R406" s="224"/>
      <c r="S406" s="224"/>
      <c r="T406" s="224"/>
      <c r="U406" s="224"/>
      <c r="V406" s="224"/>
      <c r="W406" s="106"/>
    </row>
    <row r="407" spans="1:23" s="101" customFormat="1" x14ac:dyDescent="0.3">
      <c r="A407" s="222"/>
      <c r="B407" s="235"/>
      <c r="C407" s="227"/>
      <c r="D407" s="344"/>
      <c r="E407" s="235"/>
      <c r="F407" s="235"/>
      <c r="G407" s="227"/>
      <c r="H407" s="227"/>
      <c r="I407" s="350"/>
      <c r="J407" s="227"/>
      <c r="K407" s="227"/>
      <c r="L407" s="224"/>
      <c r="M407" s="224"/>
      <c r="N407" s="224"/>
      <c r="O407" s="224"/>
      <c r="P407" s="224"/>
      <c r="Q407" s="224"/>
      <c r="R407" s="224"/>
      <c r="S407" s="224"/>
      <c r="T407" s="224"/>
      <c r="U407" s="224"/>
      <c r="V407" s="224"/>
      <c r="W407" s="106"/>
    </row>
    <row r="408" spans="1:23" s="101" customFormat="1" x14ac:dyDescent="0.3">
      <c r="A408" s="222"/>
      <c r="B408" s="235"/>
      <c r="C408" s="227"/>
      <c r="D408" s="344"/>
      <c r="E408" s="235"/>
      <c r="F408" s="235"/>
      <c r="G408" s="227"/>
      <c r="H408" s="227"/>
      <c r="I408" s="350"/>
      <c r="J408" s="227"/>
      <c r="K408" s="227"/>
      <c r="L408" s="224"/>
      <c r="M408" s="224"/>
      <c r="N408" s="224"/>
      <c r="O408" s="224"/>
      <c r="P408" s="224"/>
      <c r="Q408" s="224"/>
      <c r="R408" s="224"/>
      <c r="S408" s="224"/>
      <c r="T408" s="224"/>
      <c r="U408" s="224"/>
      <c r="V408" s="224"/>
      <c r="W408" s="106"/>
    </row>
    <row r="409" spans="1:23" s="101" customFormat="1" x14ac:dyDescent="0.3">
      <c r="A409" s="222"/>
      <c r="B409" s="235"/>
      <c r="C409" s="227"/>
      <c r="D409" s="344"/>
      <c r="E409" s="235"/>
      <c r="F409" s="235"/>
      <c r="G409" s="227"/>
      <c r="H409" s="227"/>
      <c r="I409" s="350"/>
      <c r="J409" s="227"/>
      <c r="K409" s="227"/>
      <c r="L409" s="224"/>
      <c r="M409" s="224"/>
      <c r="N409" s="224"/>
      <c r="O409" s="224"/>
      <c r="P409" s="224"/>
      <c r="Q409" s="224"/>
      <c r="R409" s="224"/>
      <c r="S409" s="224"/>
      <c r="T409" s="224"/>
      <c r="U409" s="224"/>
      <c r="V409" s="224"/>
      <c r="W409" s="106"/>
    </row>
    <row r="410" spans="1:23" s="101" customFormat="1" x14ac:dyDescent="0.3">
      <c r="A410" s="222"/>
      <c r="B410" s="235"/>
      <c r="C410" s="227"/>
      <c r="D410" s="344"/>
      <c r="E410" s="235"/>
      <c r="F410" s="235"/>
      <c r="G410" s="227"/>
      <c r="H410" s="227"/>
      <c r="I410" s="350"/>
      <c r="J410" s="227"/>
      <c r="K410" s="227"/>
      <c r="L410" s="224"/>
      <c r="M410" s="224"/>
      <c r="N410" s="224"/>
      <c r="O410" s="224"/>
      <c r="P410" s="224"/>
      <c r="Q410" s="224"/>
      <c r="R410" s="224"/>
      <c r="S410" s="224"/>
      <c r="T410" s="224"/>
      <c r="U410" s="224"/>
      <c r="V410" s="224"/>
      <c r="W410" s="106"/>
    </row>
    <row r="411" spans="1:23" s="101" customFormat="1" x14ac:dyDescent="0.3">
      <c r="A411" s="222"/>
      <c r="B411" s="235"/>
      <c r="C411" s="227"/>
      <c r="D411" s="344"/>
      <c r="E411" s="235"/>
      <c r="F411" s="235"/>
      <c r="G411" s="227"/>
      <c r="H411" s="227"/>
      <c r="I411" s="350"/>
      <c r="J411" s="227"/>
      <c r="K411" s="227"/>
      <c r="L411" s="224"/>
      <c r="M411" s="224"/>
      <c r="N411" s="224"/>
      <c r="O411" s="224"/>
      <c r="P411" s="224"/>
      <c r="Q411" s="224"/>
      <c r="R411" s="224"/>
      <c r="S411" s="224"/>
      <c r="T411" s="224"/>
      <c r="U411" s="224"/>
      <c r="V411" s="224"/>
      <c r="W411" s="106"/>
    </row>
    <row r="412" spans="1:23" s="101" customFormat="1" x14ac:dyDescent="0.3">
      <c r="A412" s="222"/>
      <c r="B412" s="235"/>
      <c r="C412" s="227"/>
      <c r="D412" s="344"/>
      <c r="E412" s="235"/>
      <c r="F412" s="235"/>
      <c r="G412" s="227"/>
      <c r="H412" s="227"/>
      <c r="I412" s="350"/>
      <c r="J412" s="227"/>
      <c r="K412" s="227"/>
      <c r="L412" s="224"/>
      <c r="M412" s="224"/>
      <c r="N412" s="224"/>
      <c r="O412" s="224"/>
      <c r="P412" s="224"/>
      <c r="Q412" s="224"/>
      <c r="R412" s="224"/>
      <c r="S412" s="224"/>
      <c r="T412" s="224"/>
      <c r="U412" s="224"/>
      <c r="V412" s="224"/>
      <c r="W412" s="106"/>
    </row>
    <row r="413" spans="1:23" s="101" customFormat="1" x14ac:dyDescent="0.3">
      <c r="A413" s="222"/>
      <c r="B413" s="235"/>
      <c r="C413" s="227"/>
      <c r="D413" s="344"/>
      <c r="E413" s="235"/>
      <c r="F413" s="235"/>
      <c r="G413" s="227"/>
      <c r="H413" s="227"/>
      <c r="I413" s="350"/>
      <c r="J413" s="227"/>
      <c r="K413" s="227"/>
      <c r="L413" s="224"/>
      <c r="M413" s="224"/>
      <c r="N413" s="224"/>
      <c r="O413" s="224"/>
      <c r="P413" s="224"/>
      <c r="Q413" s="224"/>
      <c r="R413" s="224"/>
      <c r="S413" s="224"/>
      <c r="T413" s="224"/>
      <c r="U413" s="224"/>
      <c r="V413" s="224"/>
      <c r="W413" s="106"/>
    </row>
    <row r="414" spans="1:23" s="101" customFormat="1" x14ac:dyDescent="0.3">
      <c r="A414" s="222"/>
      <c r="B414" s="235"/>
      <c r="C414" s="227"/>
      <c r="D414" s="344"/>
      <c r="E414" s="235"/>
      <c r="F414" s="235"/>
      <c r="G414" s="227"/>
      <c r="H414" s="227"/>
      <c r="I414" s="350"/>
      <c r="J414" s="227"/>
      <c r="K414" s="227"/>
      <c r="L414" s="224"/>
      <c r="M414" s="224"/>
      <c r="N414" s="224"/>
      <c r="O414" s="224"/>
      <c r="P414" s="224"/>
      <c r="Q414" s="224"/>
      <c r="R414" s="224"/>
      <c r="S414" s="224"/>
      <c r="T414" s="224"/>
      <c r="U414" s="224"/>
      <c r="V414" s="224"/>
      <c r="W414" s="106"/>
    </row>
    <row r="415" spans="1:23" s="101" customFormat="1" x14ac:dyDescent="0.3">
      <c r="A415" s="222"/>
      <c r="B415" s="235"/>
      <c r="C415" s="227"/>
      <c r="D415" s="344"/>
      <c r="E415" s="235"/>
      <c r="F415" s="235"/>
      <c r="G415" s="227"/>
      <c r="H415" s="227"/>
      <c r="I415" s="350"/>
      <c r="J415" s="227"/>
      <c r="K415" s="227"/>
      <c r="L415" s="224"/>
      <c r="M415" s="224"/>
      <c r="N415" s="224"/>
      <c r="O415" s="224"/>
      <c r="P415" s="224"/>
      <c r="Q415" s="224"/>
      <c r="R415" s="224"/>
      <c r="S415" s="224"/>
      <c r="T415" s="224"/>
      <c r="U415" s="224"/>
      <c r="V415" s="224"/>
      <c r="W415" s="106"/>
    </row>
    <row r="416" spans="1:23" s="101" customFormat="1" x14ac:dyDescent="0.3">
      <c r="A416" s="222"/>
      <c r="B416" s="235"/>
      <c r="C416" s="227"/>
      <c r="D416" s="344"/>
      <c r="E416" s="235"/>
      <c r="F416" s="235"/>
      <c r="G416" s="227"/>
      <c r="H416" s="227"/>
      <c r="I416" s="350"/>
      <c r="J416" s="227"/>
      <c r="K416" s="227"/>
      <c r="L416" s="224"/>
      <c r="M416" s="224"/>
      <c r="N416" s="224"/>
      <c r="O416" s="224"/>
      <c r="P416" s="224"/>
      <c r="Q416" s="224"/>
      <c r="R416" s="224"/>
      <c r="S416" s="224"/>
      <c r="T416" s="224"/>
      <c r="U416" s="224"/>
      <c r="V416" s="224"/>
      <c r="W416" s="106"/>
    </row>
    <row r="417" spans="1:23" s="101" customFormat="1" x14ac:dyDescent="0.3">
      <c r="A417" s="222"/>
      <c r="B417" s="235"/>
      <c r="C417" s="227"/>
      <c r="D417" s="344"/>
      <c r="E417" s="235"/>
      <c r="F417" s="235"/>
      <c r="G417" s="227"/>
      <c r="H417" s="227"/>
      <c r="I417" s="350"/>
      <c r="J417" s="227"/>
      <c r="K417" s="227"/>
      <c r="L417" s="224"/>
      <c r="M417" s="224"/>
      <c r="N417" s="224"/>
      <c r="O417" s="224"/>
      <c r="P417" s="224"/>
      <c r="Q417" s="224"/>
      <c r="R417" s="224"/>
      <c r="S417" s="224"/>
      <c r="T417" s="224"/>
      <c r="U417" s="224"/>
      <c r="V417" s="224"/>
      <c r="W417" s="106"/>
    </row>
    <row r="418" spans="1:23" s="101" customFormat="1" x14ac:dyDescent="0.3">
      <c r="A418" s="222"/>
      <c r="B418" s="235"/>
      <c r="C418" s="227"/>
      <c r="D418" s="344"/>
      <c r="E418" s="235"/>
      <c r="F418" s="235"/>
      <c r="G418" s="227"/>
      <c r="H418" s="227"/>
      <c r="I418" s="350"/>
      <c r="J418" s="227"/>
      <c r="K418" s="227"/>
      <c r="L418" s="224"/>
      <c r="M418" s="224"/>
      <c r="N418" s="224"/>
      <c r="O418" s="224"/>
      <c r="P418" s="224"/>
      <c r="Q418" s="224"/>
      <c r="R418" s="224"/>
      <c r="S418" s="224"/>
      <c r="T418" s="224"/>
      <c r="U418" s="224"/>
      <c r="V418" s="224"/>
      <c r="W418" s="106"/>
    </row>
    <row r="419" spans="1:23" s="101" customFormat="1" x14ac:dyDescent="0.3">
      <c r="A419" s="222"/>
      <c r="B419" s="235"/>
      <c r="C419" s="227"/>
      <c r="D419" s="344"/>
      <c r="E419" s="235"/>
      <c r="F419" s="235"/>
      <c r="G419" s="227"/>
      <c r="H419" s="227"/>
      <c r="I419" s="350"/>
      <c r="J419" s="227"/>
      <c r="K419" s="227"/>
      <c r="L419" s="224"/>
      <c r="M419" s="224"/>
      <c r="N419" s="224"/>
      <c r="O419" s="224"/>
      <c r="P419" s="224"/>
      <c r="Q419" s="224"/>
      <c r="R419" s="224"/>
      <c r="S419" s="224"/>
      <c r="T419" s="224"/>
      <c r="U419" s="224"/>
      <c r="V419" s="224"/>
      <c r="W419" s="106"/>
    </row>
    <row r="420" spans="1:23" s="101" customFormat="1" x14ac:dyDescent="0.3">
      <c r="A420" s="222"/>
      <c r="B420" s="235"/>
      <c r="C420" s="227"/>
      <c r="D420" s="344"/>
      <c r="E420" s="235"/>
      <c r="F420" s="235"/>
      <c r="G420" s="227"/>
      <c r="H420" s="227"/>
      <c r="I420" s="350"/>
      <c r="J420" s="227"/>
      <c r="K420" s="227"/>
      <c r="L420" s="224"/>
      <c r="M420" s="224"/>
      <c r="N420" s="224"/>
      <c r="O420" s="224"/>
      <c r="P420" s="224"/>
      <c r="Q420" s="224"/>
      <c r="R420" s="224"/>
      <c r="S420" s="224"/>
      <c r="T420" s="224"/>
      <c r="U420" s="224"/>
      <c r="V420" s="224"/>
      <c r="W420" s="106"/>
    </row>
    <row r="421" spans="1:23" s="101" customFormat="1" x14ac:dyDescent="0.3">
      <c r="A421" s="222"/>
      <c r="B421" s="235"/>
      <c r="C421" s="227"/>
      <c r="D421" s="344"/>
      <c r="E421" s="235"/>
      <c r="F421" s="235"/>
      <c r="G421" s="227"/>
      <c r="H421" s="227"/>
      <c r="I421" s="350"/>
      <c r="J421" s="227"/>
      <c r="K421" s="227"/>
      <c r="L421" s="224"/>
      <c r="M421" s="224"/>
      <c r="N421" s="224"/>
      <c r="O421" s="224"/>
      <c r="P421" s="224"/>
      <c r="Q421" s="224"/>
      <c r="R421" s="224"/>
      <c r="S421" s="224"/>
      <c r="T421" s="224"/>
      <c r="U421" s="224"/>
      <c r="V421" s="224"/>
      <c r="W421" s="106"/>
    </row>
    <row r="422" spans="1:23" s="101" customFormat="1" x14ac:dyDescent="0.3">
      <c r="A422" s="222"/>
      <c r="B422" s="235"/>
      <c r="C422" s="227"/>
      <c r="D422" s="344"/>
      <c r="E422" s="235"/>
      <c r="F422" s="235"/>
      <c r="G422" s="227"/>
      <c r="H422" s="227"/>
      <c r="I422" s="350"/>
      <c r="J422" s="227"/>
      <c r="K422" s="227"/>
      <c r="L422" s="224"/>
      <c r="M422" s="224"/>
      <c r="N422" s="224"/>
      <c r="O422" s="224"/>
      <c r="P422" s="224"/>
      <c r="Q422" s="224"/>
      <c r="R422" s="224"/>
      <c r="S422" s="224"/>
      <c r="T422" s="224"/>
      <c r="U422" s="224"/>
      <c r="V422" s="224"/>
      <c r="W422" s="106"/>
    </row>
    <row r="423" spans="1:23" s="101" customFormat="1" x14ac:dyDescent="0.3">
      <c r="A423" s="222"/>
      <c r="B423" s="235"/>
      <c r="C423" s="227"/>
      <c r="D423" s="344"/>
      <c r="E423" s="235"/>
      <c r="F423" s="235"/>
      <c r="G423" s="227"/>
      <c r="H423" s="227"/>
      <c r="I423" s="350"/>
      <c r="J423" s="227"/>
      <c r="K423" s="227"/>
      <c r="L423" s="224"/>
      <c r="M423" s="224"/>
      <c r="N423" s="224"/>
      <c r="O423" s="224"/>
      <c r="P423" s="224"/>
      <c r="Q423" s="224"/>
      <c r="R423" s="224"/>
      <c r="S423" s="224"/>
      <c r="T423" s="224"/>
      <c r="U423" s="224"/>
      <c r="V423" s="224"/>
      <c r="W423" s="106"/>
    </row>
    <row r="424" spans="1:23" s="101" customFormat="1" x14ac:dyDescent="0.3">
      <c r="A424" s="222"/>
      <c r="B424" s="235"/>
      <c r="C424" s="227"/>
      <c r="D424" s="344"/>
      <c r="E424" s="235"/>
      <c r="F424" s="235"/>
      <c r="G424" s="227"/>
      <c r="H424" s="227"/>
      <c r="I424" s="350"/>
      <c r="J424" s="227"/>
      <c r="K424" s="227"/>
      <c r="L424" s="224"/>
      <c r="M424" s="224"/>
      <c r="N424" s="224"/>
      <c r="O424" s="224"/>
      <c r="P424" s="224"/>
      <c r="Q424" s="224"/>
      <c r="R424" s="224"/>
      <c r="S424" s="224"/>
      <c r="T424" s="224"/>
      <c r="U424" s="224"/>
      <c r="V424" s="224"/>
      <c r="W424" s="106"/>
    </row>
    <row r="425" spans="1:23" s="101" customFormat="1" x14ac:dyDescent="0.3">
      <c r="A425" s="222"/>
      <c r="B425" s="235"/>
      <c r="C425" s="227"/>
      <c r="D425" s="344"/>
      <c r="E425" s="235"/>
      <c r="F425" s="235"/>
      <c r="G425" s="227"/>
      <c r="H425" s="227"/>
      <c r="I425" s="350"/>
      <c r="J425" s="227"/>
      <c r="K425" s="227"/>
      <c r="L425" s="224"/>
      <c r="M425" s="224"/>
      <c r="N425" s="224"/>
      <c r="O425" s="224"/>
      <c r="P425" s="224"/>
      <c r="Q425" s="224"/>
      <c r="R425" s="224"/>
      <c r="S425" s="224"/>
      <c r="T425" s="224"/>
      <c r="U425" s="224"/>
      <c r="V425" s="224"/>
      <c r="W425" s="106"/>
    </row>
    <row r="426" spans="1:23" s="101" customFormat="1" x14ac:dyDescent="0.3">
      <c r="A426" s="222"/>
      <c r="B426" s="235"/>
      <c r="C426" s="227"/>
      <c r="D426" s="344"/>
      <c r="E426" s="235"/>
      <c r="F426" s="235"/>
      <c r="G426" s="227"/>
      <c r="H426" s="227"/>
      <c r="I426" s="350"/>
      <c r="J426" s="227"/>
      <c r="K426" s="227"/>
      <c r="L426" s="224"/>
      <c r="M426" s="224"/>
      <c r="N426" s="224"/>
      <c r="O426" s="224"/>
      <c r="P426" s="224"/>
      <c r="Q426" s="224"/>
      <c r="R426" s="224"/>
      <c r="S426" s="224"/>
      <c r="T426" s="224"/>
      <c r="U426" s="224"/>
      <c r="V426" s="224"/>
      <c r="W426" s="106"/>
    </row>
    <row r="427" spans="1:23" s="101" customFormat="1" x14ac:dyDescent="0.3">
      <c r="A427" s="222"/>
      <c r="B427" s="235"/>
      <c r="C427" s="227"/>
      <c r="D427" s="344"/>
      <c r="E427" s="235"/>
      <c r="F427" s="235"/>
      <c r="G427" s="227"/>
      <c r="H427" s="227"/>
      <c r="I427" s="350"/>
      <c r="J427" s="227"/>
      <c r="K427" s="227"/>
      <c r="L427" s="224"/>
      <c r="M427" s="224"/>
      <c r="N427" s="224"/>
      <c r="O427" s="224"/>
      <c r="P427" s="224"/>
      <c r="Q427" s="224"/>
      <c r="R427" s="224"/>
      <c r="S427" s="224"/>
      <c r="T427" s="224"/>
      <c r="U427" s="224"/>
      <c r="V427" s="224"/>
      <c r="W427" s="106"/>
    </row>
    <row r="428" spans="1:23" s="101" customFormat="1" x14ac:dyDescent="0.3">
      <c r="A428" s="222"/>
      <c r="B428" s="235"/>
      <c r="C428" s="227"/>
      <c r="D428" s="344"/>
      <c r="E428" s="235"/>
      <c r="F428" s="235"/>
      <c r="G428" s="227"/>
      <c r="H428" s="227"/>
      <c r="I428" s="350"/>
      <c r="J428" s="227"/>
      <c r="K428" s="227"/>
      <c r="L428" s="224"/>
      <c r="M428" s="224"/>
      <c r="N428" s="224"/>
      <c r="O428" s="224"/>
      <c r="P428" s="224"/>
      <c r="Q428" s="224"/>
      <c r="R428" s="224"/>
      <c r="S428" s="224"/>
      <c r="T428" s="224"/>
      <c r="U428" s="224"/>
      <c r="V428" s="224"/>
      <c r="W428" s="106"/>
    </row>
    <row r="429" spans="1:23" s="101" customFormat="1" x14ac:dyDescent="0.3">
      <c r="A429" s="222"/>
      <c r="B429" s="235"/>
      <c r="C429" s="227"/>
      <c r="D429" s="344"/>
      <c r="E429" s="235"/>
      <c r="F429" s="235"/>
      <c r="G429" s="227"/>
      <c r="H429" s="227"/>
      <c r="I429" s="350"/>
      <c r="J429" s="227"/>
      <c r="K429" s="227"/>
      <c r="L429" s="224"/>
      <c r="M429" s="224"/>
      <c r="N429" s="224"/>
      <c r="O429" s="224"/>
      <c r="P429" s="224"/>
      <c r="Q429" s="224"/>
      <c r="R429" s="224"/>
      <c r="S429" s="224"/>
      <c r="T429" s="224"/>
      <c r="U429" s="224"/>
      <c r="V429" s="224"/>
      <c r="W429" s="106"/>
    </row>
    <row r="430" spans="1:23" s="101" customFormat="1" x14ac:dyDescent="0.3">
      <c r="A430" s="222"/>
      <c r="B430" s="235"/>
      <c r="C430" s="227"/>
      <c r="D430" s="344"/>
      <c r="E430" s="235"/>
      <c r="F430" s="235"/>
      <c r="G430" s="227"/>
      <c r="H430" s="227"/>
      <c r="I430" s="350"/>
      <c r="J430" s="227"/>
      <c r="K430" s="227"/>
      <c r="L430" s="224"/>
      <c r="M430" s="224"/>
      <c r="N430" s="224"/>
      <c r="O430" s="224"/>
      <c r="P430" s="224"/>
      <c r="Q430" s="224"/>
      <c r="R430" s="224"/>
      <c r="S430" s="224"/>
      <c r="T430" s="224"/>
      <c r="U430" s="224"/>
      <c r="V430" s="224"/>
      <c r="W430" s="106"/>
    </row>
    <row r="431" spans="1:23" s="101" customFormat="1" x14ac:dyDescent="0.3">
      <c r="A431" s="222"/>
      <c r="B431" s="235"/>
      <c r="C431" s="227"/>
      <c r="D431" s="344"/>
      <c r="E431" s="235"/>
      <c r="F431" s="235"/>
      <c r="G431" s="227"/>
      <c r="H431" s="227"/>
      <c r="I431" s="350"/>
      <c r="J431" s="227"/>
      <c r="K431" s="227"/>
      <c r="L431" s="224"/>
      <c r="M431" s="224"/>
      <c r="N431" s="224"/>
      <c r="O431" s="224"/>
      <c r="P431" s="224"/>
      <c r="Q431" s="224"/>
      <c r="R431" s="224"/>
      <c r="S431" s="224"/>
      <c r="T431" s="224"/>
      <c r="U431" s="224"/>
      <c r="V431" s="224"/>
      <c r="W431" s="106"/>
    </row>
    <row r="432" spans="1:23" s="101" customFormat="1" x14ac:dyDescent="0.3">
      <c r="A432" s="222"/>
      <c r="B432" s="235"/>
      <c r="C432" s="227"/>
      <c r="D432" s="344"/>
      <c r="E432" s="235"/>
      <c r="F432" s="235"/>
      <c r="G432" s="227"/>
      <c r="H432" s="227"/>
      <c r="I432" s="350"/>
      <c r="J432" s="227"/>
      <c r="K432" s="227"/>
      <c r="L432" s="224"/>
      <c r="M432" s="224"/>
      <c r="N432" s="224"/>
      <c r="O432" s="224"/>
      <c r="P432" s="224"/>
      <c r="Q432" s="224"/>
      <c r="R432" s="224"/>
      <c r="S432" s="224"/>
      <c r="T432" s="224"/>
      <c r="U432" s="224"/>
      <c r="V432" s="224"/>
      <c r="W432" s="106"/>
    </row>
    <row r="433" spans="1:23" s="101" customFormat="1" x14ac:dyDescent="0.3">
      <c r="A433" s="222"/>
      <c r="B433" s="235"/>
      <c r="C433" s="227"/>
      <c r="D433" s="344"/>
      <c r="E433" s="235"/>
      <c r="F433" s="235"/>
      <c r="G433" s="227"/>
      <c r="H433" s="227"/>
      <c r="I433" s="350"/>
      <c r="J433" s="227"/>
      <c r="K433" s="227"/>
      <c r="L433" s="224"/>
      <c r="M433" s="224"/>
      <c r="N433" s="224"/>
      <c r="O433" s="224"/>
      <c r="P433" s="224"/>
      <c r="Q433" s="224"/>
      <c r="R433" s="224"/>
      <c r="S433" s="224"/>
      <c r="T433" s="224"/>
      <c r="U433" s="224"/>
      <c r="V433" s="224"/>
      <c r="W433" s="106"/>
    </row>
    <row r="434" spans="1:23" s="101" customFormat="1" x14ac:dyDescent="0.3">
      <c r="A434" s="222"/>
      <c r="B434" s="235"/>
      <c r="C434" s="227"/>
      <c r="D434" s="344"/>
      <c r="E434" s="235"/>
      <c r="F434" s="235"/>
      <c r="G434" s="227"/>
      <c r="H434" s="227"/>
      <c r="I434" s="350"/>
      <c r="J434" s="227"/>
      <c r="K434" s="227"/>
      <c r="L434" s="224"/>
      <c r="M434" s="224"/>
      <c r="N434" s="224"/>
      <c r="O434" s="224"/>
      <c r="P434" s="224"/>
      <c r="Q434" s="224"/>
      <c r="R434" s="224"/>
      <c r="S434" s="224"/>
      <c r="T434" s="224"/>
      <c r="U434" s="224"/>
      <c r="V434" s="224"/>
      <c r="W434" s="106"/>
    </row>
    <row r="435" spans="1:23" s="101" customFormat="1" x14ac:dyDescent="0.3">
      <c r="A435" s="222"/>
      <c r="B435" s="235"/>
      <c r="C435" s="227"/>
      <c r="D435" s="344"/>
      <c r="E435" s="235"/>
      <c r="F435" s="235"/>
      <c r="G435" s="227"/>
      <c r="H435" s="227"/>
      <c r="I435" s="350"/>
      <c r="J435" s="227"/>
      <c r="K435" s="227"/>
      <c r="L435" s="224"/>
      <c r="M435" s="224"/>
      <c r="N435" s="224"/>
      <c r="O435" s="224"/>
      <c r="P435" s="224"/>
      <c r="Q435" s="224"/>
      <c r="R435" s="224"/>
      <c r="S435" s="224"/>
      <c r="T435" s="224"/>
      <c r="U435" s="224"/>
      <c r="V435" s="224"/>
      <c r="W435" s="106"/>
    </row>
    <row r="436" spans="1:23" s="101" customFormat="1" x14ac:dyDescent="0.3">
      <c r="A436" s="222"/>
      <c r="B436" s="235"/>
      <c r="C436" s="227"/>
      <c r="D436" s="344"/>
      <c r="E436" s="235"/>
      <c r="F436" s="235"/>
      <c r="G436" s="227"/>
      <c r="H436" s="227"/>
      <c r="I436" s="350"/>
      <c r="J436" s="227"/>
      <c r="K436" s="227"/>
      <c r="L436" s="224"/>
      <c r="M436" s="224"/>
      <c r="N436" s="224"/>
      <c r="O436" s="224"/>
      <c r="P436" s="224"/>
      <c r="Q436" s="224"/>
      <c r="R436" s="224"/>
      <c r="S436" s="224"/>
      <c r="T436" s="224"/>
      <c r="U436" s="224"/>
      <c r="V436" s="224"/>
      <c r="W436" s="106"/>
    </row>
    <row r="437" spans="1:23" s="101" customFormat="1" x14ac:dyDescent="0.3">
      <c r="A437" s="222"/>
      <c r="B437" s="235"/>
      <c r="C437" s="227"/>
      <c r="D437" s="344"/>
      <c r="E437" s="235"/>
      <c r="F437" s="235"/>
      <c r="G437" s="227"/>
      <c r="H437" s="227"/>
      <c r="I437" s="350"/>
      <c r="J437" s="227"/>
      <c r="K437" s="227"/>
      <c r="L437" s="224"/>
      <c r="M437" s="224"/>
      <c r="N437" s="224"/>
      <c r="O437" s="224"/>
      <c r="P437" s="224"/>
      <c r="Q437" s="224"/>
      <c r="R437" s="224"/>
      <c r="S437" s="224"/>
      <c r="T437" s="224"/>
      <c r="U437" s="224"/>
      <c r="V437" s="224"/>
      <c r="W437" s="106"/>
    </row>
    <row r="438" spans="1:23" s="101" customFormat="1" x14ac:dyDescent="0.3">
      <c r="A438" s="222"/>
      <c r="B438" s="235"/>
      <c r="C438" s="227"/>
      <c r="D438" s="344"/>
      <c r="E438" s="235"/>
      <c r="F438" s="235"/>
      <c r="G438" s="227"/>
      <c r="H438" s="227"/>
      <c r="I438" s="350"/>
      <c r="J438" s="227"/>
      <c r="K438" s="227"/>
      <c r="L438" s="224"/>
      <c r="M438" s="224"/>
      <c r="N438" s="224"/>
      <c r="O438" s="224"/>
      <c r="P438" s="224"/>
      <c r="Q438" s="224"/>
      <c r="R438" s="224"/>
      <c r="S438" s="224"/>
      <c r="T438" s="224"/>
      <c r="U438" s="224"/>
      <c r="V438" s="224"/>
      <c r="W438" s="106"/>
    </row>
    <row r="439" spans="1:23" s="101" customFormat="1" x14ac:dyDescent="0.3">
      <c r="A439" s="222"/>
      <c r="B439" s="235"/>
      <c r="C439" s="227"/>
      <c r="D439" s="344"/>
      <c r="E439" s="235"/>
      <c r="F439" s="235"/>
      <c r="G439" s="227"/>
      <c r="H439" s="227"/>
      <c r="I439" s="350"/>
      <c r="J439" s="227"/>
      <c r="K439" s="227"/>
      <c r="L439" s="224"/>
      <c r="M439" s="224"/>
      <c r="N439" s="224"/>
      <c r="O439" s="224"/>
      <c r="P439" s="224"/>
      <c r="Q439" s="224"/>
      <c r="R439" s="224"/>
      <c r="S439" s="224"/>
      <c r="T439" s="224"/>
      <c r="U439" s="224"/>
      <c r="V439" s="224"/>
      <c r="W439" s="106"/>
    </row>
    <row r="440" spans="1:23" s="101" customFormat="1" x14ac:dyDescent="0.3">
      <c r="A440" s="222"/>
      <c r="B440" s="235"/>
      <c r="C440" s="227"/>
      <c r="D440" s="344"/>
      <c r="E440" s="235"/>
      <c r="F440" s="235"/>
      <c r="G440" s="227"/>
      <c r="H440" s="227"/>
      <c r="I440" s="350"/>
      <c r="J440" s="227"/>
      <c r="K440" s="227"/>
      <c r="L440" s="224"/>
      <c r="M440" s="224"/>
      <c r="N440" s="224"/>
      <c r="O440" s="224"/>
      <c r="P440" s="224"/>
      <c r="Q440" s="224"/>
      <c r="R440" s="224"/>
      <c r="S440" s="224"/>
      <c r="T440" s="224"/>
      <c r="U440" s="224"/>
      <c r="V440" s="224"/>
      <c r="W440" s="106"/>
    </row>
    <row r="441" spans="1:23" s="101" customFormat="1" x14ac:dyDescent="0.3">
      <c r="A441" s="222"/>
      <c r="B441" s="235"/>
      <c r="C441" s="227"/>
      <c r="D441" s="344"/>
      <c r="E441" s="235"/>
      <c r="F441" s="235"/>
      <c r="G441" s="227"/>
      <c r="H441" s="227"/>
      <c r="I441" s="350"/>
      <c r="J441" s="227"/>
      <c r="K441" s="227"/>
      <c r="L441" s="224"/>
      <c r="M441" s="224"/>
      <c r="N441" s="224"/>
      <c r="O441" s="224"/>
      <c r="P441" s="224"/>
      <c r="Q441" s="224"/>
      <c r="R441" s="224"/>
      <c r="S441" s="224"/>
      <c r="T441" s="224"/>
      <c r="U441" s="224"/>
      <c r="V441" s="224"/>
      <c r="W441" s="106"/>
    </row>
    <row r="442" spans="1:23" s="101" customFormat="1" x14ac:dyDescent="0.3">
      <c r="A442" s="222"/>
      <c r="B442" s="235"/>
      <c r="C442" s="227"/>
      <c r="D442" s="344"/>
      <c r="E442" s="235"/>
      <c r="F442" s="235"/>
      <c r="G442" s="227"/>
      <c r="H442" s="227"/>
      <c r="I442" s="350"/>
      <c r="J442" s="227"/>
      <c r="K442" s="227"/>
      <c r="L442" s="224"/>
      <c r="M442" s="224"/>
      <c r="N442" s="224"/>
      <c r="O442" s="224"/>
      <c r="P442" s="224"/>
      <c r="Q442" s="224"/>
      <c r="R442" s="224"/>
      <c r="S442" s="224"/>
      <c r="T442" s="224"/>
      <c r="U442" s="224"/>
      <c r="V442" s="224"/>
      <c r="W442" s="106"/>
    </row>
    <row r="443" spans="1:23" s="101" customFormat="1" x14ac:dyDescent="0.3">
      <c r="A443" s="222"/>
      <c r="B443" s="235"/>
      <c r="C443" s="227"/>
      <c r="D443" s="344"/>
      <c r="E443" s="235"/>
      <c r="F443" s="235"/>
      <c r="G443" s="227"/>
      <c r="H443" s="227"/>
      <c r="I443" s="350"/>
      <c r="J443" s="227"/>
      <c r="K443" s="227"/>
      <c r="L443" s="224"/>
      <c r="M443" s="224"/>
      <c r="N443" s="224"/>
      <c r="O443" s="224"/>
      <c r="P443" s="224"/>
      <c r="Q443" s="224"/>
      <c r="R443" s="224"/>
      <c r="S443" s="224"/>
      <c r="T443" s="224"/>
      <c r="U443" s="224"/>
      <c r="V443" s="224"/>
      <c r="W443" s="106"/>
    </row>
    <row r="444" spans="1:23" s="101" customFormat="1" x14ac:dyDescent="0.3">
      <c r="A444" s="222"/>
      <c r="B444" s="235"/>
      <c r="C444" s="227"/>
      <c r="D444" s="344"/>
      <c r="E444" s="235"/>
      <c r="F444" s="235"/>
      <c r="G444" s="227"/>
      <c r="H444" s="227"/>
      <c r="I444" s="350"/>
      <c r="J444" s="227"/>
      <c r="K444" s="227"/>
      <c r="L444" s="224"/>
      <c r="M444" s="224"/>
      <c r="N444" s="224"/>
      <c r="O444" s="224"/>
      <c r="P444" s="224"/>
      <c r="Q444" s="224"/>
      <c r="R444" s="224"/>
      <c r="S444" s="224"/>
      <c r="T444" s="224"/>
      <c r="U444" s="224"/>
      <c r="V444" s="224"/>
      <c r="W444" s="106"/>
    </row>
    <row r="445" spans="1:23" s="101" customFormat="1" x14ac:dyDescent="0.3">
      <c r="A445" s="222"/>
      <c r="B445" s="235"/>
      <c r="C445" s="227"/>
      <c r="D445" s="344"/>
      <c r="E445" s="235"/>
      <c r="F445" s="235"/>
      <c r="G445" s="227"/>
      <c r="H445" s="227"/>
      <c r="I445" s="350"/>
      <c r="J445" s="227"/>
      <c r="K445" s="227"/>
      <c r="L445" s="224"/>
      <c r="M445" s="224"/>
      <c r="N445" s="224"/>
      <c r="O445" s="224"/>
      <c r="P445" s="224"/>
      <c r="Q445" s="224"/>
      <c r="R445" s="224"/>
      <c r="S445" s="224"/>
      <c r="T445" s="224"/>
      <c r="U445" s="224"/>
      <c r="V445" s="224"/>
      <c r="W445" s="106"/>
    </row>
    <row r="446" spans="1:23" s="101" customFormat="1" x14ac:dyDescent="0.3">
      <c r="A446" s="222"/>
      <c r="B446" s="235"/>
      <c r="C446" s="227"/>
      <c r="D446" s="344"/>
      <c r="E446" s="235"/>
      <c r="F446" s="235"/>
      <c r="G446" s="227"/>
      <c r="H446" s="227"/>
      <c r="I446" s="350"/>
      <c r="J446" s="227"/>
      <c r="K446" s="227"/>
      <c r="L446" s="224"/>
      <c r="M446" s="224"/>
      <c r="N446" s="224"/>
      <c r="O446" s="224"/>
      <c r="P446" s="224"/>
      <c r="Q446" s="224"/>
      <c r="R446" s="224"/>
      <c r="S446" s="224"/>
      <c r="T446" s="224"/>
      <c r="U446" s="224"/>
      <c r="V446" s="224"/>
      <c r="W446" s="106"/>
    </row>
    <row r="447" spans="1:23" s="101" customFormat="1" x14ac:dyDescent="0.3">
      <c r="A447" s="222"/>
      <c r="B447" s="235"/>
      <c r="C447" s="227"/>
      <c r="D447" s="344"/>
      <c r="E447" s="235"/>
      <c r="F447" s="235"/>
      <c r="G447" s="227"/>
      <c r="H447" s="227"/>
      <c r="I447" s="350"/>
      <c r="J447" s="227"/>
      <c r="K447" s="227"/>
      <c r="L447" s="224"/>
      <c r="M447" s="224"/>
      <c r="N447" s="224"/>
      <c r="O447" s="224"/>
      <c r="P447" s="224"/>
      <c r="Q447" s="224"/>
      <c r="R447" s="224"/>
      <c r="S447" s="224"/>
      <c r="T447" s="224"/>
      <c r="U447" s="224"/>
      <c r="V447" s="224"/>
      <c r="W447" s="106"/>
    </row>
    <row r="448" spans="1:23" s="101" customFormat="1" x14ac:dyDescent="0.3">
      <c r="A448" s="222"/>
      <c r="B448" s="235"/>
      <c r="C448" s="227"/>
      <c r="D448" s="344"/>
      <c r="E448" s="235"/>
      <c r="F448" s="235"/>
      <c r="G448" s="227"/>
      <c r="H448" s="227"/>
      <c r="I448" s="350"/>
      <c r="J448" s="227"/>
      <c r="K448" s="227"/>
      <c r="L448" s="224"/>
      <c r="M448" s="224"/>
      <c r="N448" s="224"/>
      <c r="O448" s="224"/>
      <c r="P448" s="224"/>
      <c r="Q448" s="224"/>
      <c r="R448" s="224"/>
      <c r="S448" s="224"/>
      <c r="T448" s="224"/>
      <c r="U448" s="224"/>
      <c r="V448" s="224"/>
      <c r="W448" s="106"/>
    </row>
    <row r="449" spans="1:23" s="101" customFormat="1" x14ac:dyDescent="0.3">
      <c r="A449" s="222"/>
      <c r="B449" s="235"/>
      <c r="C449" s="227"/>
      <c r="D449" s="344"/>
      <c r="E449" s="235"/>
      <c r="F449" s="235"/>
      <c r="G449" s="227"/>
      <c r="H449" s="227"/>
      <c r="I449" s="350"/>
      <c r="J449" s="227"/>
      <c r="K449" s="227"/>
      <c r="L449" s="224"/>
      <c r="M449" s="224"/>
      <c r="N449" s="224"/>
      <c r="O449" s="224"/>
      <c r="P449" s="224"/>
      <c r="Q449" s="224"/>
      <c r="R449" s="224"/>
      <c r="S449" s="224"/>
      <c r="T449" s="224"/>
      <c r="U449" s="224"/>
      <c r="V449" s="224"/>
      <c r="W449" s="106"/>
    </row>
    <row r="450" spans="1:23" s="101" customFormat="1" x14ac:dyDescent="0.3">
      <c r="A450" s="222"/>
      <c r="B450" s="235"/>
      <c r="C450" s="227"/>
      <c r="D450" s="344"/>
      <c r="E450" s="235"/>
      <c r="F450" s="235"/>
      <c r="G450" s="227"/>
      <c r="H450" s="227"/>
      <c r="I450" s="350"/>
      <c r="J450" s="227"/>
      <c r="K450" s="227"/>
      <c r="L450" s="224"/>
      <c r="M450" s="224"/>
      <c r="N450" s="224"/>
      <c r="O450" s="224"/>
      <c r="P450" s="224"/>
      <c r="Q450" s="224"/>
      <c r="R450" s="224"/>
      <c r="S450" s="224"/>
      <c r="T450" s="224"/>
      <c r="U450" s="224"/>
      <c r="V450" s="224"/>
      <c r="W450" s="106"/>
    </row>
    <row r="451" spans="1:23" s="101" customFormat="1" x14ac:dyDescent="0.3">
      <c r="A451" s="222"/>
      <c r="B451" s="235"/>
      <c r="C451" s="227"/>
      <c r="D451" s="344"/>
      <c r="E451" s="235"/>
      <c r="F451" s="235"/>
      <c r="G451" s="227"/>
      <c r="H451" s="227"/>
      <c r="I451" s="350"/>
      <c r="J451" s="227"/>
      <c r="K451" s="227"/>
      <c r="L451" s="224"/>
      <c r="M451" s="224"/>
      <c r="N451" s="224"/>
      <c r="O451" s="224"/>
      <c r="P451" s="224"/>
      <c r="Q451" s="224"/>
      <c r="R451" s="224"/>
      <c r="S451" s="224"/>
      <c r="T451" s="224"/>
      <c r="U451" s="224"/>
      <c r="V451" s="224"/>
      <c r="W451" s="106"/>
    </row>
    <row r="452" spans="1:23" s="101" customFormat="1" x14ac:dyDescent="0.3">
      <c r="A452" s="222"/>
      <c r="B452" s="235"/>
      <c r="C452" s="227"/>
      <c r="D452" s="344"/>
      <c r="E452" s="235"/>
      <c r="F452" s="235"/>
      <c r="G452" s="227"/>
      <c r="H452" s="227"/>
      <c r="I452" s="350"/>
      <c r="J452" s="227"/>
      <c r="K452" s="227"/>
      <c r="L452" s="224"/>
      <c r="M452" s="224"/>
      <c r="N452" s="224"/>
      <c r="O452" s="224"/>
      <c r="P452" s="224"/>
      <c r="Q452" s="224"/>
      <c r="R452" s="224"/>
      <c r="S452" s="224"/>
      <c r="T452" s="224"/>
      <c r="U452" s="224"/>
      <c r="V452" s="224"/>
      <c r="W452" s="106"/>
    </row>
    <row r="453" spans="1:23" s="101" customFormat="1" x14ac:dyDescent="0.3">
      <c r="A453" s="222"/>
      <c r="B453" s="235"/>
      <c r="C453" s="227"/>
      <c r="D453" s="344"/>
      <c r="E453" s="235"/>
      <c r="F453" s="235"/>
      <c r="G453" s="227"/>
      <c r="H453" s="227"/>
      <c r="I453" s="350"/>
      <c r="J453" s="227"/>
      <c r="K453" s="227"/>
      <c r="L453" s="224"/>
      <c r="M453" s="224"/>
      <c r="N453" s="224"/>
      <c r="O453" s="224"/>
      <c r="P453" s="224"/>
      <c r="Q453" s="224"/>
      <c r="R453" s="224"/>
      <c r="S453" s="224"/>
      <c r="T453" s="224"/>
      <c r="U453" s="224"/>
      <c r="V453" s="224"/>
      <c r="W453" s="106"/>
    </row>
    <row r="454" spans="1:23" s="101" customFormat="1" x14ac:dyDescent="0.3">
      <c r="A454" s="222"/>
      <c r="B454" s="235"/>
      <c r="C454" s="227"/>
      <c r="D454" s="344"/>
      <c r="E454" s="235"/>
      <c r="F454" s="235"/>
      <c r="G454" s="227"/>
      <c r="H454" s="227"/>
      <c r="I454" s="350"/>
      <c r="J454" s="227"/>
      <c r="K454" s="227"/>
      <c r="L454" s="224"/>
      <c r="M454" s="224"/>
      <c r="N454" s="224"/>
      <c r="O454" s="224"/>
      <c r="P454" s="224"/>
      <c r="Q454" s="224"/>
      <c r="R454" s="224"/>
      <c r="S454" s="224"/>
      <c r="T454" s="224"/>
      <c r="U454" s="224"/>
      <c r="V454" s="224"/>
      <c r="W454" s="106"/>
    </row>
    <row r="455" spans="1:23" s="101" customFormat="1" x14ac:dyDescent="0.3">
      <c r="A455" s="222"/>
      <c r="B455" s="235"/>
      <c r="C455" s="227"/>
      <c r="D455" s="344"/>
      <c r="E455" s="235"/>
      <c r="F455" s="235"/>
      <c r="G455" s="227"/>
      <c r="H455" s="227"/>
      <c r="I455" s="350"/>
      <c r="J455" s="227"/>
      <c r="K455" s="227"/>
      <c r="L455" s="224"/>
      <c r="M455" s="224"/>
      <c r="N455" s="224"/>
      <c r="O455" s="224"/>
      <c r="P455" s="224"/>
      <c r="Q455" s="224"/>
      <c r="R455" s="224"/>
      <c r="S455" s="224"/>
      <c r="T455" s="224"/>
      <c r="U455" s="224"/>
      <c r="V455" s="224"/>
      <c r="W455" s="106"/>
    </row>
    <row r="456" spans="1:23" s="101" customFormat="1" x14ac:dyDescent="0.3">
      <c r="A456" s="222"/>
      <c r="B456" s="235"/>
      <c r="C456" s="227"/>
      <c r="D456" s="344"/>
      <c r="E456" s="235"/>
      <c r="F456" s="235"/>
      <c r="G456" s="227"/>
      <c r="H456" s="227"/>
      <c r="I456" s="350"/>
      <c r="J456" s="227"/>
      <c r="K456" s="227"/>
      <c r="L456" s="224"/>
      <c r="M456" s="224"/>
      <c r="N456" s="224"/>
      <c r="O456" s="224"/>
      <c r="P456" s="224"/>
      <c r="Q456" s="224"/>
      <c r="R456" s="224"/>
      <c r="S456" s="224"/>
      <c r="T456" s="224"/>
      <c r="U456" s="224"/>
      <c r="V456" s="224"/>
      <c r="W456" s="106"/>
    </row>
    <row r="457" spans="1:23" s="101" customFormat="1" x14ac:dyDescent="0.3">
      <c r="A457" s="222"/>
      <c r="B457" s="235"/>
      <c r="C457" s="227"/>
      <c r="D457" s="344"/>
      <c r="E457" s="235"/>
      <c r="F457" s="235"/>
      <c r="G457" s="227"/>
      <c r="H457" s="227"/>
      <c r="I457" s="350"/>
      <c r="J457" s="227"/>
      <c r="K457" s="227"/>
      <c r="L457" s="224"/>
      <c r="M457" s="224"/>
      <c r="N457" s="224"/>
      <c r="O457" s="224"/>
      <c r="P457" s="224"/>
      <c r="Q457" s="224"/>
      <c r="R457" s="224"/>
      <c r="S457" s="224"/>
      <c r="T457" s="224"/>
      <c r="U457" s="224"/>
      <c r="V457" s="224"/>
      <c r="W457" s="106"/>
    </row>
    <row r="458" spans="1:23" s="101" customFormat="1" x14ac:dyDescent="0.3">
      <c r="A458" s="222"/>
      <c r="B458" s="235"/>
      <c r="C458" s="227"/>
      <c r="D458" s="344"/>
      <c r="E458" s="235"/>
      <c r="F458" s="235"/>
      <c r="G458" s="227"/>
      <c r="H458" s="227"/>
      <c r="I458" s="350"/>
      <c r="J458" s="227"/>
      <c r="K458" s="227"/>
      <c r="L458" s="224"/>
      <c r="M458" s="224"/>
      <c r="N458" s="224"/>
      <c r="O458" s="224"/>
      <c r="P458" s="224"/>
      <c r="Q458" s="224"/>
      <c r="R458" s="224"/>
      <c r="S458" s="224"/>
      <c r="T458" s="224"/>
      <c r="U458" s="224"/>
      <c r="V458" s="224"/>
      <c r="W458" s="106"/>
    </row>
    <row r="459" spans="1:23" s="101" customFormat="1" x14ac:dyDescent="0.3">
      <c r="A459" s="222"/>
      <c r="B459" s="235"/>
      <c r="C459" s="227"/>
      <c r="D459" s="344"/>
      <c r="E459" s="235"/>
      <c r="F459" s="235"/>
      <c r="G459" s="227"/>
      <c r="H459" s="227"/>
      <c r="I459" s="350"/>
      <c r="J459" s="227"/>
      <c r="K459" s="227"/>
      <c r="L459" s="224"/>
      <c r="M459" s="224"/>
      <c r="N459" s="224"/>
      <c r="O459" s="224"/>
      <c r="P459" s="224"/>
      <c r="Q459" s="224"/>
      <c r="R459" s="224"/>
      <c r="S459" s="224"/>
      <c r="T459" s="224"/>
      <c r="U459" s="224"/>
      <c r="V459" s="224"/>
      <c r="W459" s="106"/>
    </row>
    <row r="460" spans="1:23" s="101" customFormat="1" x14ac:dyDescent="0.3">
      <c r="A460" s="222"/>
      <c r="B460" s="235"/>
      <c r="C460" s="227"/>
      <c r="D460" s="344"/>
      <c r="E460" s="235"/>
      <c r="F460" s="235"/>
      <c r="G460" s="227"/>
      <c r="H460" s="227"/>
      <c r="I460" s="350"/>
      <c r="J460" s="227"/>
      <c r="K460" s="227"/>
      <c r="L460" s="224"/>
      <c r="M460" s="224"/>
      <c r="N460" s="224"/>
      <c r="O460" s="224"/>
      <c r="P460" s="224"/>
      <c r="Q460" s="224"/>
      <c r="R460" s="224"/>
      <c r="S460" s="224"/>
      <c r="T460" s="224"/>
      <c r="U460" s="224"/>
      <c r="V460" s="224"/>
      <c r="W460" s="106"/>
    </row>
    <row r="461" spans="1:23" s="101" customFormat="1" x14ac:dyDescent="0.3">
      <c r="A461" s="222"/>
      <c r="B461" s="235"/>
      <c r="C461" s="227"/>
      <c r="D461" s="344"/>
      <c r="E461" s="235"/>
      <c r="F461" s="235"/>
      <c r="G461" s="227"/>
      <c r="H461" s="227"/>
      <c r="I461" s="350"/>
      <c r="J461" s="227"/>
      <c r="K461" s="227"/>
      <c r="L461" s="224"/>
      <c r="M461" s="224"/>
      <c r="N461" s="224"/>
      <c r="O461" s="224"/>
      <c r="P461" s="224"/>
      <c r="Q461" s="224"/>
      <c r="R461" s="224"/>
      <c r="S461" s="224"/>
      <c r="T461" s="224"/>
      <c r="U461" s="224"/>
      <c r="V461" s="224"/>
      <c r="W461" s="106"/>
    </row>
    <row r="462" spans="1:23" s="101" customFormat="1" x14ac:dyDescent="0.3">
      <c r="A462" s="222"/>
      <c r="B462" s="235"/>
      <c r="C462" s="227"/>
      <c r="D462" s="344"/>
      <c r="E462" s="235"/>
      <c r="F462" s="235"/>
      <c r="G462" s="227"/>
      <c r="H462" s="227"/>
      <c r="I462" s="350"/>
      <c r="J462" s="227"/>
      <c r="K462" s="227"/>
      <c r="L462" s="224"/>
      <c r="M462" s="224"/>
      <c r="N462" s="224"/>
      <c r="O462" s="224"/>
      <c r="P462" s="224"/>
      <c r="Q462" s="224"/>
      <c r="R462" s="224"/>
      <c r="S462" s="224"/>
      <c r="T462" s="224"/>
      <c r="U462" s="224"/>
      <c r="V462" s="224"/>
      <c r="W462" s="106"/>
    </row>
    <row r="463" spans="1:23" s="101" customFormat="1" x14ac:dyDescent="0.3">
      <c r="A463" s="222"/>
      <c r="B463" s="235"/>
      <c r="C463" s="227"/>
      <c r="D463" s="344"/>
      <c r="E463" s="235"/>
      <c r="F463" s="235"/>
      <c r="G463" s="227"/>
      <c r="H463" s="227"/>
      <c r="I463" s="350"/>
      <c r="J463" s="227"/>
      <c r="K463" s="227"/>
      <c r="L463" s="224"/>
      <c r="M463" s="224"/>
      <c r="N463" s="224"/>
      <c r="O463" s="224"/>
      <c r="P463" s="224"/>
      <c r="Q463" s="224"/>
      <c r="R463" s="224"/>
      <c r="S463" s="224"/>
      <c r="T463" s="224"/>
      <c r="U463" s="224"/>
      <c r="V463" s="224"/>
      <c r="W463" s="106"/>
    </row>
    <row r="464" spans="1:23" s="101" customFormat="1" x14ac:dyDescent="0.3">
      <c r="A464" s="222"/>
      <c r="B464" s="235"/>
      <c r="C464" s="227"/>
      <c r="D464" s="344"/>
      <c r="E464" s="235"/>
      <c r="F464" s="235"/>
      <c r="G464" s="227"/>
      <c r="H464" s="227"/>
      <c r="I464" s="350"/>
      <c r="J464" s="227"/>
      <c r="K464" s="227"/>
      <c r="L464" s="224"/>
      <c r="M464" s="224"/>
      <c r="N464" s="224"/>
      <c r="O464" s="224"/>
      <c r="P464" s="224"/>
      <c r="Q464" s="224"/>
      <c r="R464" s="224"/>
      <c r="S464" s="224"/>
      <c r="T464" s="224"/>
      <c r="U464" s="224"/>
      <c r="V464" s="224"/>
      <c r="W464" s="106"/>
    </row>
    <row r="465" spans="1:23" s="101" customFormat="1" x14ac:dyDescent="0.3">
      <c r="A465" s="222"/>
      <c r="B465" s="235"/>
      <c r="C465" s="227"/>
      <c r="D465" s="344"/>
      <c r="E465" s="235"/>
      <c r="F465" s="235"/>
      <c r="G465" s="227"/>
      <c r="H465" s="227"/>
      <c r="I465" s="350"/>
      <c r="J465" s="227"/>
      <c r="K465" s="227"/>
      <c r="L465" s="224"/>
      <c r="M465" s="224"/>
      <c r="N465" s="224"/>
      <c r="O465" s="224"/>
      <c r="P465" s="224"/>
      <c r="Q465" s="224"/>
      <c r="R465" s="224"/>
      <c r="S465" s="224"/>
      <c r="T465" s="224"/>
      <c r="U465" s="224"/>
      <c r="V465" s="224"/>
      <c r="W465" s="106"/>
    </row>
    <row r="466" spans="1:23" s="101" customFormat="1" x14ac:dyDescent="0.3">
      <c r="A466" s="222"/>
      <c r="B466" s="235"/>
      <c r="C466" s="227"/>
      <c r="D466" s="344"/>
      <c r="E466" s="235"/>
      <c r="F466" s="235"/>
      <c r="G466" s="227"/>
      <c r="H466" s="227"/>
      <c r="I466" s="350"/>
      <c r="J466" s="227"/>
      <c r="K466" s="227"/>
      <c r="L466" s="224"/>
      <c r="M466" s="224"/>
      <c r="N466" s="224"/>
      <c r="O466" s="224"/>
      <c r="P466" s="224"/>
      <c r="Q466" s="224"/>
      <c r="R466" s="224"/>
      <c r="S466" s="224"/>
      <c r="T466" s="224"/>
      <c r="U466" s="224"/>
      <c r="V466" s="224"/>
      <c r="W466" s="106"/>
    </row>
    <row r="467" spans="1:23" s="101" customFormat="1" x14ac:dyDescent="0.3">
      <c r="A467" s="222"/>
      <c r="B467" s="235"/>
      <c r="C467" s="227"/>
      <c r="D467" s="344"/>
      <c r="E467" s="235"/>
      <c r="F467" s="235"/>
      <c r="G467" s="227"/>
      <c r="H467" s="227"/>
      <c r="I467" s="350"/>
      <c r="J467" s="227"/>
      <c r="K467" s="227"/>
      <c r="L467" s="224"/>
      <c r="M467" s="224"/>
      <c r="N467" s="224"/>
      <c r="O467" s="224"/>
      <c r="P467" s="224"/>
      <c r="Q467" s="224"/>
      <c r="R467" s="224"/>
      <c r="S467" s="224"/>
      <c r="T467" s="224"/>
      <c r="U467" s="224"/>
      <c r="V467" s="224"/>
      <c r="W467" s="106"/>
    </row>
    <row r="468" spans="1:23" s="101" customFormat="1" x14ac:dyDescent="0.3">
      <c r="A468" s="222"/>
      <c r="B468" s="235"/>
      <c r="C468" s="227"/>
      <c r="D468" s="344"/>
      <c r="E468" s="235"/>
      <c r="F468" s="235"/>
      <c r="G468" s="227"/>
      <c r="H468" s="227"/>
      <c r="I468" s="350"/>
      <c r="J468" s="227"/>
      <c r="K468" s="227"/>
      <c r="L468" s="224"/>
      <c r="M468" s="224"/>
      <c r="N468" s="224"/>
      <c r="O468" s="224"/>
      <c r="P468" s="224"/>
      <c r="Q468" s="224"/>
      <c r="R468" s="224"/>
      <c r="S468" s="224"/>
      <c r="T468" s="224"/>
      <c r="U468" s="224"/>
      <c r="V468" s="224"/>
      <c r="W468" s="106"/>
    </row>
    <row r="469" spans="1:23" s="101" customFormat="1" x14ac:dyDescent="0.3">
      <c r="A469" s="222"/>
      <c r="B469" s="235"/>
      <c r="C469" s="227"/>
      <c r="D469" s="344"/>
      <c r="E469" s="235"/>
      <c r="F469" s="235"/>
      <c r="G469" s="227"/>
      <c r="H469" s="227"/>
      <c r="I469" s="350"/>
      <c r="J469" s="227"/>
      <c r="K469" s="227"/>
      <c r="L469" s="224"/>
      <c r="M469" s="224"/>
      <c r="N469" s="224"/>
      <c r="O469" s="224"/>
      <c r="P469" s="224"/>
      <c r="Q469" s="224"/>
      <c r="R469" s="224"/>
      <c r="S469" s="224"/>
      <c r="T469" s="224"/>
      <c r="U469" s="224"/>
      <c r="V469" s="224"/>
      <c r="W469" s="106"/>
    </row>
    <row r="470" spans="1:23" s="101" customFormat="1" x14ac:dyDescent="0.3">
      <c r="A470" s="222"/>
      <c r="B470" s="235"/>
      <c r="C470" s="227"/>
      <c r="D470" s="344"/>
      <c r="E470" s="235"/>
      <c r="F470" s="235"/>
      <c r="G470" s="227"/>
      <c r="H470" s="227"/>
      <c r="I470" s="350"/>
      <c r="J470" s="227"/>
      <c r="K470" s="227"/>
      <c r="L470" s="224"/>
      <c r="M470" s="224"/>
      <c r="N470" s="224"/>
      <c r="O470" s="224"/>
      <c r="P470" s="224"/>
      <c r="Q470" s="224"/>
      <c r="R470" s="224"/>
      <c r="S470" s="224"/>
      <c r="T470" s="224"/>
      <c r="U470" s="224"/>
      <c r="V470" s="224"/>
      <c r="W470" s="106"/>
    </row>
    <row r="471" spans="1:23" s="101" customFormat="1" x14ac:dyDescent="0.3">
      <c r="A471" s="222"/>
      <c r="B471" s="235"/>
      <c r="C471" s="227"/>
      <c r="D471" s="344"/>
      <c r="E471" s="235"/>
      <c r="F471" s="235"/>
      <c r="G471" s="227"/>
      <c r="H471" s="227"/>
      <c r="I471" s="350"/>
      <c r="J471" s="227"/>
      <c r="K471" s="227"/>
      <c r="L471" s="224"/>
      <c r="M471" s="224"/>
      <c r="N471" s="224"/>
      <c r="O471" s="224"/>
      <c r="P471" s="224"/>
      <c r="Q471" s="224"/>
      <c r="R471" s="224"/>
      <c r="S471" s="224"/>
      <c r="T471" s="224"/>
      <c r="U471" s="224"/>
      <c r="V471" s="224"/>
      <c r="W471" s="106"/>
    </row>
    <row r="472" spans="1:23" s="101" customFormat="1" x14ac:dyDescent="0.3">
      <c r="A472" s="222"/>
      <c r="B472" s="235"/>
      <c r="C472" s="227"/>
      <c r="D472" s="344"/>
      <c r="E472" s="235"/>
      <c r="F472" s="235"/>
      <c r="G472" s="227"/>
      <c r="H472" s="227"/>
      <c r="I472" s="350"/>
      <c r="J472" s="227"/>
      <c r="K472" s="227"/>
      <c r="L472" s="224"/>
      <c r="M472" s="224"/>
      <c r="N472" s="224"/>
      <c r="O472" s="224"/>
      <c r="P472" s="224"/>
      <c r="Q472" s="224"/>
      <c r="R472" s="224"/>
      <c r="S472" s="224"/>
      <c r="T472" s="224"/>
      <c r="U472" s="224"/>
      <c r="V472" s="224"/>
      <c r="W472" s="106"/>
    </row>
    <row r="473" spans="1:23" s="101" customFormat="1" x14ac:dyDescent="0.3">
      <c r="A473" s="222"/>
      <c r="B473" s="235"/>
      <c r="C473" s="227"/>
      <c r="D473" s="344"/>
      <c r="E473" s="235"/>
      <c r="F473" s="235"/>
      <c r="G473" s="227"/>
      <c r="H473" s="227"/>
      <c r="I473" s="350"/>
      <c r="J473" s="227"/>
      <c r="K473" s="227"/>
      <c r="L473" s="224"/>
      <c r="M473" s="224"/>
      <c r="N473" s="224"/>
      <c r="O473" s="224"/>
      <c r="P473" s="224"/>
      <c r="Q473" s="224"/>
      <c r="R473" s="224"/>
      <c r="S473" s="224"/>
      <c r="T473" s="224"/>
      <c r="U473" s="224"/>
      <c r="V473" s="224"/>
      <c r="W473" s="106"/>
    </row>
    <row r="474" spans="1:23" s="101" customFormat="1" x14ac:dyDescent="0.3">
      <c r="A474" s="222"/>
      <c r="B474" s="235"/>
      <c r="C474" s="227"/>
      <c r="D474" s="344"/>
      <c r="E474" s="235"/>
      <c r="F474" s="235"/>
      <c r="G474" s="227"/>
      <c r="H474" s="227"/>
      <c r="I474" s="350"/>
      <c r="J474" s="227"/>
      <c r="K474" s="227"/>
      <c r="L474" s="224"/>
      <c r="M474" s="224"/>
      <c r="N474" s="224"/>
      <c r="O474" s="224"/>
      <c r="P474" s="224"/>
      <c r="Q474" s="224"/>
      <c r="R474" s="224"/>
      <c r="S474" s="224"/>
      <c r="T474" s="224"/>
      <c r="U474" s="224"/>
      <c r="V474" s="224"/>
      <c r="W474" s="106"/>
    </row>
    <row r="475" spans="1:23" s="101" customFormat="1" x14ac:dyDescent="0.3">
      <c r="A475" s="222"/>
      <c r="B475" s="235"/>
      <c r="C475" s="227"/>
      <c r="D475" s="344"/>
      <c r="E475" s="235"/>
      <c r="F475" s="235"/>
      <c r="G475" s="227"/>
      <c r="H475" s="227"/>
      <c r="I475" s="350"/>
      <c r="J475" s="227"/>
      <c r="K475" s="227"/>
      <c r="L475" s="224"/>
      <c r="M475" s="224"/>
      <c r="N475" s="224"/>
      <c r="O475" s="224"/>
      <c r="P475" s="224"/>
      <c r="Q475" s="224"/>
      <c r="R475" s="224"/>
      <c r="S475" s="224"/>
      <c r="T475" s="224"/>
      <c r="U475" s="224"/>
      <c r="V475" s="224"/>
      <c r="W475" s="106"/>
    </row>
    <row r="476" spans="1:23" s="101" customFormat="1" x14ac:dyDescent="0.3">
      <c r="A476" s="222"/>
      <c r="B476" s="235"/>
      <c r="C476" s="227"/>
      <c r="D476" s="344"/>
      <c r="E476" s="235"/>
      <c r="F476" s="235"/>
      <c r="G476" s="227"/>
      <c r="H476" s="227"/>
      <c r="I476" s="350"/>
      <c r="J476" s="227"/>
      <c r="K476" s="227"/>
      <c r="L476" s="224"/>
      <c r="M476" s="224"/>
      <c r="N476" s="224"/>
      <c r="O476" s="224"/>
      <c r="P476" s="224"/>
      <c r="Q476" s="224"/>
      <c r="R476" s="224"/>
      <c r="S476" s="224"/>
      <c r="T476" s="224"/>
      <c r="U476" s="224"/>
      <c r="V476" s="224"/>
      <c r="W476" s="106"/>
    </row>
    <row r="477" spans="1:23" s="101" customFormat="1" x14ac:dyDescent="0.3">
      <c r="A477" s="222"/>
      <c r="B477" s="235"/>
      <c r="C477" s="227"/>
      <c r="D477" s="344"/>
      <c r="E477" s="235"/>
      <c r="F477" s="235"/>
      <c r="G477" s="227"/>
      <c r="H477" s="227"/>
      <c r="I477" s="350"/>
      <c r="J477" s="227"/>
      <c r="K477" s="227"/>
      <c r="L477" s="224"/>
      <c r="M477" s="224"/>
      <c r="N477" s="224"/>
      <c r="O477" s="224"/>
      <c r="P477" s="224"/>
      <c r="Q477" s="224"/>
      <c r="R477" s="224"/>
      <c r="S477" s="224"/>
      <c r="T477" s="224"/>
      <c r="U477" s="224"/>
      <c r="V477" s="224"/>
      <c r="W477" s="106"/>
    </row>
    <row r="478" spans="1:23" s="101" customFormat="1" x14ac:dyDescent="0.3">
      <c r="A478" s="222"/>
      <c r="B478" s="235"/>
      <c r="C478" s="227"/>
      <c r="D478" s="344"/>
      <c r="E478" s="235"/>
      <c r="F478" s="235"/>
      <c r="G478" s="227"/>
      <c r="H478" s="227"/>
      <c r="I478" s="350"/>
      <c r="J478" s="227"/>
      <c r="K478" s="227"/>
      <c r="L478" s="224"/>
      <c r="M478" s="224"/>
      <c r="N478" s="224"/>
      <c r="O478" s="224"/>
      <c r="P478" s="224"/>
      <c r="Q478" s="224"/>
      <c r="R478" s="224"/>
      <c r="S478" s="224"/>
      <c r="T478" s="224"/>
      <c r="U478" s="224"/>
      <c r="V478" s="224"/>
      <c r="W478" s="106"/>
    </row>
    <row r="479" spans="1:23" s="101" customFormat="1" x14ac:dyDescent="0.3">
      <c r="A479" s="222"/>
      <c r="B479" s="235"/>
      <c r="C479" s="227"/>
      <c r="D479" s="344"/>
      <c r="E479" s="235"/>
      <c r="F479" s="235"/>
      <c r="G479" s="227"/>
      <c r="H479" s="227"/>
      <c r="I479" s="350"/>
      <c r="J479" s="227"/>
      <c r="K479" s="227"/>
      <c r="L479" s="224"/>
      <c r="M479" s="224"/>
      <c r="N479" s="224"/>
      <c r="O479" s="224"/>
      <c r="P479" s="224"/>
      <c r="Q479" s="224"/>
      <c r="R479" s="224"/>
      <c r="S479" s="224"/>
      <c r="T479" s="224"/>
      <c r="U479" s="224"/>
      <c r="V479" s="224"/>
      <c r="W479" s="106"/>
    </row>
    <row r="480" spans="1:23" s="101" customFormat="1" x14ac:dyDescent="0.3">
      <c r="A480" s="222"/>
      <c r="B480" s="235"/>
      <c r="C480" s="227"/>
      <c r="D480" s="344"/>
      <c r="E480" s="235"/>
      <c r="F480" s="235"/>
      <c r="G480" s="227"/>
      <c r="H480" s="227"/>
      <c r="I480" s="350"/>
      <c r="J480" s="227"/>
      <c r="K480" s="227"/>
      <c r="L480" s="224"/>
      <c r="M480" s="224"/>
      <c r="N480" s="224"/>
      <c r="O480" s="224"/>
      <c r="P480" s="224"/>
      <c r="Q480" s="224"/>
      <c r="R480" s="224"/>
      <c r="S480" s="224"/>
      <c r="T480" s="224"/>
      <c r="U480" s="224"/>
      <c r="V480" s="224"/>
      <c r="W480" s="106"/>
    </row>
    <row r="481" spans="1:23" s="101" customFormat="1" x14ac:dyDescent="0.3">
      <c r="A481" s="222"/>
      <c r="B481" s="235"/>
      <c r="C481" s="227"/>
      <c r="D481" s="344"/>
      <c r="E481" s="235"/>
      <c r="F481" s="235"/>
      <c r="G481" s="227"/>
      <c r="H481" s="227"/>
      <c r="I481" s="350"/>
      <c r="J481" s="227"/>
      <c r="K481" s="227"/>
      <c r="L481" s="224"/>
      <c r="M481" s="224"/>
      <c r="N481" s="224"/>
      <c r="O481" s="224"/>
      <c r="P481" s="224"/>
      <c r="Q481" s="224"/>
      <c r="R481" s="224"/>
      <c r="S481" s="224"/>
      <c r="T481" s="224"/>
      <c r="U481" s="224"/>
      <c r="V481" s="224"/>
      <c r="W481" s="106"/>
    </row>
    <row r="482" spans="1:23" s="101" customFormat="1" x14ac:dyDescent="0.3">
      <c r="A482" s="222"/>
      <c r="B482" s="235"/>
      <c r="C482" s="227"/>
      <c r="D482" s="344"/>
      <c r="E482" s="235"/>
      <c r="F482" s="235"/>
      <c r="G482" s="227"/>
      <c r="H482" s="227"/>
      <c r="I482" s="350"/>
      <c r="J482" s="227"/>
      <c r="K482" s="227"/>
      <c r="L482" s="224"/>
      <c r="M482" s="224"/>
      <c r="N482" s="224"/>
      <c r="O482" s="224"/>
      <c r="P482" s="224"/>
      <c r="Q482" s="224"/>
      <c r="R482" s="224"/>
      <c r="S482" s="224"/>
      <c r="T482" s="224"/>
      <c r="U482" s="224"/>
      <c r="V482" s="224"/>
      <c r="W482" s="106"/>
    </row>
    <row r="483" spans="1:23" s="101" customFormat="1" x14ac:dyDescent="0.3">
      <c r="A483" s="222"/>
      <c r="B483" s="235"/>
      <c r="C483" s="227"/>
      <c r="D483" s="344"/>
      <c r="E483" s="235"/>
      <c r="F483" s="235"/>
      <c r="G483" s="227"/>
      <c r="H483" s="227"/>
      <c r="I483" s="350"/>
      <c r="J483" s="227"/>
      <c r="K483" s="227"/>
      <c r="L483" s="224"/>
      <c r="M483" s="224"/>
      <c r="N483" s="224"/>
      <c r="O483" s="224"/>
      <c r="P483" s="224"/>
      <c r="Q483" s="224"/>
      <c r="R483" s="224"/>
      <c r="S483" s="224"/>
      <c r="T483" s="224"/>
      <c r="U483" s="224"/>
      <c r="V483" s="224"/>
      <c r="W483" s="106"/>
    </row>
    <row r="484" spans="1:23" s="101" customFormat="1" x14ac:dyDescent="0.3">
      <c r="A484" s="222"/>
      <c r="B484" s="235"/>
      <c r="C484" s="227"/>
      <c r="D484" s="344"/>
      <c r="E484" s="235"/>
      <c r="F484" s="235"/>
      <c r="G484" s="227"/>
      <c r="H484" s="227"/>
      <c r="I484" s="350"/>
      <c r="J484" s="227"/>
      <c r="K484" s="227"/>
      <c r="L484" s="224"/>
      <c r="M484" s="224"/>
      <c r="N484" s="224"/>
      <c r="O484" s="224"/>
      <c r="P484" s="224"/>
      <c r="Q484" s="224"/>
      <c r="R484" s="224"/>
      <c r="S484" s="224"/>
      <c r="T484" s="224"/>
      <c r="U484" s="224"/>
      <c r="V484" s="224"/>
      <c r="W484" s="106"/>
    </row>
    <row r="485" spans="1:23" s="101" customFormat="1" x14ac:dyDescent="0.3">
      <c r="A485" s="222"/>
      <c r="B485" s="235"/>
      <c r="C485" s="227"/>
      <c r="D485" s="344"/>
      <c r="E485" s="235"/>
      <c r="F485" s="235"/>
      <c r="G485" s="227"/>
      <c r="H485" s="227"/>
      <c r="I485" s="350"/>
      <c r="J485" s="227"/>
      <c r="K485" s="227"/>
      <c r="L485" s="224"/>
      <c r="M485" s="224"/>
      <c r="N485" s="224"/>
      <c r="O485" s="224"/>
      <c r="P485" s="224"/>
      <c r="Q485" s="224"/>
      <c r="R485" s="224"/>
      <c r="S485" s="224"/>
      <c r="T485" s="224"/>
      <c r="U485" s="224"/>
      <c r="V485" s="224"/>
      <c r="W485" s="106"/>
    </row>
    <row r="486" spans="1:23" s="101" customFormat="1" x14ac:dyDescent="0.3">
      <c r="A486" s="222"/>
      <c r="B486" s="235"/>
      <c r="C486" s="227"/>
      <c r="D486" s="344"/>
      <c r="E486" s="235"/>
      <c r="F486" s="235"/>
      <c r="G486" s="227"/>
      <c r="H486" s="227"/>
      <c r="I486" s="350"/>
      <c r="J486" s="227"/>
      <c r="K486" s="227"/>
      <c r="L486" s="224"/>
      <c r="M486" s="224"/>
      <c r="N486" s="224"/>
      <c r="O486" s="224"/>
      <c r="P486" s="224"/>
      <c r="Q486" s="224"/>
      <c r="R486" s="224"/>
      <c r="S486" s="224"/>
      <c r="T486" s="224"/>
      <c r="U486" s="224"/>
      <c r="V486" s="224"/>
      <c r="W486" s="106"/>
    </row>
    <row r="487" spans="1:23" s="101" customFormat="1" x14ac:dyDescent="0.3">
      <c r="A487" s="222"/>
      <c r="B487" s="235"/>
      <c r="C487" s="227"/>
      <c r="D487" s="344"/>
      <c r="E487" s="235"/>
      <c r="F487" s="235"/>
      <c r="G487" s="227"/>
      <c r="H487" s="227"/>
      <c r="I487" s="350"/>
      <c r="J487" s="227"/>
      <c r="K487" s="227"/>
      <c r="L487" s="224"/>
      <c r="M487" s="224"/>
      <c r="N487" s="224"/>
      <c r="O487" s="224"/>
      <c r="P487" s="224"/>
      <c r="Q487" s="224"/>
      <c r="R487" s="224"/>
      <c r="S487" s="224"/>
      <c r="T487" s="224"/>
      <c r="U487" s="224"/>
      <c r="V487" s="224"/>
      <c r="W487" s="106"/>
    </row>
    <row r="488" spans="1:23" s="101" customFormat="1" x14ac:dyDescent="0.3">
      <c r="A488" s="222"/>
      <c r="B488" s="235"/>
      <c r="C488" s="227"/>
      <c r="D488" s="344"/>
      <c r="E488" s="235"/>
      <c r="F488" s="235"/>
      <c r="G488" s="227"/>
      <c r="H488" s="227"/>
      <c r="I488" s="350"/>
      <c r="J488" s="227"/>
      <c r="K488" s="227"/>
      <c r="L488" s="224"/>
      <c r="M488" s="224"/>
      <c r="N488" s="224"/>
      <c r="O488" s="224"/>
      <c r="P488" s="224"/>
      <c r="Q488" s="224"/>
      <c r="R488" s="224"/>
      <c r="S488" s="224"/>
      <c r="T488" s="224"/>
      <c r="U488" s="224"/>
      <c r="V488" s="224"/>
      <c r="W488" s="106"/>
    </row>
    <row r="489" spans="1:23" s="101" customFormat="1" x14ac:dyDescent="0.3">
      <c r="A489" s="222"/>
      <c r="B489" s="235"/>
      <c r="C489" s="227"/>
      <c r="D489" s="344"/>
      <c r="E489" s="235"/>
      <c r="F489" s="235"/>
      <c r="G489" s="227"/>
      <c r="H489" s="227"/>
      <c r="I489" s="350"/>
      <c r="J489" s="227"/>
      <c r="K489" s="227"/>
      <c r="L489" s="224"/>
      <c r="M489" s="224"/>
      <c r="N489" s="224"/>
      <c r="O489" s="224"/>
      <c r="P489" s="224"/>
      <c r="Q489" s="224"/>
      <c r="R489" s="224"/>
      <c r="S489" s="224"/>
      <c r="T489" s="224"/>
      <c r="U489" s="224"/>
      <c r="V489" s="224"/>
      <c r="W489" s="106"/>
    </row>
    <row r="490" spans="1:23" s="101" customFormat="1" x14ac:dyDescent="0.3">
      <c r="A490" s="222"/>
      <c r="B490" s="235"/>
      <c r="C490" s="227"/>
      <c r="D490" s="344"/>
      <c r="E490" s="235"/>
      <c r="F490" s="235"/>
      <c r="G490" s="227"/>
      <c r="H490" s="227"/>
      <c r="I490" s="350"/>
      <c r="J490" s="227"/>
      <c r="K490" s="227"/>
      <c r="L490" s="224"/>
      <c r="M490" s="224"/>
      <c r="N490" s="224"/>
      <c r="O490" s="224"/>
      <c r="P490" s="224"/>
      <c r="Q490" s="224"/>
      <c r="R490" s="224"/>
      <c r="S490" s="224"/>
      <c r="T490" s="224"/>
      <c r="U490" s="224"/>
      <c r="V490" s="224"/>
      <c r="W490" s="106"/>
    </row>
    <row r="491" spans="1:23" s="101" customFormat="1" x14ac:dyDescent="0.3">
      <c r="A491" s="222"/>
      <c r="B491" s="235"/>
      <c r="C491" s="227"/>
      <c r="D491" s="344"/>
      <c r="E491" s="235"/>
      <c r="F491" s="235"/>
      <c r="G491" s="227"/>
      <c r="H491" s="227"/>
      <c r="I491" s="350"/>
      <c r="J491" s="227"/>
      <c r="K491" s="227"/>
      <c r="L491" s="224"/>
      <c r="M491" s="224"/>
      <c r="N491" s="224"/>
      <c r="O491" s="224"/>
      <c r="P491" s="224"/>
      <c r="Q491" s="224"/>
      <c r="R491" s="224"/>
      <c r="S491" s="224"/>
      <c r="T491" s="224"/>
      <c r="U491" s="224"/>
      <c r="V491" s="224"/>
      <c r="W491" s="106"/>
    </row>
    <row r="492" spans="1:23" s="101" customFormat="1" x14ac:dyDescent="0.3">
      <c r="A492" s="222"/>
      <c r="B492" s="235"/>
      <c r="C492" s="227"/>
      <c r="D492" s="344"/>
      <c r="E492" s="235"/>
      <c r="F492" s="235"/>
      <c r="G492" s="227"/>
      <c r="H492" s="227"/>
      <c r="I492" s="350"/>
      <c r="J492" s="227"/>
      <c r="K492" s="227"/>
      <c r="L492" s="224"/>
      <c r="M492" s="224"/>
      <c r="N492" s="224"/>
      <c r="O492" s="224"/>
      <c r="P492" s="224"/>
      <c r="Q492" s="224"/>
      <c r="R492" s="224"/>
      <c r="S492" s="224"/>
      <c r="T492" s="224"/>
      <c r="U492" s="224"/>
      <c r="V492" s="224"/>
      <c r="W492" s="106"/>
    </row>
    <row r="493" spans="1:23" s="101" customFormat="1" x14ac:dyDescent="0.3">
      <c r="A493" s="222"/>
      <c r="B493" s="235"/>
      <c r="C493" s="227"/>
      <c r="D493" s="344"/>
      <c r="E493" s="235"/>
      <c r="F493" s="235"/>
      <c r="G493" s="227"/>
      <c r="H493" s="227"/>
      <c r="I493" s="350"/>
      <c r="J493" s="227"/>
      <c r="K493" s="227"/>
      <c r="L493" s="224"/>
      <c r="M493" s="224"/>
      <c r="N493" s="224"/>
      <c r="O493" s="224"/>
      <c r="P493" s="224"/>
      <c r="Q493" s="224"/>
      <c r="R493" s="224"/>
      <c r="S493" s="224"/>
      <c r="T493" s="224"/>
      <c r="U493" s="224"/>
      <c r="V493" s="224"/>
      <c r="W493" s="106"/>
    </row>
    <row r="494" spans="1:23" s="101" customFormat="1" x14ac:dyDescent="0.3">
      <c r="A494" s="222"/>
      <c r="B494" s="235"/>
      <c r="C494" s="227"/>
      <c r="D494" s="344"/>
      <c r="E494" s="235"/>
      <c r="F494" s="235"/>
      <c r="G494" s="227"/>
      <c r="H494" s="227"/>
      <c r="I494" s="350"/>
      <c r="J494" s="227"/>
      <c r="K494" s="227"/>
      <c r="L494" s="224"/>
      <c r="M494" s="224"/>
      <c r="N494" s="224"/>
      <c r="O494" s="224"/>
      <c r="P494" s="224"/>
      <c r="Q494" s="224"/>
      <c r="R494" s="224"/>
      <c r="S494" s="224"/>
      <c r="T494" s="224"/>
      <c r="U494" s="224"/>
      <c r="V494" s="224"/>
      <c r="W494" s="106"/>
    </row>
    <row r="495" spans="1:23" s="101" customFormat="1" x14ac:dyDescent="0.3">
      <c r="A495" s="222"/>
      <c r="B495" s="235"/>
      <c r="C495" s="227"/>
      <c r="D495" s="344"/>
      <c r="E495" s="235"/>
      <c r="F495" s="235"/>
      <c r="G495" s="227"/>
      <c r="H495" s="227"/>
      <c r="I495" s="350"/>
      <c r="J495" s="227"/>
      <c r="K495" s="227"/>
      <c r="L495" s="224"/>
      <c r="M495" s="224"/>
      <c r="N495" s="224"/>
      <c r="O495" s="224"/>
      <c r="P495" s="224"/>
      <c r="Q495" s="224"/>
      <c r="R495" s="224"/>
      <c r="S495" s="224"/>
      <c r="T495" s="224"/>
      <c r="U495" s="224"/>
      <c r="V495" s="224"/>
      <c r="W495" s="106"/>
    </row>
    <row r="496" spans="1:23" s="101" customFormat="1" x14ac:dyDescent="0.3">
      <c r="A496" s="222"/>
      <c r="B496" s="235"/>
      <c r="C496" s="227"/>
      <c r="D496" s="344"/>
      <c r="E496" s="235"/>
      <c r="F496" s="235"/>
      <c r="G496" s="227"/>
      <c r="H496" s="227"/>
      <c r="I496" s="350"/>
      <c r="J496" s="227"/>
      <c r="K496" s="227"/>
      <c r="L496" s="224"/>
      <c r="M496" s="224"/>
      <c r="N496" s="224"/>
      <c r="O496" s="224"/>
      <c r="P496" s="224"/>
      <c r="Q496" s="224"/>
      <c r="R496" s="224"/>
      <c r="S496" s="224"/>
      <c r="T496" s="224"/>
      <c r="U496" s="224"/>
      <c r="V496" s="224"/>
      <c r="W496" s="106"/>
    </row>
    <row r="497" spans="1:23" s="101" customFormat="1" x14ac:dyDescent="0.3">
      <c r="A497" s="222"/>
      <c r="B497" s="235"/>
      <c r="C497" s="227"/>
      <c r="D497" s="344"/>
      <c r="E497" s="235"/>
      <c r="F497" s="235"/>
      <c r="G497" s="227"/>
      <c r="H497" s="227"/>
      <c r="I497" s="350"/>
      <c r="J497" s="227"/>
      <c r="K497" s="227"/>
      <c r="L497" s="224"/>
      <c r="M497" s="224"/>
      <c r="N497" s="224"/>
      <c r="O497" s="224"/>
      <c r="P497" s="224"/>
      <c r="Q497" s="224"/>
      <c r="R497" s="224"/>
      <c r="S497" s="224"/>
      <c r="T497" s="224"/>
      <c r="U497" s="224"/>
      <c r="V497" s="224"/>
      <c r="W497" s="106"/>
    </row>
    <row r="498" spans="1:23" s="101" customFormat="1" x14ac:dyDescent="0.3">
      <c r="A498" s="222"/>
      <c r="B498" s="235"/>
      <c r="C498" s="227"/>
      <c r="D498" s="344"/>
      <c r="E498" s="235"/>
      <c r="F498" s="235"/>
      <c r="G498" s="227"/>
      <c r="H498" s="227"/>
      <c r="I498" s="350"/>
      <c r="J498" s="227"/>
      <c r="K498" s="227"/>
      <c r="L498" s="224"/>
      <c r="M498" s="224"/>
      <c r="N498" s="224"/>
      <c r="O498" s="224"/>
      <c r="P498" s="224"/>
      <c r="Q498" s="224"/>
      <c r="R498" s="224"/>
      <c r="S498" s="224"/>
      <c r="T498" s="224"/>
      <c r="U498" s="224"/>
      <c r="V498" s="224"/>
      <c r="W498" s="106"/>
    </row>
    <row r="499" spans="1:23" s="101" customFormat="1" x14ac:dyDescent="0.3">
      <c r="A499" s="222"/>
      <c r="B499" s="235"/>
      <c r="C499" s="227"/>
      <c r="D499" s="344"/>
      <c r="E499" s="235"/>
      <c r="F499" s="235"/>
      <c r="G499" s="227"/>
      <c r="H499" s="227"/>
      <c r="I499" s="350"/>
      <c r="J499" s="227"/>
      <c r="K499" s="227"/>
      <c r="L499" s="224"/>
      <c r="M499" s="224"/>
      <c r="N499" s="224"/>
      <c r="O499" s="224"/>
      <c r="P499" s="224"/>
      <c r="Q499" s="224"/>
      <c r="R499" s="224"/>
      <c r="S499" s="224"/>
      <c r="T499" s="224"/>
      <c r="U499" s="224"/>
      <c r="V499" s="224"/>
      <c r="W499" s="106"/>
    </row>
    <row r="500" spans="1:23" s="101" customFormat="1" x14ac:dyDescent="0.3">
      <c r="A500" s="222"/>
      <c r="B500" s="235"/>
      <c r="C500" s="227"/>
      <c r="D500" s="344"/>
      <c r="E500" s="235"/>
      <c r="F500" s="235"/>
      <c r="G500" s="227"/>
      <c r="H500" s="227"/>
      <c r="I500" s="350"/>
      <c r="J500" s="227"/>
      <c r="K500" s="227"/>
      <c r="L500" s="224"/>
      <c r="M500" s="224"/>
      <c r="N500" s="224"/>
      <c r="O500" s="224"/>
      <c r="P500" s="224"/>
      <c r="Q500" s="224"/>
      <c r="R500" s="224"/>
      <c r="S500" s="224"/>
      <c r="T500" s="224"/>
      <c r="U500" s="224"/>
      <c r="V500" s="224"/>
      <c r="W500" s="106"/>
    </row>
    <row r="501" spans="1:23" s="101" customFormat="1" x14ac:dyDescent="0.3">
      <c r="A501" s="222"/>
      <c r="B501" s="235"/>
      <c r="C501" s="227"/>
      <c r="D501" s="344"/>
      <c r="E501" s="235"/>
      <c r="F501" s="235"/>
      <c r="G501" s="227"/>
      <c r="H501" s="227"/>
      <c r="I501" s="350"/>
      <c r="J501" s="227"/>
      <c r="K501" s="227"/>
      <c r="L501" s="224"/>
      <c r="M501" s="224"/>
      <c r="N501" s="224"/>
      <c r="O501" s="224"/>
      <c r="P501" s="224"/>
      <c r="Q501" s="224"/>
      <c r="R501" s="224"/>
      <c r="S501" s="224"/>
      <c r="T501" s="224"/>
      <c r="U501" s="224"/>
      <c r="V501" s="224"/>
      <c r="W501" s="106"/>
    </row>
    <row r="502" spans="1:23" s="101" customFormat="1" x14ac:dyDescent="0.3">
      <c r="A502" s="222"/>
      <c r="B502" s="235"/>
      <c r="C502" s="227"/>
      <c r="D502" s="344"/>
      <c r="E502" s="235"/>
      <c r="F502" s="235"/>
      <c r="G502" s="227"/>
      <c r="H502" s="227"/>
      <c r="I502" s="350"/>
      <c r="J502" s="227"/>
      <c r="K502" s="227"/>
      <c r="L502" s="224"/>
      <c r="M502" s="224"/>
      <c r="N502" s="224"/>
      <c r="O502" s="224"/>
      <c r="P502" s="224"/>
      <c r="Q502" s="224"/>
      <c r="R502" s="224"/>
      <c r="S502" s="224"/>
      <c r="T502" s="224"/>
      <c r="U502" s="224"/>
      <c r="V502" s="224"/>
      <c r="W502" s="106"/>
    </row>
    <row r="503" spans="1:23" s="101" customFormat="1" x14ac:dyDescent="0.3">
      <c r="A503" s="222"/>
      <c r="B503" s="235"/>
      <c r="C503" s="227"/>
      <c r="D503" s="344"/>
      <c r="E503" s="235"/>
      <c r="F503" s="235"/>
      <c r="G503" s="227"/>
      <c r="H503" s="227"/>
      <c r="I503" s="350"/>
      <c r="J503" s="227"/>
      <c r="K503" s="227"/>
      <c r="L503" s="224"/>
      <c r="M503" s="224"/>
      <c r="N503" s="224"/>
      <c r="O503" s="224"/>
      <c r="P503" s="224"/>
      <c r="Q503" s="224"/>
      <c r="R503" s="224"/>
      <c r="S503" s="224"/>
      <c r="T503" s="224"/>
      <c r="U503" s="224"/>
      <c r="V503" s="224"/>
      <c r="W503" s="106"/>
    </row>
    <row r="504" spans="1:23" s="101" customFormat="1" x14ac:dyDescent="0.3">
      <c r="A504" s="222"/>
      <c r="B504" s="235"/>
      <c r="C504" s="227"/>
      <c r="D504" s="344"/>
      <c r="E504" s="235"/>
      <c r="F504" s="235"/>
      <c r="G504" s="227"/>
      <c r="H504" s="227"/>
      <c r="I504" s="350"/>
      <c r="J504" s="227"/>
      <c r="K504" s="227"/>
      <c r="L504" s="224"/>
      <c r="M504" s="224"/>
      <c r="N504" s="224"/>
      <c r="O504" s="224"/>
      <c r="P504" s="224"/>
      <c r="Q504" s="224"/>
      <c r="R504" s="224"/>
      <c r="S504" s="224"/>
      <c r="T504" s="224"/>
      <c r="U504" s="224"/>
      <c r="V504" s="224"/>
      <c r="W504" s="106"/>
    </row>
    <row r="505" spans="1:23" s="101" customFormat="1" x14ac:dyDescent="0.3">
      <c r="A505" s="222"/>
      <c r="B505" s="235"/>
      <c r="C505" s="227"/>
      <c r="D505" s="344"/>
      <c r="E505" s="235"/>
      <c r="F505" s="235"/>
      <c r="G505" s="227"/>
      <c r="H505" s="227"/>
      <c r="I505" s="350"/>
      <c r="J505" s="227"/>
      <c r="K505" s="227"/>
      <c r="L505" s="224"/>
      <c r="M505" s="224"/>
      <c r="N505" s="224"/>
      <c r="O505" s="224"/>
      <c r="P505" s="224"/>
      <c r="Q505" s="224"/>
      <c r="R505" s="224"/>
      <c r="S505" s="224"/>
      <c r="T505" s="224"/>
      <c r="U505" s="224"/>
      <c r="V505" s="224"/>
      <c r="W505" s="106"/>
    </row>
    <row r="506" spans="1:23" s="101" customFormat="1" x14ac:dyDescent="0.3">
      <c r="A506" s="222"/>
      <c r="B506" s="235"/>
      <c r="C506" s="227"/>
      <c r="D506" s="344"/>
      <c r="E506" s="235"/>
      <c r="F506" s="235"/>
      <c r="G506" s="227"/>
      <c r="H506" s="227"/>
      <c r="I506" s="350"/>
      <c r="J506" s="227"/>
      <c r="K506" s="227"/>
      <c r="L506" s="224"/>
      <c r="M506" s="224"/>
      <c r="N506" s="224"/>
      <c r="O506" s="224"/>
      <c r="P506" s="224"/>
      <c r="Q506" s="224"/>
      <c r="R506" s="224"/>
      <c r="S506" s="224"/>
      <c r="T506" s="224"/>
      <c r="U506" s="224"/>
      <c r="V506" s="224"/>
      <c r="W506" s="106"/>
    </row>
    <row r="507" spans="1:23" s="101" customFormat="1" x14ac:dyDescent="0.3">
      <c r="A507" s="222"/>
      <c r="B507" s="235"/>
      <c r="C507" s="227"/>
      <c r="D507" s="344"/>
      <c r="E507" s="235"/>
      <c r="F507" s="235"/>
      <c r="G507" s="227"/>
      <c r="H507" s="227"/>
      <c r="I507" s="350"/>
      <c r="J507" s="227"/>
      <c r="K507" s="227"/>
      <c r="L507" s="224"/>
      <c r="M507" s="224"/>
      <c r="N507" s="224"/>
      <c r="O507" s="224"/>
      <c r="P507" s="224"/>
      <c r="Q507" s="224"/>
      <c r="R507" s="224"/>
      <c r="S507" s="224"/>
      <c r="T507" s="224"/>
      <c r="U507" s="224"/>
      <c r="V507" s="224"/>
      <c r="W507" s="106"/>
    </row>
    <row r="508" spans="1:23" s="101" customFormat="1" x14ac:dyDescent="0.3">
      <c r="A508" s="222"/>
      <c r="B508" s="235"/>
      <c r="C508" s="227"/>
      <c r="D508" s="344"/>
      <c r="E508" s="235"/>
      <c r="F508" s="235"/>
      <c r="G508" s="227"/>
      <c r="H508" s="227"/>
      <c r="I508" s="350"/>
      <c r="J508" s="227"/>
      <c r="K508" s="227"/>
      <c r="L508" s="224"/>
      <c r="M508" s="224"/>
      <c r="N508" s="224"/>
      <c r="O508" s="224"/>
      <c r="P508" s="224"/>
      <c r="Q508" s="224"/>
      <c r="R508" s="224"/>
      <c r="S508" s="224"/>
      <c r="T508" s="224"/>
      <c r="U508" s="224"/>
      <c r="V508" s="224"/>
      <c r="W508" s="106"/>
    </row>
    <row r="509" spans="1:23" s="101" customFormat="1" x14ac:dyDescent="0.3">
      <c r="A509" s="222"/>
      <c r="B509" s="235"/>
      <c r="C509" s="227"/>
      <c r="D509" s="344"/>
      <c r="E509" s="235"/>
      <c r="F509" s="235"/>
      <c r="G509" s="227"/>
      <c r="H509" s="227"/>
      <c r="I509" s="350"/>
      <c r="J509" s="227"/>
      <c r="K509" s="227"/>
      <c r="L509" s="224"/>
      <c r="M509" s="224"/>
      <c r="N509" s="224"/>
      <c r="O509" s="224"/>
      <c r="P509" s="224"/>
      <c r="Q509" s="224"/>
      <c r="R509" s="224"/>
      <c r="S509" s="224"/>
      <c r="T509" s="224"/>
      <c r="U509" s="224"/>
      <c r="V509" s="224"/>
      <c r="W509" s="106"/>
    </row>
    <row r="510" spans="1:23" s="101" customFormat="1" x14ac:dyDescent="0.3">
      <c r="A510" s="222"/>
      <c r="B510" s="235"/>
      <c r="C510" s="227"/>
      <c r="D510" s="344"/>
      <c r="E510" s="235"/>
      <c r="F510" s="235"/>
      <c r="G510" s="227"/>
      <c r="H510" s="227"/>
      <c r="I510" s="350"/>
      <c r="J510" s="227"/>
      <c r="K510" s="227"/>
      <c r="L510" s="224"/>
      <c r="M510" s="224"/>
      <c r="N510" s="224"/>
      <c r="O510" s="224"/>
      <c r="P510" s="224"/>
      <c r="Q510" s="224"/>
      <c r="R510" s="224"/>
      <c r="S510" s="224"/>
      <c r="T510" s="224"/>
      <c r="U510" s="224"/>
      <c r="V510" s="224"/>
      <c r="W510" s="106"/>
    </row>
    <row r="511" spans="1:23" s="101" customFormat="1" x14ac:dyDescent="0.3">
      <c r="A511" s="222"/>
      <c r="B511" s="235"/>
      <c r="C511" s="227"/>
      <c r="D511" s="344"/>
      <c r="E511" s="235"/>
      <c r="F511" s="235"/>
      <c r="G511" s="227"/>
      <c r="H511" s="227"/>
      <c r="I511" s="350"/>
      <c r="J511" s="227"/>
      <c r="K511" s="227"/>
      <c r="L511" s="224"/>
      <c r="M511" s="224"/>
      <c r="N511" s="224"/>
      <c r="O511" s="224"/>
      <c r="P511" s="224"/>
      <c r="Q511" s="224"/>
      <c r="R511" s="224"/>
      <c r="S511" s="224"/>
      <c r="T511" s="224"/>
      <c r="U511" s="224"/>
      <c r="V511" s="224"/>
      <c r="W511" s="106"/>
    </row>
    <row r="512" spans="1:23" s="101" customFormat="1" x14ac:dyDescent="0.3">
      <c r="A512" s="222"/>
      <c r="B512" s="235"/>
      <c r="C512" s="227"/>
      <c r="D512" s="344"/>
      <c r="E512" s="235"/>
      <c r="F512" s="235"/>
      <c r="G512" s="227"/>
      <c r="H512" s="227"/>
      <c r="I512" s="350"/>
      <c r="J512" s="227"/>
      <c r="K512" s="227"/>
      <c r="L512" s="224"/>
      <c r="M512" s="224"/>
      <c r="N512" s="224"/>
      <c r="O512" s="224"/>
      <c r="P512" s="224"/>
      <c r="Q512" s="224"/>
      <c r="R512" s="224"/>
      <c r="S512" s="224"/>
      <c r="T512" s="224"/>
      <c r="U512" s="224"/>
      <c r="V512" s="224"/>
      <c r="W512" s="106"/>
    </row>
    <row r="513" spans="1:23" s="101" customFormat="1" x14ac:dyDescent="0.3">
      <c r="A513" s="222"/>
      <c r="B513" s="235"/>
      <c r="C513" s="227"/>
      <c r="D513" s="344"/>
      <c r="E513" s="235"/>
      <c r="F513" s="235"/>
      <c r="G513" s="227"/>
      <c r="H513" s="227"/>
      <c r="I513" s="350"/>
      <c r="J513" s="227"/>
      <c r="K513" s="227"/>
      <c r="L513" s="224"/>
      <c r="M513" s="224"/>
      <c r="N513" s="224"/>
      <c r="O513" s="224"/>
      <c r="P513" s="224"/>
      <c r="Q513" s="224"/>
      <c r="R513" s="224"/>
      <c r="S513" s="224"/>
      <c r="T513" s="224"/>
      <c r="U513" s="224"/>
      <c r="V513" s="224"/>
      <c r="W513" s="106"/>
    </row>
    <row r="514" spans="1:23" s="101" customFormat="1" x14ac:dyDescent="0.3">
      <c r="A514" s="222"/>
      <c r="B514" s="235"/>
      <c r="C514" s="227"/>
      <c r="D514" s="344"/>
      <c r="E514" s="235"/>
      <c r="F514" s="235"/>
      <c r="G514" s="227"/>
      <c r="H514" s="227"/>
      <c r="I514" s="350"/>
      <c r="J514" s="227"/>
      <c r="K514" s="227"/>
      <c r="L514" s="224"/>
      <c r="M514" s="224"/>
      <c r="N514" s="224"/>
      <c r="O514" s="224"/>
      <c r="P514" s="224"/>
      <c r="Q514" s="224"/>
      <c r="R514" s="224"/>
      <c r="S514" s="224"/>
      <c r="T514" s="224"/>
      <c r="U514" s="224"/>
      <c r="V514" s="224"/>
      <c r="W514" s="106"/>
    </row>
    <row r="515" spans="1:23" s="101" customFormat="1" x14ac:dyDescent="0.3">
      <c r="A515" s="222"/>
      <c r="B515" s="235"/>
      <c r="C515" s="227"/>
      <c r="D515" s="344"/>
      <c r="E515" s="235"/>
      <c r="F515" s="235"/>
      <c r="G515" s="227"/>
      <c r="H515" s="227"/>
      <c r="I515" s="350"/>
      <c r="J515" s="227"/>
      <c r="K515" s="227"/>
      <c r="L515" s="224"/>
      <c r="M515" s="224"/>
      <c r="N515" s="224"/>
      <c r="O515" s="224"/>
      <c r="P515" s="224"/>
      <c r="Q515" s="224"/>
      <c r="R515" s="224"/>
      <c r="S515" s="224"/>
      <c r="T515" s="224"/>
      <c r="U515" s="224"/>
      <c r="V515" s="224"/>
      <c r="W515" s="106"/>
    </row>
    <row r="516" spans="1:23" s="101" customFormat="1" x14ac:dyDescent="0.3">
      <c r="A516" s="222"/>
      <c r="B516" s="235"/>
      <c r="C516" s="227"/>
      <c r="D516" s="344"/>
      <c r="E516" s="235"/>
      <c r="F516" s="235"/>
      <c r="G516" s="227"/>
      <c r="H516" s="227"/>
      <c r="I516" s="350"/>
      <c r="J516" s="227"/>
      <c r="K516" s="227"/>
      <c r="L516" s="224"/>
      <c r="M516" s="224"/>
      <c r="N516" s="224"/>
      <c r="O516" s="224"/>
      <c r="P516" s="224"/>
      <c r="Q516" s="224"/>
      <c r="R516" s="224"/>
      <c r="S516" s="224"/>
      <c r="T516" s="224"/>
      <c r="U516" s="224"/>
      <c r="V516" s="224"/>
      <c r="W516" s="106"/>
    </row>
    <row r="517" spans="1:23" s="101" customFormat="1" x14ac:dyDescent="0.3">
      <c r="A517" s="222"/>
      <c r="B517" s="235"/>
      <c r="C517" s="227"/>
      <c r="D517" s="344"/>
      <c r="E517" s="235"/>
      <c r="F517" s="235"/>
      <c r="G517" s="227"/>
      <c r="H517" s="227"/>
      <c r="I517" s="350"/>
      <c r="J517" s="227"/>
      <c r="K517" s="227"/>
      <c r="L517" s="224"/>
      <c r="M517" s="224"/>
      <c r="N517" s="224"/>
      <c r="O517" s="224"/>
      <c r="P517" s="224"/>
      <c r="Q517" s="224"/>
      <c r="R517" s="224"/>
      <c r="S517" s="224"/>
      <c r="T517" s="224"/>
      <c r="U517" s="224"/>
      <c r="V517" s="224"/>
      <c r="W517" s="106"/>
    </row>
    <row r="518" spans="1:23" s="101" customFormat="1" x14ac:dyDescent="0.3">
      <c r="A518" s="222"/>
      <c r="B518" s="235"/>
      <c r="C518" s="227"/>
      <c r="D518" s="344"/>
      <c r="E518" s="235"/>
      <c r="F518" s="235"/>
      <c r="G518" s="227"/>
      <c r="H518" s="227"/>
      <c r="I518" s="350"/>
      <c r="J518" s="227"/>
      <c r="K518" s="227"/>
      <c r="L518" s="224"/>
      <c r="M518" s="224"/>
      <c r="N518" s="224"/>
      <c r="O518" s="224"/>
      <c r="P518" s="224"/>
      <c r="Q518" s="224"/>
      <c r="R518" s="224"/>
      <c r="S518" s="224"/>
      <c r="T518" s="224"/>
      <c r="U518" s="224"/>
      <c r="V518" s="224"/>
      <c r="W518" s="106"/>
    </row>
    <row r="519" spans="1:23" s="101" customFormat="1" x14ac:dyDescent="0.3">
      <c r="A519" s="222"/>
      <c r="B519" s="235"/>
      <c r="C519" s="227"/>
      <c r="D519" s="344"/>
      <c r="E519" s="235"/>
      <c r="F519" s="235"/>
      <c r="G519" s="227"/>
      <c r="H519" s="227"/>
      <c r="I519" s="350"/>
      <c r="J519" s="227"/>
      <c r="K519" s="227"/>
      <c r="L519" s="224"/>
      <c r="M519" s="224"/>
      <c r="N519" s="224"/>
      <c r="O519" s="224"/>
      <c r="P519" s="224"/>
      <c r="Q519" s="224"/>
      <c r="R519" s="224"/>
      <c r="S519" s="224"/>
      <c r="T519" s="224"/>
      <c r="U519" s="224"/>
      <c r="V519" s="224"/>
      <c r="W519" s="106"/>
    </row>
    <row r="520" spans="1:23" s="101" customFormat="1" x14ac:dyDescent="0.3">
      <c r="A520" s="222"/>
      <c r="B520" s="235"/>
      <c r="C520" s="227"/>
      <c r="D520" s="344"/>
      <c r="E520" s="235"/>
      <c r="F520" s="235"/>
      <c r="G520" s="227"/>
      <c r="H520" s="227"/>
      <c r="I520" s="350"/>
      <c r="J520" s="227"/>
      <c r="K520" s="227"/>
      <c r="L520" s="224"/>
      <c r="M520" s="224"/>
      <c r="N520" s="224"/>
      <c r="O520" s="224"/>
      <c r="P520" s="224"/>
      <c r="Q520" s="224"/>
      <c r="R520" s="224"/>
      <c r="S520" s="224"/>
      <c r="T520" s="224"/>
      <c r="U520" s="224"/>
      <c r="V520" s="224"/>
      <c r="W520" s="106"/>
    </row>
    <row r="521" spans="1:23" s="101" customFormat="1" x14ac:dyDescent="0.3">
      <c r="A521" s="222"/>
      <c r="B521" s="235"/>
      <c r="C521" s="227"/>
      <c r="D521" s="344"/>
      <c r="E521" s="235"/>
      <c r="F521" s="235"/>
      <c r="G521" s="227"/>
      <c r="H521" s="227"/>
      <c r="I521" s="350"/>
      <c r="J521" s="227"/>
      <c r="K521" s="227"/>
      <c r="L521" s="224"/>
      <c r="M521" s="224"/>
      <c r="N521" s="224"/>
      <c r="O521" s="224"/>
      <c r="P521" s="224"/>
      <c r="Q521" s="224"/>
      <c r="R521" s="224"/>
      <c r="S521" s="224"/>
      <c r="T521" s="224"/>
      <c r="U521" s="224"/>
      <c r="V521" s="224"/>
      <c r="W521" s="106"/>
    </row>
    <row r="522" spans="1:23" s="101" customFormat="1" x14ac:dyDescent="0.3">
      <c r="A522" s="222"/>
      <c r="B522" s="235"/>
      <c r="C522" s="227"/>
      <c r="D522" s="344"/>
      <c r="E522" s="235"/>
      <c r="F522" s="235"/>
      <c r="G522" s="227"/>
      <c r="H522" s="227"/>
      <c r="I522" s="350"/>
      <c r="J522" s="227"/>
      <c r="K522" s="227"/>
      <c r="L522" s="224"/>
      <c r="M522" s="224"/>
      <c r="N522" s="224"/>
      <c r="O522" s="224"/>
      <c r="P522" s="224"/>
      <c r="Q522" s="224"/>
      <c r="R522" s="224"/>
      <c r="S522" s="224"/>
      <c r="T522" s="224"/>
      <c r="U522" s="224"/>
      <c r="V522" s="224"/>
      <c r="W522" s="106"/>
    </row>
    <row r="523" spans="1:23" s="101" customFormat="1" x14ac:dyDescent="0.3">
      <c r="A523" s="222"/>
      <c r="B523" s="235"/>
      <c r="C523" s="227"/>
      <c r="D523" s="344"/>
      <c r="E523" s="235"/>
      <c r="F523" s="235"/>
      <c r="G523" s="227"/>
      <c r="H523" s="227"/>
      <c r="I523" s="350"/>
      <c r="J523" s="227"/>
      <c r="K523" s="227"/>
      <c r="L523" s="224"/>
      <c r="M523" s="224"/>
      <c r="N523" s="224"/>
      <c r="O523" s="224"/>
      <c r="P523" s="224"/>
      <c r="Q523" s="224"/>
      <c r="R523" s="224"/>
      <c r="S523" s="224"/>
      <c r="T523" s="224"/>
      <c r="U523" s="224"/>
      <c r="V523" s="224"/>
      <c r="W523" s="106"/>
    </row>
    <row r="524" spans="1:23" s="101" customFormat="1" x14ac:dyDescent="0.3">
      <c r="A524" s="222"/>
      <c r="B524" s="235"/>
      <c r="C524" s="227"/>
      <c r="D524" s="344"/>
      <c r="E524" s="235"/>
      <c r="F524" s="235"/>
      <c r="G524" s="227"/>
      <c r="H524" s="227"/>
      <c r="I524" s="350"/>
      <c r="J524" s="227"/>
      <c r="K524" s="227"/>
      <c r="L524" s="224"/>
      <c r="M524" s="224"/>
      <c r="N524" s="224"/>
      <c r="O524" s="224"/>
      <c r="P524" s="224"/>
      <c r="Q524" s="224"/>
      <c r="R524" s="224"/>
      <c r="S524" s="224"/>
      <c r="T524" s="224"/>
      <c r="U524" s="224"/>
      <c r="V524" s="224"/>
      <c r="W524" s="106"/>
    </row>
    <row r="525" spans="1:23" s="101" customFormat="1" x14ac:dyDescent="0.3">
      <c r="A525" s="222"/>
      <c r="B525" s="235"/>
      <c r="C525" s="227"/>
      <c r="D525" s="344"/>
      <c r="E525" s="235"/>
      <c r="F525" s="235"/>
      <c r="G525" s="227"/>
      <c r="H525" s="227"/>
      <c r="I525" s="350"/>
      <c r="J525" s="227"/>
      <c r="K525" s="227"/>
      <c r="L525" s="224"/>
      <c r="M525" s="224"/>
      <c r="N525" s="224"/>
      <c r="O525" s="224"/>
      <c r="P525" s="224"/>
      <c r="Q525" s="224"/>
      <c r="R525" s="224"/>
      <c r="S525" s="224"/>
      <c r="T525" s="224"/>
      <c r="U525" s="224"/>
      <c r="V525" s="224"/>
      <c r="W525" s="106"/>
    </row>
    <row r="526" spans="1:23" s="101" customFormat="1" x14ac:dyDescent="0.3">
      <c r="A526" s="222"/>
      <c r="B526" s="235"/>
      <c r="C526" s="227"/>
      <c r="D526" s="344"/>
      <c r="E526" s="235"/>
      <c r="F526" s="235"/>
      <c r="G526" s="227"/>
      <c r="H526" s="227"/>
      <c r="I526" s="350"/>
      <c r="J526" s="227"/>
      <c r="K526" s="227"/>
      <c r="L526" s="224"/>
      <c r="M526" s="224"/>
      <c r="N526" s="224"/>
      <c r="O526" s="224"/>
      <c r="P526" s="224"/>
      <c r="Q526" s="224"/>
      <c r="R526" s="224"/>
      <c r="S526" s="224"/>
      <c r="T526" s="224"/>
      <c r="U526" s="224"/>
      <c r="V526" s="224"/>
      <c r="W526" s="106"/>
    </row>
    <row r="527" spans="1:23" s="101" customFormat="1" x14ac:dyDescent="0.3">
      <c r="A527" s="222"/>
      <c r="B527" s="235"/>
      <c r="C527" s="227"/>
      <c r="D527" s="344"/>
      <c r="E527" s="235"/>
      <c r="F527" s="235"/>
      <c r="G527" s="227"/>
      <c r="H527" s="227"/>
      <c r="I527" s="350"/>
      <c r="J527" s="227"/>
      <c r="K527" s="227"/>
      <c r="L527" s="224"/>
      <c r="M527" s="224"/>
      <c r="N527" s="224"/>
      <c r="O527" s="224"/>
      <c r="P527" s="224"/>
      <c r="Q527" s="224"/>
      <c r="R527" s="224"/>
      <c r="S527" s="224"/>
      <c r="T527" s="224"/>
      <c r="U527" s="224"/>
      <c r="V527" s="224"/>
      <c r="W527" s="106"/>
    </row>
    <row r="528" spans="1:23" s="101" customFormat="1" x14ac:dyDescent="0.3">
      <c r="A528" s="222"/>
      <c r="B528" s="235"/>
      <c r="C528" s="227"/>
      <c r="D528" s="344"/>
      <c r="E528" s="235"/>
      <c r="F528" s="235"/>
      <c r="G528" s="227"/>
      <c r="H528" s="227"/>
      <c r="I528" s="350"/>
      <c r="J528" s="227"/>
      <c r="K528" s="227"/>
      <c r="L528" s="224"/>
      <c r="M528" s="224"/>
      <c r="N528" s="224"/>
      <c r="O528" s="224"/>
      <c r="P528" s="224"/>
      <c r="Q528" s="224"/>
      <c r="R528" s="224"/>
      <c r="S528" s="224"/>
      <c r="T528" s="224"/>
      <c r="U528" s="224"/>
      <c r="V528" s="224"/>
      <c r="W528" s="106"/>
    </row>
    <row r="529" spans="1:23" s="101" customFormat="1" x14ac:dyDescent="0.3">
      <c r="A529" s="222"/>
      <c r="B529" s="235"/>
      <c r="C529" s="227"/>
      <c r="D529" s="344"/>
      <c r="E529" s="235"/>
      <c r="F529" s="235"/>
      <c r="G529" s="227"/>
      <c r="H529" s="227"/>
      <c r="I529" s="350"/>
      <c r="J529" s="227"/>
      <c r="K529" s="227"/>
      <c r="L529" s="224"/>
      <c r="M529" s="224"/>
      <c r="N529" s="224"/>
      <c r="O529" s="224"/>
      <c r="P529" s="224"/>
      <c r="Q529" s="224"/>
      <c r="R529" s="224"/>
      <c r="S529" s="224"/>
      <c r="T529" s="224"/>
      <c r="U529" s="224"/>
      <c r="V529" s="224"/>
      <c r="W529" s="106"/>
    </row>
    <row r="530" spans="1:23" s="101" customFormat="1" x14ac:dyDescent="0.3">
      <c r="A530" s="222"/>
      <c r="B530" s="235"/>
      <c r="C530" s="227"/>
      <c r="D530" s="344"/>
      <c r="E530" s="235"/>
      <c r="F530" s="235"/>
      <c r="G530" s="227"/>
      <c r="H530" s="227"/>
      <c r="I530" s="350"/>
      <c r="J530" s="227"/>
      <c r="K530" s="227"/>
      <c r="L530" s="224"/>
      <c r="M530" s="224"/>
      <c r="N530" s="224"/>
      <c r="O530" s="224"/>
      <c r="P530" s="224"/>
      <c r="Q530" s="224"/>
      <c r="R530" s="224"/>
      <c r="S530" s="224"/>
      <c r="T530" s="224"/>
      <c r="U530" s="224"/>
      <c r="V530" s="224"/>
      <c r="W530" s="106"/>
    </row>
    <row r="531" spans="1:23" s="101" customFormat="1" x14ac:dyDescent="0.3">
      <c r="A531" s="222"/>
      <c r="B531" s="235"/>
      <c r="C531" s="227"/>
      <c r="D531" s="344"/>
      <c r="E531" s="235"/>
      <c r="F531" s="235"/>
      <c r="G531" s="227"/>
      <c r="H531" s="227"/>
      <c r="I531" s="350"/>
      <c r="J531" s="227"/>
      <c r="K531" s="227"/>
      <c r="L531" s="224"/>
      <c r="M531" s="224"/>
      <c r="N531" s="224"/>
      <c r="O531" s="224"/>
      <c r="P531" s="224"/>
      <c r="Q531" s="224"/>
      <c r="R531" s="224"/>
      <c r="S531" s="224"/>
      <c r="T531" s="224"/>
      <c r="U531" s="224"/>
      <c r="V531" s="224"/>
      <c r="W531" s="106"/>
    </row>
    <row r="532" spans="1:23" s="101" customFormat="1" x14ac:dyDescent="0.3">
      <c r="A532" s="222"/>
      <c r="B532" s="235"/>
      <c r="C532" s="227"/>
      <c r="D532" s="344"/>
      <c r="E532" s="235"/>
      <c r="F532" s="235"/>
      <c r="G532" s="227"/>
      <c r="H532" s="227"/>
      <c r="I532" s="350"/>
      <c r="J532" s="227"/>
      <c r="K532" s="227"/>
      <c r="L532" s="224"/>
      <c r="M532" s="224"/>
      <c r="N532" s="224"/>
      <c r="O532" s="224"/>
      <c r="P532" s="224"/>
      <c r="Q532" s="224"/>
      <c r="R532" s="224"/>
      <c r="S532" s="224"/>
      <c r="T532" s="224"/>
      <c r="U532" s="224"/>
      <c r="V532" s="224"/>
      <c r="W532" s="106"/>
    </row>
    <row r="533" spans="1:23" s="101" customFormat="1" x14ac:dyDescent="0.3">
      <c r="A533" s="222"/>
      <c r="B533" s="235"/>
      <c r="C533" s="227"/>
      <c r="D533" s="344"/>
      <c r="E533" s="235"/>
      <c r="F533" s="235"/>
      <c r="G533" s="227"/>
      <c r="H533" s="227"/>
      <c r="I533" s="350"/>
      <c r="J533" s="227"/>
      <c r="K533" s="227"/>
      <c r="L533" s="224"/>
      <c r="M533" s="224"/>
      <c r="N533" s="224"/>
      <c r="O533" s="224"/>
      <c r="P533" s="224"/>
      <c r="Q533" s="224"/>
      <c r="R533" s="224"/>
      <c r="S533" s="224"/>
      <c r="T533" s="224"/>
      <c r="U533" s="224"/>
      <c r="V533" s="224"/>
      <c r="W533" s="106"/>
    </row>
    <row r="534" spans="1:23" s="101" customFormat="1" x14ac:dyDescent="0.3">
      <c r="A534" s="222"/>
      <c r="B534" s="235"/>
      <c r="C534" s="227"/>
      <c r="D534" s="344"/>
      <c r="E534" s="235"/>
      <c r="F534" s="235"/>
      <c r="G534" s="227"/>
      <c r="H534" s="227"/>
      <c r="I534" s="350"/>
      <c r="J534" s="227"/>
      <c r="K534" s="227"/>
      <c r="L534" s="224"/>
      <c r="M534" s="224"/>
      <c r="N534" s="224"/>
      <c r="O534" s="224"/>
      <c r="P534" s="224"/>
      <c r="Q534" s="224"/>
      <c r="R534" s="224"/>
      <c r="S534" s="224"/>
      <c r="T534" s="224"/>
      <c r="U534" s="224"/>
      <c r="V534" s="224"/>
      <c r="W534" s="106"/>
    </row>
    <row r="535" spans="1:23" s="101" customFormat="1" x14ac:dyDescent="0.3">
      <c r="A535" s="222"/>
      <c r="B535" s="235"/>
      <c r="C535" s="227"/>
      <c r="D535" s="344"/>
      <c r="E535" s="235"/>
      <c r="F535" s="235"/>
      <c r="G535" s="227"/>
      <c r="H535" s="227"/>
      <c r="I535" s="350"/>
      <c r="J535" s="227"/>
      <c r="K535" s="227"/>
      <c r="L535" s="224"/>
      <c r="M535" s="224"/>
      <c r="N535" s="224"/>
      <c r="O535" s="224"/>
      <c r="P535" s="224"/>
      <c r="Q535" s="224"/>
      <c r="R535" s="224"/>
      <c r="S535" s="224"/>
      <c r="T535" s="224"/>
      <c r="U535" s="224"/>
      <c r="V535" s="224"/>
      <c r="W535" s="106"/>
    </row>
    <row r="536" spans="1:23" s="101" customFormat="1" x14ac:dyDescent="0.3">
      <c r="A536" s="222"/>
      <c r="B536" s="235"/>
      <c r="C536" s="227"/>
      <c r="D536" s="344"/>
      <c r="E536" s="235"/>
      <c r="F536" s="235"/>
      <c r="G536" s="227"/>
      <c r="H536" s="227"/>
      <c r="I536" s="350"/>
      <c r="J536" s="227"/>
      <c r="K536" s="227"/>
      <c r="L536" s="224"/>
      <c r="M536" s="224"/>
      <c r="N536" s="224"/>
      <c r="O536" s="224"/>
      <c r="P536" s="224"/>
      <c r="Q536" s="224"/>
      <c r="R536" s="224"/>
      <c r="S536" s="224"/>
      <c r="T536" s="224"/>
      <c r="U536" s="224"/>
      <c r="V536" s="224"/>
      <c r="W536" s="106"/>
    </row>
    <row r="537" spans="1:23" s="101" customFormat="1" x14ac:dyDescent="0.3">
      <c r="A537" s="222"/>
      <c r="B537" s="235"/>
      <c r="C537" s="227"/>
      <c r="D537" s="344"/>
      <c r="E537" s="235"/>
      <c r="F537" s="235"/>
      <c r="G537" s="227"/>
      <c r="H537" s="227"/>
      <c r="I537" s="350"/>
      <c r="J537" s="227"/>
      <c r="K537" s="227"/>
      <c r="L537" s="224"/>
      <c r="M537" s="224"/>
      <c r="N537" s="224"/>
      <c r="O537" s="224"/>
      <c r="P537" s="224"/>
      <c r="Q537" s="224"/>
      <c r="R537" s="224"/>
      <c r="S537" s="224"/>
      <c r="T537" s="224"/>
      <c r="U537" s="224"/>
      <c r="V537" s="224"/>
      <c r="W537" s="106"/>
    </row>
    <row r="538" spans="1:23" s="101" customFormat="1" x14ac:dyDescent="0.3">
      <c r="A538" s="222"/>
      <c r="B538" s="235"/>
      <c r="C538" s="227"/>
      <c r="D538" s="344"/>
      <c r="E538" s="235"/>
      <c r="F538" s="235"/>
      <c r="G538" s="227"/>
      <c r="H538" s="227"/>
      <c r="I538" s="350"/>
      <c r="J538" s="227"/>
      <c r="K538" s="227"/>
      <c r="L538" s="224"/>
      <c r="M538" s="224"/>
      <c r="N538" s="224"/>
      <c r="O538" s="224"/>
      <c r="P538" s="224"/>
      <c r="Q538" s="224"/>
      <c r="R538" s="224"/>
      <c r="S538" s="224"/>
      <c r="T538" s="224"/>
      <c r="U538" s="224"/>
      <c r="V538" s="224"/>
      <c r="W538" s="106"/>
    </row>
    <row r="539" spans="1:23" s="101" customFormat="1" x14ac:dyDescent="0.3">
      <c r="A539" s="222"/>
      <c r="B539" s="235"/>
      <c r="C539" s="227"/>
      <c r="D539" s="344"/>
      <c r="E539" s="235"/>
      <c r="F539" s="235"/>
      <c r="G539" s="227"/>
      <c r="H539" s="227"/>
      <c r="I539" s="350"/>
      <c r="J539" s="227"/>
      <c r="K539" s="227"/>
      <c r="L539" s="224"/>
      <c r="M539" s="224"/>
      <c r="N539" s="224"/>
      <c r="O539" s="224"/>
      <c r="P539" s="224"/>
      <c r="Q539" s="224"/>
      <c r="R539" s="224"/>
      <c r="S539" s="224"/>
      <c r="T539" s="224"/>
      <c r="U539" s="224"/>
      <c r="V539" s="224"/>
      <c r="W539" s="106"/>
    </row>
    <row r="540" spans="1:23" s="101" customFormat="1" x14ac:dyDescent="0.3">
      <c r="A540" s="222"/>
      <c r="B540" s="235"/>
      <c r="C540" s="227"/>
      <c r="D540" s="344"/>
      <c r="E540" s="235"/>
      <c r="F540" s="235"/>
      <c r="G540" s="227"/>
      <c r="H540" s="227"/>
      <c r="I540" s="350"/>
      <c r="J540" s="227"/>
      <c r="K540" s="227"/>
      <c r="L540" s="224"/>
      <c r="M540" s="224"/>
      <c r="N540" s="224"/>
      <c r="O540" s="224"/>
      <c r="P540" s="224"/>
      <c r="Q540" s="224"/>
      <c r="R540" s="224"/>
      <c r="S540" s="224"/>
      <c r="T540" s="224"/>
      <c r="U540" s="224"/>
      <c r="V540" s="224"/>
      <c r="W540" s="106"/>
    </row>
    <row r="541" spans="1:23" s="101" customFormat="1" x14ac:dyDescent="0.3">
      <c r="A541" s="222"/>
      <c r="B541" s="235"/>
      <c r="C541" s="227"/>
      <c r="D541" s="344"/>
      <c r="E541" s="235"/>
      <c r="F541" s="235"/>
      <c r="G541" s="227"/>
      <c r="H541" s="227"/>
      <c r="I541" s="350"/>
      <c r="J541" s="227"/>
      <c r="K541" s="227"/>
      <c r="L541" s="224"/>
      <c r="M541" s="224"/>
      <c r="N541" s="224"/>
      <c r="O541" s="224"/>
      <c r="P541" s="224"/>
      <c r="Q541" s="224"/>
      <c r="R541" s="224"/>
      <c r="S541" s="224"/>
      <c r="T541" s="224"/>
      <c r="U541" s="224"/>
      <c r="V541" s="224"/>
      <c r="W541" s="106"/>
    </row>
    <row r="542" spans="1:23" s="101" customFormat="1" x14ac:dyDescent="0.3">
      <c r="A542" s="222"/>
      <c r="B542" s="235"/>
      <c r="C542" s="227"/>
      <c r="D542" s="344"/>
      <c r="E542" s="235"/>
      <c r="F542" s="235"/>
      <c r="G542" s="227"/>
      <c r="H542" s="227"/>
      <c r="I542" s="350"/>
      <c r="J542" s="227"/>
      <c r="K542" s="227"/>
      <c r="L542" s="224"/>
      <c r="M542" s="224"/>
      <c r="N542" s="224"/>
      <c r="O542" s="224"/>
      <c r="P542" s="224"/>
      <c r="Q542" s="224"/>
      <c r="R542" s="224"/>
      <c r="S542" s="224"/>
      <c r="T542" s="224"/>
      <c r="U542" s="224"/>
      <c r="V542" s="224"/>
      <c r="W542" s="106"/>
    </row>
    <row r="543" spans="1:23" s="101" customFormat="1" x14ac:dyDescent="0.3">
      <c r="A543" s="222"/>
      <c r="B543" s="235"/>
      <c r="C543" s="227"/>
      <c r="D543" s="344"/>
      <c r="E543" s="235"/>
      <c r="F543" s="235"/>
      <c r="G543" s="227"/>
      <c r="H543" s="227"/>
      <c r="I543" s="350"/>
      <c r="J543" s="227"/>
      <c r="K543" s="227"/>
      <c r="L543" s="224"/>
      <c r="M543" s="224"/>
      <c r="N543" s="224"/>
      <c r="O543" s="224"/>
      <c r="P543" s="224"/>
      <c r="Q543" s="224"/>
      <c r="R543" s="224"/>
      <c r="S543" s="224"/>
      <c r="T543" s="224"/>
      <c r="U543" s="224"/>
      <c r="V543" s="224"/>
      <c r="W543" s="106"/>
    </row>
    <row r="544" spans="1:23" s="101" customFormat="1" x14ac:dyDescent="0.3">
      <c r="A544" s="222"/>
      <c r="B544" s="235"/>
      <c r="C544" s="227"/>
      <c r="D544" s="344"/>
      <c r="E544" s="235"/>
      <c r="F544" s="235"/>
      <c r="G544" s="227"/>
      <c r="H544" s="227"/>
      <c r="I544" s="350"/>
      <c r="J544" s="227"/>
      <c r="K544" s="227"/>
      <c r="L544" s="224"/>
      <c r="M544" s="224"/>
      <c r="N544" s="224"/>
      <c r="O544" s="224"/>
      <c r="P544" s="224"/>
      <c r="Q544" s="224"/>
      <c r="R544" s="224"/>
      <c r="S544" s="224"/>
      <c r="T544" s="224"/>
      <c r="U544" s="224"/>
      <c r="V544" s="224"/>
      <c r="W544" s="106"/>
    </row>
    <row r="545" spans="1:23" s="101" customFormat="1" x14ac:dyDescent="0.3">
      <c r="A545" s="222"/>
      <c r="B545" s="235"/>
      <c r="C545" s="227"/>
      <c r="D545" s="344"/>
      <c r="E545" s="235"/>
      <c r="F545" s="235"/>
      <c r="G545" s="227"/>
      <c r="H545" s="227"/>
      <c r="I545" s="350"/>
      <c r="J545" s="227"/>
      <c r="K545" s="227"/>
      <c r="L545" s="224"/>
      <c r="M545" s="224"/>
      <c r="N545" s="224"/>
      <c r="O545" s="224"/>
      <c r="P545" s="224"/>
      <c r="Q545" s="224"/>
      <c r="R545" s="224"/>
      <c r="S545" s="224"/>
      <c r="T545" s="224"/>
      <c r="U545" s="224"/>
      <c r="V545" s="224"/>
      <c r="W545" s="106"/>
    </row>
    <row r="546" spans="1:23" s="101" customFormat="1" x14ac:dyDescent="0.3">
      <c r="A546" s="222"/>
      <c r="B546" s="235"/>
      <c r="C546" s="227"/>
      <c r="D546" s="344"/>
      <c r="E546" s="235"/>
      <c r="F546" s="235"/>
      <c r="G546" s="227"/>
      <c r="H546" s="227"/>
      <c r="I546" s="350"/>
      <c r="J546" s="227"/>
      <c r="K546" s="227"/>
      <c r="L546" s="224"/>
      <c r="M546" s="224"/>
      <c r="N546" s="224"/>
      <c r="O546" s="224"/>
      <c r="P546" s="224"/>
      <c r="Q546" s="224"/>
      <c r="R546" s="224"/>
      <c r="S546" s="224"/>
      <c r="T546" s="224"/>
      <c r="U546" s="224"/>
      <c r="V546" s="224"/>
      <c r="W546" s="106"/>
    </row>
    <row r="547" spans="1:23" s="101" customFormat="1" x14ac:dyDescent="0.3">
      <c r="A547" s="222"/>
      <c r="B547" s="235"/>
      <c r="C547" s="227"/>
      <c r="D547" s="344"/>
      <c r="E547" s="235"/>
      <c r="F547" s="235"/>
      <c r="G547" s="227"/>
      <c r="H547" s="227"/>
      <c r="I547" s="350"/>
      <c r="J547" s="227"/>
      <c r="K547" s="227"/>
      <c r="L547" s="224"/>
      <c r="M547" s="224"/>
      <c r="N547" s="224"/>
      <c r="O547" s="224"/>
      <c r="P547" s="224"/>
      <c r="Q547" s="224"/>
      <c r="R547" s="224"/>
      <c r="S547" s="224"/>
      <c r="T547" s="224"/>
      <c r="U547" s="224"/>
      <c r="V547" s="224"/>
      <c r="W547" s="106"/>
    </row>
    <row r="548" spans="1:23" s="101" customFormat="1" x14ac:dyDescent="0.3">
      <c r="A548" s="222"/>
      <c r="B548" s="235"/>
      <c r="C548" s="227"/>
      <c r="D548" s="344"/>
      <c r="E548" s="235"/>
      <c r="F548" s="235"/>
      <c r="G548" s="227"/>
      <c r="H548" s="227"/>
      <c r="I548" s="350"/>
      <c r="J548" s="227"/>
      <c r="K548" s="227"/>
      <c r="L548" s="224"/>
      <c r="M548" s="224"/>
      <c r="N548" s="224"/>
      <c r="O548" s="224"/>
      <c r="P548" s="224"/>
      <c r="Q548" s="224"/>
      <c r="R548" s="224"/>
      <c r="S548" s="224"/>
      <c r="T548" s="224"/>
      <c r="U548" s="224"/>
      <c r="V548" s="224"/>
      <c r="W548" s="106"/>
    </row>
    <row r="549" spans="1:23" s="101" customFormat="1" x14ac:dyDescent="0.3">
      <c r="A549" s="222"/>
      <c r="B549" s="235"/>
      <c r="C549" s="227"/>
      <c r="D549" s="344"/>
      <c r="E549" s="235"/>
      <c r="F549" s="235"/>
      <c r="G549" s="227"/>
      <c r="H549" s="227"/>
      <c r="I549" s="350"/>
      <c r="J549" s="227"/>
      <c r="K549" s="227"/>
      <c r="L549" s="224"/>
      <c r="M549" s="224"/>
      <c r="N549" s="224"/>
      <c r="O549" s="224"/>
      <c r="P549" s="224"/>
      <c r="Q549" s="224"/>
      <c r="R549" s="224"/>
      <c r="S549" s="224"/>
      <c r="T549" s="224"/>
      <c r="U549" s="224"/>
      <c r="V549" s="224"/>
      <c r="W549" s="106"/>
    </row>
    <row r="550" spans="1:23" s="101" customFormat="1" x14ac:dyDescent="0.3">
      <c r="A550" s="222"/>
      <c r="B550" s="235"/>
      <c r="C550" s="227"/>
      <c r="D550" s="344"/>
      <c r="E550" s="235"/>
      <c r="F550" s="235"/>
      <c r="G550" s="227"/>
      <c r="H550" s="227"/>
      <c r="I550" s="350"/>
      <c r="J550" s="227"/>
      <c r="K550" s="227"/>
      <c r="L550" s="224"/>
      <c r="M550" s="224"/>
      <c r="N550" s="224"/>
      <c r="O550" s="224"/>
      <c r="P550" s="224"/>
      <c r="Q550" s="224"/>
      <c r="R550" s="224"/>
      <c r="S550" s="224"/>
      <c r="T550" s="224"/>
      <c r="U550" s="224"/>
      <c r="V550" s="224"/>
      <c r="W550" s="106"/>
    </row>
    <row r="551" spans="1:23" s="101" customFormat="1" x14ac:dyDescent="0.3">
      <c r="A551" s="222"/>
      <c r="B551" s="235"/>
      <c r="C551" s="227"/>
      <c r="D551" s="344"/>
      <c r="E551" s="235"/>
      <c r="F551" s="235"/>
      <c r="G551" s="227"/>
      <c r="H551" s="227"/>
      <c r="I551" s="350"/>
      <c r="J551" s="227"/>
      <c r="K551" s="227"/>
      <c r="L551" s="224"/>
      <c r="M551" s="224"/>
      <c r="N551" s="224"/>
      <c r="O551" s="224"/>
      <c r="P551" s="224"/>
      <c r="Q551" s="224"/>
      <c r="R551" s="224"/>
      <c r="S551" s="224"/>
      <c r="T551" s="224"/>
      <c r="U551" s="224"/>
      <c r="V551" s="224"/>
      <c r="W551" s="106"/>
    </row>
    <row r="552" spans="1:23" s="101" customFormat="1" x14ac:dyDescent="0.3">
      <c r="A552" s="222"/>
      <c r="B552" s="235"/>
      <c r="C552" s="227"/>
      <c r="D552" s="344"/>
      <c r="E552" s="235"/>
      <c r="F552" s="235"/>
      <c r="G552" s="227"/>
      <c r="H552" s="227"/>
      <c r="I552" s="350"/>
      <c r="J552" s="227"/>
      <c r="K552" s="227"/>
      <c r="L552" s="224"/>
      <c r="M552" s="224"/>
      <c r="N552" s="224"/>
      <c r="O552" s="224"/>
      <c r="P552" s="224"/>
      <c r="Q552" s="224"/>
      <c r="R552" s="224"/>
      <c r="S552" s="224"/>
      <c r="T552" s="224"/>
      <c r="U552" s="224"/>
      <c r="V552" s="224"/>
      <c r="W552" s="106"/>
    </row>
    <row r="553" spans="1:23" s="101" customFormat="1" x14ac:dyDescent="0.3">
      <c r="A553" s="222"/>
      <c r="B553" s="235"/>
      <c r="C553" s="227"/>
      <c r="D553" s="344"/>
      <c r="E553" s="235"/>
      <c r="F553" s="235"/>
      <c r="G553" s="227"/>
      <c r="H553" s="227"/>
      <c r="I553" s="350"/>
      <c r="J553" s="227"/>
      <c r="K553" s="227"/>
      <c r="L553" s="224"/>
      <c r="M553" s="224"/>
      <c r="N553" s="224"/>
      <c r="O553" s="224"/>
      <c r="P553" s="224"/>
      <c r="Q553" s="224"/>
      <c r="R553" s="224"/>
      <c r="S553" s="224"/>
      <c r="T553" s="224"/>
      <c r="U553" s="224"/>
      <c r="V553" s="224"/>
      <c r="W553" s="106"/>
    </row>
    <row r="554" spans="1:23" s="101" customFormat="1" x14ac:dyDescent="0.3">
      <c r="A554" s="222"/>
      <c r="B554" s="235"/>
      <c r="C554" s="227"/>
      <c r="D554" s="344"/>
      <c r="E554" s="235"/>
      <c r="F554" s="235"/>
      <c r="G554" s="227"/>
      <c r="H554" s="227"/>
      <c r="I554" s="350"/>
      <c r="J554" s="227"/>
      <c r="K554" s="227"/>
      <c r="L554" s="224"/>
      <c r="M554" s="224"/>
      <c r="N554" s="224"/>
      <c r="O554" s="224"/>
      <c r="P554" s="224"/>
      <c r="Q554" s="224"/>
      <c r="R554" s="224"/>
      <c r="S554" s="224"/>
      <c r="T554" s="224"/>
      <c r="U554" s="224"/>
      <c r="V554" s="224"/>
      <c r="W554" s="106"/>
    </row>
    <row r="555" spans="1:23" s="101" customFormat="1" x14ac:dyDescent="0.3">
      <c r="A555" s="222"/>
      <c r="B555" s="235"/>
      <c r="C555" s="227"/>
      <c r="D555" s="344"/>
      <c r="E555" s="235"/>
      <c r="F555" s="235"/>
      <c r="G555" s="227"/>
      <c r="H555" s="227"/>
      <c r="I555" s="350"/>
      <c r="J555" s="227"/>
      <c r="K555" s="227"/>
      <c r="L555" s="224"/>
      <c r="M555" s="224"/>
      <c r="N555" s="224"/>
      <c r="O555" s="224"/>
      <c r="P555" s="224"/>
      <c r="Q555" s="224"/>
      <c r="R555" s="224"/>
      <c r="S555" s="224"/>
      <c r="T555" s="224"/>
      <c r="U555" s="224"/>
      <c r="V555" s="224"/>
      <c r="W555" s="106"/>
    </row>
    <row r="556" spans="1:23" s="101" customFormat="1" x14ac:dyDescent="0.3">
      <c r="A556" s="222"/>
      <c r="B556" s="235"/>
      <c r="C556" s="227"/>
      <c r="D556" s="344"/>
      <c r="E556" s="235"/>
      <c r="F556" s="235"/>
      <c r="G556" s="227"/>
      <c r="H556" s="227"/>
      <c r="I556" s="350"/>
      <c r="J556" s="227"/>
      <c r="K556" s="227"/>
      <c r="L556" s="224"/>
      <c r="M556" s="224"/>
      <c r="N556" s="224"/>
      <c r="O556" s="224"/>
      <c r="P556" s="224"/>
      <c r="Q556" s="224"/>
      <c r="R556" s="224"/>
      <c r="S556" s="224"/>
      <c r="T556" s="224"/>
      <c r="U556" s="224"/>
      <c r="V556" s="224"/>
      <c r="W556" s="106"/>
    </row>
    <row r="557" spans="1:23" s="101" customFormat="1" x14ac:dyDescent="0.3">
      <c r="A557" s="222"/>
      <c r="B557" s="235"/>
      <c r="C557" s="227"/>
      <c r="D557" s="344"/>
      <c r="E557" s="235"/>
      <c r="F557" s="235"/>
      <c r="G557" s="227"/>
      <c r="H557" s="227"/>
      <c r="I557" s="350"/>
      <c r="J557" s="227"/>
      <c r="K557" s="227"/>
      <c r="L557" s="224"/>
      <c r="M557" s="224"/>
      <c r="N557" s="224"/>
      <c r="O557" s="224"/>
      <c r="P557" s="224"/>
      <c r="Q557" s="224"/>
      <c r="R557" s="224"/>
      <c r="S557" s="224"/>
      <c r="T557" s="224"/>
      <c r="U557" s="224"/>
      <c r="V557" s="224"/>
      <c r="W557" s="106"/>
    </row>
    <row r="558" spans="1:23" s="101" customFormat="1" x14ac:dyDescent="0.3">
      <c r="A558" s="222"/>
      <c r="B558" s="235"/>
      <c r="C558" s="227"/>
      <c r="D558" s="344"/>
      <c r="E558" s="235"/>
      <c r="F558" s="235"/>
      <c r="G558" s="227"/>
      <c r="H558" s="227"/>
      <c r="I558" s="350"/>
      <c r="J558" s="227"/>
      <c r="K558" s="227"/>
      <c r="L558" s="224"/>
      <c r="M558" s="224"/>
      <c r="N558" s="224"/>
      <c r="O558" s="224"/>
      <c r="P558" s="224"/>
      <c r="Q558" s="224"/>
      <c r="R558" s="224"/>
      <c r="S558" s="224"/>
      <c r="T558" s="224"/>
      <c r="U558" s="224"/>
      <c r="V558" s="224"/>
      <c r="W558" s="106"/>
    </row>
    <row r="559" spans="1:23" s="101" customFormat="1" x14ac:dyDescent="0.3">
      <c r="A559" s="222"/>
      <c r="B559" s="235"/>
      <c r="C559" s="227"/>
      <c r="D559" s="344"/>
      <c r="E559" s="235"/>
      <c r="F559" s="235"/>
      <c r="G559" s="227"/>
      <c r="H559" s="227"/>
      <c r="I559" s="350"/>
      <c r="J559" s="227"/>
      <c r="K559" s="227"/>
      <c r="L559" s="224"/>
      <c r="M559" s="224"/>
      <c r="N559" s="224"/>
      <c r="O559" s="224"/>
      <c r="P559" s="224"/>
      <c r="Q559" s="224"/>
      <c r="R559" s="224"/>
      <c r="S559" s="224"/>
      <c r="T559" s="224"/>
      <c r="U559" s="224"/>
      <c r="V559" s="224"/>
      <c r="W559" s="106"/>
    </row>
    <row r="560" spans="1:23" s="101" customFormat="1" x14ac:dyDescent="0.3">
      <c r="A560" s="222"/>
      <c r="B560" s="235"/>
      <c r="C560" s="227"/>
      <c r="D560" s="344"/>
      <c r="E560" s="235"/>
      <c r="F560" s="235"/>
      <c r="G560" s="227"/>
      <c r="H560" s="227"/>
      <c r="I560" s="350"/>
      <c r="J560" s="227"/>
      <c r="K560" s="227"/>
      <c r="L560" s="224"/>
      <c r="M560" s="224"/>
      <c r="N560" s="224"/>
      <c r="O560" s="224"/>
      <c r="P560" s="224"/>
      <c r="Q560" s="224"/>
      <c r="R560" s="224"/>
      <c r="S560" s="224"/>
      <c r="T560" s="224"/>
      <c r="U560" s="224"/>
      <c r="V560" s="224"/>
      <c r="W560" s="106"/>
    </row>
    <row r="561" spans="1:23" s="101" customFormat="1" x14ac:dyDescent="0.3">
      <c r="A561" s="222"/>
      <c r="B561" s="235"/>
      <c r="C561" s="227"/>
      <c r="D561" s="344"/>
      <c r="E561" s="235"/>
      <c r="F561" s="235"/>
      <c r="G561" s="227"/>
      <c r="H561" s="227"/>
      <c r="I561" s="350"/>
      <c r="J561" s="227"/>
      <c r="K561" s="227"/>
      <c r="L561" s="224"/>
      <c r="M561" s="224"/>
      <c r="N561" s="224"/>
      <c r="O561" s="224"/>
      <c r="P561" s="224"/>
      <c r="Q561" s="224"/>
      <c r="R561" s="224"/>
      <c r="S561" s="224"/>
      <c r="T561" s="224"/>
      <c r="U561" s="224"/>
      <c r="V561" s="224"/>
      <c r="W561" s="106"/>
    </row>
    <row r="562" spans="1:23" s="101" customFormat="1" x14ac:dyDescent="0.3">
      <c r="A562" s="222"/>
      <c r="B562" s="235"/>
      <c r="C562" s="227"/>
      <c r="D562" s="344"/>
      <c r="E562" s="235"/>
      <c r="F562" s="235"/>
      <c r="G562" s="227"/>
      <c r="H562" s="227"/>
      <c r="I562" s="350"/>
      <c r="J562" s="227"/>
      <c r="K562" s="227"/>
      <c r="L562" s="224"/>
      <c r="M562" s="224"/>
      <c r="N562" s="224"/>
      <c r="O562" s="224"/>
      <c r="P562" s="224"/>
      <c r="Q562" s="224"/>
      <c r="R562" s="224"/>
      <c r="S562" s="224"/>
      <c r="T562" s="224"/>
      <c r="U562" s="224"/>
      <c r="V562" s="224"/>
      <c r="W562" s="106"/>
    </row>
    <row r="563" spans="1:23" s="101" customFormat="1" x14ac:dyDescent="0.3">
      <c r="A563" s="222"/>
      <c r="B563" s="235"/>
      <c r="C563" s="227"/>
      <c r="D563" s="344"/>
      <c r="E563" s="235"/>
      <c r="F563" s="235"/>
      <c r="G563" s="227"/>
      <c r="H563" s="227"/>
      <c r="I563" s="350"/>
      <c r="J563" s="227"/>
      <c r="K563" s="227"/>
      <c r="L563" s="224"/>
      <c r="M563" s="224"/>
      <c r="N563" s="224"/>
      <c r="O563" s="224"/>
      <c r="P563" s="224"/>
      <c r="Q563" s="224"/>
      <c r="R563" s="224"/>
      <c r="S563" s="224"/>
      <c r="T563" s="224"/>
      <c r="U563" s="224"/>
      <c r="V563" s="224"/>
      <c r="W563" s="106"/>
    </row>
    <row r="564" spans="1:23" s="101" customFormat="1" x14ac:dyDescent="0.3">
      <c r="A564" s="222"/>
      <c r="B564" s="235"/>
      <c r="C564" s="227"/>
      <c r="D564" s="344"/>
      <c r="E564" s="235"/>
      <c r="F564" s="235"/>
      <c r="G564" s="227"/>
      <c r="H564" s="227"/>
      <c r="I564" s="350"/>
      <c r="J564" s="227"/>
      <c r="K564" s="227"/>
      <c r="L564" s="224"/>
      <c r="M564" s="224"/>
      <c r="N564" s="224"/>
      <c r="O564" s="224"/>
      <c r="P564" s="224"/>
      <c r="Q564" s="224"/>
      <c r="R564" s="224"/>
      <c r="S564" s="224"/>
      <c r="T564" s="224"/>
      <c r="U564" s="224"/>
      <c r="V564" s="224"/>
      <c r="W564" s="106"/>
    </row>
    <row r="565" spans="1:23" s="101" customFormat="1" x14ac:dyDescent="0.3">
      <c r="A565" s="222"/>
      <c r="B565" s="235"/>
      <c r="C565" s="227"/>
      <c r="D565" s="344"/>
      <c r="E565" s="235"/>
      <c r="F565" s="235"/>
      <c r="G565" s="227"/>
      <c r="H565" s="227"/>
      <c r="I565" s="350"/>
      <c r="J565" s="227"/>
      <c r="K565" s="227"/>
      <c r="L565" s="224"/>
      <c r="M565" s="224"/>
      <c r="N565" s="224"/>
      <c r="O565" s="224"/>
      <c r="P565" s="224"/>
      <c r="Q565" s="224"/>
      <c r="R565" s="224"/>
      <c r="S565" s="224"/>
      <c r="T565" s="224"/>
      <c r="U565" s="224"/>
      <c r="V565" s="224"/>
      <c r="W565" s="106"/>
    </row>
    <row r="566" spans="1:23" s="101" customFormat="1" x14ac:dyDescent="0.3">
      <c r="A566" s="222"/>
      <c r="B566" s="235"/>
      <c r="C566" s="227"/>
      <c r="D566" s="344"/>
      <c r="E566" s="235"/>
      <c r="F566" s="235"/>
      <c r="G566" s="227"/>
      <c r="H566" s="227"/>
      <c r="I566" s="350"/>
      <c r="J566" s="227"/>
      <c r="K566" s="227"/>
      <c r="L566" s="224"/>
      <c r="M566" s="224"/>
      <c r="N566" s="224"/>
      <c r="O566" s="224"/>
      <c r="P566" s="224"/>
      <c r="Q566" s="224"/>
      <c r="R566" s="224"/>
      <c r="S566" s="224"/>
      <c r="T566" s="224"/>
      <c r="U566" s="224"/>
      <c r="V566" s="224"/>
      <c r="W566" s="106"/>
    </row>
    <row r="567" spans="1:23" s="101" customFormat="1" x14ac:dyDescent="0.3">
      <c r="A567" s="222"/>
      <c r="B567" s="235"/>
      <c r="C567" s="227"/>
      <c r="D567" s="344"/>
      <c r="E567" s="235"/>
      <c r="F567" s="235"/>
      <c r="G567" s="227"/>
      <c r="H567" s="227"/>
      <c r="I567" s="350"/>
      <c r="J567" s="227"/>
      <c r="K567" s="227"/>
      <c r="L567" s="224"/>
      <c r="M567" s="224"/>
      <c r="N567" s="224"/>
      <c r="O567" s="224"/>
      <c r="P567" s="224"/>
      <c r="Q567" s="224"/>
      <c r="R567" s="224"/>
      <c r="S567" s="224"/>
      <c r="T567" s="224"/>
      <c r="U567" s="224"/>
      <c r="V567" s="224"/>
      <c r="W567" s="106"/>
    </row>
    <row r="568" spans="1:23" s="101" customFormat="1" x14ac:dyDescent="0.3">
      <c r="A568" s="222"/>
      <c r="B568" s="235"/>
      <c r="C568" s="227"/>
      <c r="D568" s="344"/>
      <c r="E568" s="235"/>
      <c r="F568" s="235"/>
      <c r="G568" s="227"/>
      <c r="H568" s="227"/>
      <c r="I568" s="350"/>
      <c r="J568" s="227"/>
      <c r="K568" s="227"/>
      <c r="L568" s="224"/>
      <c r="M568" s="224"/>
      <c r="N568" s="224"/>
      <c r="O568" s="224"/>
      <c r="P568" s="224"/>
      <c r="Q568" s="224"/>
      <c r="R568" s="224"/>
      <c r="S568" s="224"/>
      <c r="T568" s="224"/>
      <c r="U568" s="224"/>
      <c r="V568" s="224"/>
      <c r="W568" s="106"/>
    </row>
    <row r="569" spans="1:23" s="101" customFormat="1" x14ac:dyDescent="0.3">
      <c r="A569" s="222"/>
      <c r="B569" s="235"/>
      <c r="C569" s="227"/>
      <c r="D569" s="344"/>
      <c r="E569" s="235"/>
      <c r="F569" s="235"/>
      <c r="G569" s="227"/>
      <c r="H569" s="227"/>
      <c r="I569" s="350"/>
      <c r="J569" s="227"/>
      <c r="K569" s="227"/>
      <c r="L569" s="224"/>
      <c r="M569" s="224"/>
      <c r="N569" s="224"/>
      <c r="O569" s="224"/>
      <c r="P569" s="224"/>
      <c r="Q569" s="224"/>
      <c r="R569" s="224"/>
      <c r="S569" s="224"/>
      <c r="T569" s="224"/>
      <c r="U569" s="224"/>
      <c r="V569" s="224"/>
      <c r="W569" s="106"/>
    </row>
    <row r="570" spans="1:23" s="101" customFormat="1" x14ac:dyDescent="0.3">
      <c r="A570" s="222"/>
      <c r="B570" s="235"/>
      <c r="C570" s="227"/>
      <c r="D570" s="344"/>
      <c r="E570" s="235"/>
      <c r="F570" s="235"/>
      <c r="G570" s="227"/>
      <c r="H570" s="227"/>
      <c r="I570" s="350"/>
      <c r="J570" s="227"/>
      <c r="K570" s="227"/>
      <c r="L570" s="224"/>
      <c r="M570" s="224"/>
      <c r="N570" s="224"/>
      <c r="O570" s="224"/>
      <c r="P570" s="224"/>
      <c r="Q570" s="224"/>
      <c r="R570" s="224"/>
      <c r="S570" s="224"/>
      <c r="T570" s="224"/>
      <c r="U570" s="224"/>
      <c r="V570" s="224"/>
      <c r="W570" s="106"/>
    </row>
    <row r="571" spans="1:23" s="101" customFormat="1" x14ac:dyDescent="0.3">
      <c r="A571" s="222"/>
      <c r="B571" s="235"/>
      <c r="C571" s="227"/>
      <c r="D571" s="344"/>
      <c r="E571" s="235"/>
      <c r="F571" s="235"/>
      <c r="G571" s="227"/>
      <c r="H571" s="227"/>
      <c r="I571" s="350"/>
      <c r="J571" s="227"/>
      <c r="K571" s="227"/>
      <c r="L571" s="224"/>
      <c r="M571" s="224"/>
      <c r="N571" s="224"/>
      <c r="O571" s="224"/>
      <c r="P571" s="224"/>
      <c r="Q571" s="224"/>
      <c r="R571" s="224"/>
      <c r="S571" s="224"/>
      <c r="T571" s="224"/>
      <c r="U571" s="224"/>
      <c r="V571" s="224"/>
      <c r="W571" s="106"/>
    </row>
    <row r="572" spans="1:23" s="101" customFormat="1" x14ac:dyDescent="0.3">
      <c r="A572" s="222"/>
      <c r="B572" s="235"/>
      <c r="C572" s="227"/>
      <c r="D572" s="344"/>
      <c r="E572" s="235"/>
      <c r="F572" s="235"/>
      <c r="G572" s="227"/>
      <c r="H572" s="227"/>
      <c r="I572" s="350"/>
      <c r="J572" s="227"/>
      <c r="K572" s="227"/>
      <c r="L572" s="224"/>
      <c r="M572" s="224"/>
      <c r="N572" s="224"/>
      <c r="O572" s="224"/>
      <c r="P572" s="224"/>
      <c r="Q572" s="224"/>
      <c r="R572" s="224"/>
      <c r="S572" s="224"/>
      <c r="T572" s="224"/>
      <c r="U572" s="224"/>
      <c r="V572" s="224"/>
      <c r="W572" s="106"/>
    </row>
    <row r="573" spans="1:23" s="101" customFormat="1" x14ac:dyDescent="0.3">
      <c r="A573" s="222"/>
      <c r="B573" s="235"/>
      <c r="C573" s="227"/>
      <c r="D573" s="344"/>
      <c r="E573" s="235"/>
      <c r="F573" s="235"/>
      <c r="G573" s="227"/>
      <c r="H573" s="227"/>
      <c r="I573" s="350"/>
      <c r="J573" s="227"/>
      <c r="K573" s="227"/>
      <c r="L573" s="224"/>
      <c r="M573" s="224"/>
      <c r="N573" s="224"/>
      <c r="O573" s="224"/>
      <c r="P573" s="224"/>
      <c r="Q573" s="224"/>
      <c r="R573" s="224"/>
      <c r="S573" s="224"/>
      <c r="T573" s="224"/>
      <c r="U573" s="224"/>
      <c r="V573" s="224"/>
      <c r="W573" s="106"/>
    </row>
    <row r="574" spans="1:23" s="101" customFormat="1" x14ac:dyDescent="0.3">
      <c r="A574" s="222"/>
      <c r="B574" s="235"/>
      <c r="C574" s="227"/>
      <c r="D574" s="344"/>
      <c r="E574" s="235"/>
      <c r="F574" s="235"/>
      <c r="G574" s="227"/>
      <c r="H574" s="227"/>
      <c r="I574" s="350"/>
      <c r="J574" s="227"/>
      <c r="K574" s="227"/>
      <c r="L574" s="224"/>
      <c r="M574" s="224"/>
      <c r="N574" s="224"/>
      <c r="O574" s="224"/>
      <c r="P574" s="224"/>
      <c r="Q574" s="224"/>
      <c r="R574" s="224"/>
      <c r="S574" s="224"/>
      <c r="T574" s="224"/>
      <c r="U574" s="224"/>
      <c r="V574" s="224"/>
      <c r="W574" s="106"/>
    </row>
    <row r="575" spans="1:23" s="101" customFormat="1" x14ac:dyDescent="0.3">
      <c r="A575" s="222"/>
      <c r="B575" s="235"/>
      <c r="C575" s="227"/>
      <c r="D575" s="344"/>
      <c r="E575" s="235"/>
      <c r="F575" s="235"/>
      <c r="G575" s="227"/>
      <c r="H575" s="227"/>
      <c r="I575" s="350"/>
      <c r="J575" s="227"/>
      <c r="K575" s="227"/>
      <c r="L575" s="224"/>
      <c r="M575" s="224"/>
      <c r="N575" s="224"/>
      <c r="O575" s="224"/>
      <c r="P575" s="224"/>
      <c r="Q575" s="224"/>
      <c r="R575" s="224"/>
      <c r="S575" s="224"/>
      <c r="T575" s="224"/>
      <c r="U575" s="224"/>
      <c r="V575" s="224"/>
      <c r="W575" s="106"/>
    </row>
    <row r="576" spans="1:23" s="101" customFormat="1" x14ac:dyDescent="0.3">
      <c r="A576" s="222"/>
      <c r="B576" s="235"/>
      <c r="C576" s="227"/>
      <c r="D576" s="344"/>
      <c r="E576" s="235"/>
      <c r="F576" s="235"/>
      <c r="G576" s="227"/>
      <c r="H576" s="227"/>
      <c r="I576" s="350"/>
      <c r="J576" s="227"/>
      <c r="K576" s="227"/>
      <c r="L576" s="224"/>
      <c r="M576" s="224"/>
      <c r="N576" s="224"/>
      <c r="O576" s="224"/>
      <c r="P576" s="224"/>
      <c r="Q576" s="224"/>
      <c r="R576" s="224"/>
      <c r="S576" s="224"/>
      <c r="T576" s="224"/>
      <c r="U576" s="224"/>
      <c r="V576" s="224"/>
      <c r="W576" s="106"/>
    </row>
    <row r="577" spans="1:23" s="101" customFormat="1" x14ac:dyDescent="0.3">
      <c r="A577" s="222"/>
      <c r="B577" s="235"/>
      <c r="C577" s="227"/>
      <c r="D577" s="344"/>
      <c r="E577" s="235"/>
      <c r="F577" s="235"/>
      <c r="G577" s="227"/>
      <c r="H577" s="227"/>
      <c r="I577" s="350"/>
      <c r="J577" s="227"/>
      <c r="K577" s="227"/>
      <c r="L577" s="224"/>
      <c r="M577" s="224"/>
      <c r="N577" s="224"/>
      <c r="O577" s="224"/>
      <c r="P577" s="224"/>
      <c r="Q577" s="224"/>
      <c r="R577" s="224"/>
      <c r="S577" s="224"/>
      <c r="T577" s="224"/>
      <c r="U577" s="224"/>
      <c r="V577" s="224"/>
      <c r="W577" s="106"/>
    </row>
    <row r="578" spans="1:23" s="101" customFormat="1" x14ac:dyDescent="0.3">
      <c r="A578" s="222"/>
      <c r="B578" s="235"/>
      <c r="C578" s="227"/>
      <c r="D578" s="344"/>
      <c r="E578" s="235"/>
      <c r="F578" s="235"/>
      <c r="G578" s="227"/>
      <c r="H578" s="227"/>
      <c r="I578" s="350"/>
      <c r="J578" s="227"/>
      <c r="K578" s="227"/>
      <c r="L578" s="224"/>
      <c r="M578" s="224"/>
      <c r="N578" s="224"/>
      <c r="O578" s="224"/>
      <c r="P578" s="224"/>
      <c r="Q578" s="224"/>
      <c r="R578" s="224"/>
      <c r="S578" s="224"/>
      <c r="T578" s="224"/>
      <c r="U578" s="224"/>
      <c r="V578" s="224"/>
      <c r="W578" s="106"/>
    </row>
    <row r="579" spans="1:23" s="101" customFormat="1" x14ac:dyDescent="0.3">
      <c r="A579" s="222"/>
      <c r="B579" s="235"/>
      <c r="C579" s="227"/>
      <c r="D579" s="344"/>
      <c r="E579" s="235"/>
      <c r="F579" s="235"/>
      <c r="G579" s="227"/>
      <c r="H579" s="227"/>
      <c r="I579" s="350"/>
      <c r="J579" s="227"/>
      <c r="K579" s="227"/>
      <c r="L579" s="224"/>
      <c r="M579" s="224"/>
      <c r="N579" s="224"/>
      <c r="O579" s="224"/>
      <c r="P579" s="224"/>
      <c r="Q579" s="224"/>
      <c r="R579" s="224"/>
      <c r="S579" s="224"/>
      <c r="T579" s="224"/>
      <c r="U579" s="224"/>
      <c r="V579" s="224"/>
      <c r="W579" s="106"/>
    </row>
    <row r="580" spans="1:23" s="101" customFormat="1" x14ac:dyDescent="0.3">
      <c r="A580" s="222"/>
      <c r="B580" s="235"/>
      <c r="C580" s="227"/>
      <c r="D580" s="344"/>
      <c r="E580" s="235"/>
      <c r="F580" s="235"/>
      <c r="G580" s="227"/>
      <c r="H580" s="227"/>
      <c r="I580" s="350"/>
      <c r="J580" s="227"/>
      <c r="K580" s="227"/>
      <c r="L580" s="224"/>
      <c r="M580" s="224"/>
      <c r="N580" s="224"/>
      <c r="O580" s="224"/>
      <c r="P580" s="224"/>
      <c r="Q580" s="224"/>
      <c r="R580" s="224"/>
      <c r="S580" s="224"/>
      <c r="T580" s="224"/>
      <c r="U580" s="224"/>
      <c r="V580" s="224"/>
      <c r="W580" s="106"/>
    </row>
    <row r="581" spans="1:23" s="101" customFormat="1" x14ac:dyDescent="0.3">
      <c r="A581" s="222"/>
      <c r="B581" s="235"/>
      <c r="C581" s="227"/>
      <c r="D581" s="344"/>
      <c r="E581" s="235"/>
      <c r="F581" s="235"/>
      <c r="G581" s="227"/>
      <c r="H581" s="227"/>
      <c r="I581" s="350"/>
      <c r="J581" s="227"/>
      <c r="K581" s="227"/>
      <c r="L581" s="224"/>
      <c r="M581" s="224"/>
      <c r="N581" s="224"/>
      <c r="O581" s="224"/>
      <c r="P581" s="224"/>
      <c r="Q581" s="224"/>
      <c r="R581" s="224"/>
      <c r="S581" s="224"/>
      <c r="T581" s="224"/>
      <c r="U581" s="224"/>
      <c r="V581" s="224"/>
      <c r="W581" s="106"/>
    </row>
    <row r="582" spans="1:23" s="101" customFormat="1" x14ac:dyDescent="0.3">
      <c r="A582" s="222"/>
      <c r="B582" s="235"/>
      <c r="C582" s="227"/>
      <c r="D582" s="344"/>
      <c r="E582" s="235"/>
      <c r="F582" s="235"/>
      <c r="G582" s="227"/>
      <c r="H582" s="227"/>
      <c r="I582" s="350"/>
      <c r="J582" s="227"/>
      <c r="K582" s="227"/>
      <c r="L582" s="224"/>
      <c r="M582" s="224"/>
      <c r="N582" s="224"/>
      <c r="O582" s="224"/>
      <c r="P582" s="224"/>
      <c r="Q582" s="224"/>
      <c r="R582" s="224"/>
      <c r="S582" s="224"/>
      <c r="T582" s="224"/>
      <c r="U582" s="224"/>
      <c r="V582" s="224"/>
      <c r="W582" s="106"/>
    </row>
    <row r="583" spans="1:23" s="101" customFormat="1" x14ac:dyDescent="0.3">
      <c r="A583" s="222"/>
      <c r="B583" s="235"/>
      <c r="C583" s="227"/>
      <c r="D583" s="344"/>
      <c r="E583" s="235"/>
      <c r="F583" s="235"/>
      <c r="G583" s="227"/>
      <c r="H583" s="227"/>
      <c r="I583" s="350"/>
      <c r="J583" s="227"/>
      <c r="K583" s="227"/>
      <c r="L583" s="224"/>
      <c r="M583" s="224"/>
      <c r="N583" s="224"/>
      <c r="O583" s="224"/>
      <c r="P583" s="224"/>
      <c r="Q583" s="224"/>
      <c r="R583" s="224"/>
      <c r="S583" s="224"/>
      <c r="T583" s="224"/>
      <c r="U583" s="224"/>
      <c r="V583" s="224"/>
      <c r="W583" s="106"/>
    </row>
    <row r="584" spans="1:23" s="101" customFormat="1" x14ac:dyDescent="0.3">
      <c r="A584" s="222"/>
      <c r="B584" s="235"/>
      <c r="C584" s="227"/>
      <c r="D584" s="344"/>
      <c r="E584" s="235"/>
      <c r="F584" s="235"/>
      <c r="G584" s="227"/>
      <c r="H584" s="227"/>
      <c r="I584" s="350"/>
      <c r="J584" s="227"/>
      <c r="K584" s="227"/>
      <c r="L584" s="224"/>
      <c r="M584" s="224"/>
      <c r="N584" s="224"/>
      <c r="O584" s="224"/>
      <c r="P584" s="224"/>
      <c r="Q584" s="224"/>
      <c r="R584" s="224"/>
      <c r="S584" s="224"/>
      <c r="T584" s="224"/>
      <c r="U584" s="224"/>
      <c r="V584" s="224"/>
      <c r="W584" s="106"/>
    </row>
    <row r="585" spans="1:23" s="101" customFormat="1" x14ac:dyDescent="0.3">
      <c r="A585" s="222"/>
      <c r="B585" s="235"/>
      <c r="C585" s="227"/>
      <c r="D585" s="344"/>
      <c r="E585" s="235"/>
      <c r="F585" s="235"/>
      <c r="G585" s="227"/>
      <c r="H585" s="227"/>
      <c r="I585" s="350"/>
      <c r="J585" s="227"/>
      <c r="K585" s="227"/>
      <c r="L585" s="224"/>
      <c r="M585" s="224"/>
      <c r="N585" s="224"/>
      <c r="O585" s="224"/>
      <c r="P585" s="224"/>
      <c r="Q585" s="224"/>
      <c r="R585" s="224"/>
      <c r="S585" s="224"/>
      <c r="T585" s="224"/>
      <c r="U585" s="224"/>
      <c r="V585" s="224"/>
      <c r="W585" s="106"/>
    </row>
    <row r="586" spans="1:23" s="101" customFormat="1" x14ac:dyDescent="0.3">
      <c r="A586" s="222"/>
      <c r="B586" s="235"/>
      <c r="C586" s="227"/>
      <c r="D586" s="344"/>
      <c r="E586" s="235"/>
      <c r="F586" s="235"/>
      <c r="G586" s="227"/>
      <c r="H586" s="227"/>
      <c r="I586" s="350"/>
      <c r="J586" s="227"/>
      <c r="K586" s="227"/>
      <c r="L586" s="224"/>
      <c r="M586" s="224"/>
      <c r="N586" s="224"/>
      <c r="O586" s="224"/>
      <c r="P586" s="224"/>
      <c r="Q586" s="224"/>
      <c r="R586" s="224"/>
      <c r="S586" s="224"/>
      <c r="T586" s="224"/>
      <c r="U586" s="224"/>
      <c r="V586" s="224"/>
      <c r="W586" s="106"/>
    </row>
    <row r="587" spans="1:23" s="101" customFormat="1" x14ac:dyDescent="0.3">
      <c r="A587" s="222"/>
      <c r="B587" s="235"/>
      <c r="C587" s="227"/>
      <c r="D587" s="344"/>
      <c r="E587" s="235"/>
      <c r="F587" s="235"/>
      <c r="G587" s="227"/>
      <c r="H587" s="227"/>
      <c r="I587" s="350"/>
      <c r="J587" s="227"/>
      <c r="K587" s="227"/>
      <c r="L587" s="224"/>
      <c r="M587" s="224"/>
      <c r="N587" s="224"/>
      <c r="O587" s="224"/>
      <c r="P587" s="224"/>
      <c r="Q587" s="224"/>
      <c r="R587" s="224"/>
      <c r="S587" s="224"/>
      <c r="T587" s="224"/>
      <c r="U587" s="224"/>
      <c r="V587" s="224"/>
      <c r="W587" s="106"/>
    </row>
    <row r="588" spans="1:23" s="101" customFormat="1" x14ac:dyDescent="0.3">
      <c r="A588" s="222"/>
      <c r="B588" s="235"/>
      <c r="C588" s="227"/>
      <c r="D588" s="344"/>
      <c r="E588" s="235"/>
      <c r="F588" s="235"/>
      <c r="G588" s="227"/>
      <c r="H588" s="227"/>
      <c r="I588" s="350"/>
      <c r="J588" s="227"/>
      <c r="K588" s="227"/>
      <c r="L588" s="224"/>
      <c r="M588" s="224"/>
      <c r="N588" s="224"/>
      <c r="O588" s="224"/>
      <c r="P588" s="224"/>
      <c r="Q588" s="224"/>
      <c r="R588" s="224"/>
      <c r="S588" s="224"/>
      <c r="T588" s="224"/>
      <c r="U588" s="224"/>
      <c r="V588" s="224"/>
      <c r="W588" s="106"/>
    </row>
    <row r="589" spans="1:23" s="101" customFormat="1" x14ac:dyDescent="0.3">
      <c r="A589" s="222"/>
      <c r="B589" s="235"/>
      <c r="C589" s="227"/>
      <c r="D589" s="344"/>
      <c r="E589" s="235"/>
      <c r="F589" s="235"/>
      <c r="G589" s="227"/>
      <c r="H589" s="227"/>
      <c r="I589" s="350"/>
      <c r="J589" s="227"/>
      <c r="K589" s="227"/>
      <c r="L589" s="224"/>
      <c r="M589" s="224"/>
      <c r="N589" s="224"/>
      <c r="O589" s="224"/>
      <c r="P589" s="224"/>
      <c r="Q589" s="224"/>
      <c r="R589" s="224"/>
      <c r="S589" s="224"/>
      <c r="T589" s="224"/>
      <c r="U589" s="224"/>
      <c r="V589" s="224"/>
      <c r="W589" s="106"/>
    </row>
    <row r="590" spans="1:23" s="101" customFormat="1" x14ac:dyDescent="0.3">
      <c r="A590" s="222"/>
      <c r="B590" s="235"/>
      <c r="C590" s="227"/>
      <c r="D590" s="344"/>
      <c r="E590" s="235"/>
      <c r="F590" s="235"/>
      <c r="G590" s="227"/>
      <c r="H590" s="227"/>
      <c r="I590" s="350"/>
      <c r="J590" s="227"/>
      <c r="K590" s="227"/>
      <c r="L590" s="224"/>
      <c r="M590" s="224"/>
      <c r="N590" s="224"/>
      <c r="O590" s="224"/>
      <c r="P590" s="224"/>
      <c r="Q590" s="224"/>
      <c r="R590" s="224"/>
      <c r="S590" s="224"/>
      <c r="T590" s="224"/>
      <c r="U590" s="224"/>
      <c r="V590" s="224"/>
      <c r="W590" s="106"/>
    </row>
    <row r="591" spans="1:23" s="101" customFormat="1" x14ac:dyDescent="0.3">
      <c r="A591" s="222"/>
      <c r="B591" s="235"/>
      <c r="C591" s="227"/>
      <c r="D591" s="344"/>
      <c r="E591" s="235"/>
      <c r="F591" s="235"/>
      <c r="G591" s="227"/>
      <c r="H591" s="227"/>
      <c r="I591" s="350"/>
      <c r="J591" s="227"/>
      <c r="K591" s="227"/>
      <c r="L591" s="224"/>
      <c r="M591" s="224"/>
      <c r="N591" s="224"/>
      <c r="O591" s="224"/>
      <c r="P591" s="224"/>
      <c r="Q591" s="224"/>
      <c r="R591" s="224"/>
      <c r="S591" s="224"/>
      <c r="T591" s="224"/>
      <c r="U591" s="224"/>
      <c r="V591" s="224"/>
      <c r="W591" s="106"/>
    </row>
    <row r="592" spans="1:23" s="101" customFormat="1" x14ac:dyDescent="0.3">
      <c r="A592" s="222"/>
      <c r="B592" s="235"/>
      <c r="C592" s="227"/>
      <c r="D592" s="344"/>
      <c r="E592" s="235"/>
      <c r="F592" s="235"/>
      <c r="G592" s="227"/>
      <c r="H592" s="227"/>
      <c r="I592" s="350"/>
      <c r="J592" s="227"/>
      <c r="K592" s="227"/>
      <c r="L592" s="224"/>
      <c r="M592" s="224"/>
      <c r="N592" s="224"/>
      <c r="O592" s="224"/>
      <c r="P592" s="224"/>
      <c r="Q592" s="224"/>
      <c r="R592" s="224"/>
      <c r="S592" s="224"/>
      <c r="T592" s="224"/>
      <c r="U592" s="224"/>
      <c r="V592" s="224"/>
      <c r="W592" s="106"/>
    </row>
    <row r="593" spans="1:23" s="101" customFormat="1" x14ac:dyDescent="0.3">
      <c r="A593" s="222"/>
      <c r="B593" s="235"/>
      <c r="C593" s="227"/>
      <c r="D593" s="344"/>
      <c r="E593" s="235"/>
      <c r="F593" s="235"/>
      <c r="G593" s="227"/>
      <c r="H593" s="227"/>
      <c r="I593" s="350"/>
      <c r="J593" s="227"/>
      <c r="K593" s="227"/>
      <c r="L593" s="224"/>
      <c r="M593" s="224"/>
      <c r="N593" s="224"/>
      <c r="O593" s="224"/>
      <c r="P593" s="224"/>
      <c r="Q593" s="224"/>
      <c r="R593" s="224"/>
      <c r="S593" s="224"/>
      <c r="T593" s="224"/>
      <c r="U593" s="224"/>
      <c r="V593" s="224"/>
      <c r="W593" s="106"/>
    </row>
    <row r="594" spans="1:23" s="101" customFormat="1" x14ac:dyDescent="0.3">
      <c r="A594" s="222"/>
      <c r="B594" s="235"/>
      <c r="C594" s="227"/>
      <c r="D594" s="344"/>
      <c r="E594" s="235"/>
      <c r="F594" s="235"/>
      <c r="G594" s="227"/>
      <c r="H594" s="227"/>
      <c r="I594" s="350"/>
      <c r="J594" s="227"/>
      <c r="K594" s="227"/>
      <c r="L594" s="224"/>
      <c r="M594" s="224"/>
      <c r="N594" s="224"/>
      <c r="O594" s="224"/>
      <c r="P594" s="224"/>
      <c r="Q594" s="224"/>
      <c r="R594" s="224"/>
      <c r="S594" s="224"/>
      <c r="T594" s="224"/>
      <c r="U594" s="224"/>
      <c r="V594" s="224"/>
      <c r="W594" s="106"/>
    </row>
    <row r="595" spans="1:23" s="101" customFormat="1" x14ac:dyDescent="0.3">
      <c r="A595" s="222"/>
      <c r="B595" s="235"/>
      <c r="C595" s="227"/>
      <c r="D595" s="344"/>
      <c r="E595" s="235"/>
      <c r="F595" s="235"/>
      <c r="G595" s="227"/>
      <c r="H595" s="227"/>
      <c r="I595" s="350"/>
      <c r="J595" s="227"/>
      <c r="K595" s="227"/>
      <c r="L595" s="224"/>
      <c r="M595" s="224"/>
      <c r="N595" s="224"/>
      <c r="O595" s="224"/>
      <c r="P595" s="224"/>
      <c r="Q595" s="224"/>
      <c r="R595" s="224"/>
      <c r="S595" s="224"/>
      <c r="T595" s="224"/>
      <c r="U595" s="224"/>
      <c r="V595" s="224"/>
      <c r="W595" s="106"/>
    </row>
    <row r="596" spans="1:23" s="101" customFormat="1" x14ac:dyDescent="0.3">
      <c r="A596" s="222"/>
      <c r="B596" s="235"/>
      <c r="C596" s="227"/>
      <c r="D596" s="344"/>
      <c r="E596" s="235"/>
      <c r="F596" s="235"/>
      <c r="G596" s="227"/>
      <c r="H596" s="227"/>
      <c r="I596" s="350"/>
      <c r="J596" s="227"/>
      <c r="K596" s="227"/>
      <c r="L596" s="224"/>
      <c r="M596" s="224"/>
      <c r="N596" s="224"/>
      <c r="O596" s="224"/>
      <c r="P596" s="224"/>
      <c r="Q596" s="224"/>
      <c r="R596" s="224"/>
      <c r="S596" s="224"/>
      <c r="T596" s="224"/>
      <c r="U596" s="224"/>
      <c r="V596" s="224"/>
      <c r="W596" s="106"/>
    </row>
    <row r="597" spans="1:23" s="101" customFormat="1" x14ac:dyDescent="0.3">
      <c r="A597" s="222"/>
      <c r="B597" s="235"/>
      <c r="C597" s="227"/>
      <c r="D597" s="344"/>
      <c r="E597" s="235"/>
      <c r="F597" s="235"/>
      <c r="G597" s="227"/>
      <c r="H597" s="227"/>
      <c r="I597" s="350"/>
      <c r="J597" s="227"/>
      <c r="K597" s="227"/>
      <c r="L597" s="224"/>
      <c r="M597" s="224"/>
      <c r="N597" s="224"/>
      <c r="O597" s="224"/>
      <c r="P597" s="224"/>
      <c r="Q597" s="224"/>
      <c r="R597" s="224"/>
      <c r="S597" s="224"/>
      <c r="T597" s="224"/>
      <c r="U597" s="224"/>
      <c r="V597" s="224"/>
      <c r="W597" s="106"/>
    </row>
    <row r="598" spans="1:23" s="101" customFormat="1" x14ac:dyDescent="0.3">
      <c r="A598" s="222"/>
      <c r="B598" s="235"/>
      <c r="C598" s="227"/>
      <c r="D598" s="344"/>
      <c r="E598" s="235"/>
      <c r="F598" s="235"/>
      <c r="G598" s="227"/>
      <c r="H598" s="227"/>
      <c r="I598" s="350"/>
      <c r="J598" s="227"/>
      <c r="K598" s="227"/>
      <c r="L598" s="224"/>
      <c r="M598" s="224"/>
      <c r="N598" s="224"/>
      <c r="O598" s="224"/>
      <c r="P598" s="224"/>
      <c r="Q598" s="224"/>
      <c r="R598" s="224"/>
      <c r="S598" s="224"/>
      <c r="T598" s="224"/>
      <c r="U598" s="224"/>
      <c r="V598" s="224"/>
      <c r="W598" s="106"/>
    </row>
    <row r="599" spans="1:23" s="101" customFormat="1" x14ac:dyDescent="0.3">
      <c r="A599" s="222"/>
      <c r="B599" s="235"/>
      <c r="C599" s="227"/>
      <c r="D599" s="344"/>
      <c r="E599" s="235"/>
      <c r="F599" s="235"/>
      <c r="G599" s="227"/>
      <c r="H599" s="227"/>
      <c r="I599" s="350"/>
      <c r="J599" s="227"/>
      <c r="K599" s="227"/>
      <c r="L599" s="224"/>
      <c r="M599" s="224"/>
      <c r="N599" s="224"/>
      <c r="O599" s="224"/>
      <c r="P599" s="224"/>
      <c r="Q599" s="224"/>
      <c r="R599" s="224"/>
      <c r="S599" s="224"/>
      <c r="T599" s="224"/>
      <c r="U599" s="224"/>
      <c r="V599" s="224"/>
      <c r="W599" s="106"/>
    </row>
    <row r="600" spans="1:23" s="101" customFormat="1" x14ac:dyDescent="0.3">
      <c r="A600" s="222"/>
      <c r="B600" s="235"/>
      <c r="C600" s="227"/>
      <c r="D600" s="344"/>
      <c r="E600" s="235"/>
      <c r="F600" s="235"/>
      <c r="G600" s="227"/>
      <c r="H600" s="227"/>
      <c r="I600" s="350"/>
      <c r="J600" s="227"/>
      <c r="K600" s="227"/>
      <c r="L600" s="224"/>
      <c r="M600" s="224"/>
      <c r="N600" s="224"/>
      <c r="O600" s="224"/>
      <c r="P600" s="224"/>
      <c r="Q600" s="224"/>
      <c r="R600" s="224"/>
      <c r="S600" s="224"/>
      <c r="T600" s="224"/>
      <c r="U600" s="224"/>
      <c r="V600" s="224"/>
      <c r="W600" s="106"/>
    </row>
    <row r="601" spans="1:23" s="101" customFormat="1" x14ac:dyDescent="0.3">
      <c r="A601" s="222"/>
      <c r="B601" s="235"/>
      <c r="C601" s="227"/>
      <c r="D601" s="344"/>
      <c r="E601" s="235"/>
      <c r="F601" s="235"/>
      <c r="G601" s="227"/>
      <c r="H601" s="227"/>
      <c r="I601" s="350"/>
      <c r="J601" s="227"/>
      <c r="K601" s="227"/>
      <c r="L601" s="224"/>
      <c r="M601" s="224"/>
      <c r="N601" s="224"/>
      <c r="O601" s="224"/>
      <c r="P601" s="224"/>
      <c r="Q601" s="224"/>
      <c r="R601" s="224"/>
      <c r="S601" s="224"/>
      <c r="T601" s="224"/>
      <c r="U601" s="224"/>
      <c r="V601" s="224"/>
      <c r="W601" s="106"/>
    </row>
    <row r="602" spans="1:23" s="101" customFormat="1" x14ac:dyDescent="0.3">
      <c r="A602" s="222"/>
      <c r="B602" s="235"/>
      <c r="C602" s="227"/>
      <c r="D602" s="344"/>
      <c r="E602" s="235"/>
      <c r="F602" s="235"/>
      <c r="G602" s="227"/>
      <c r="H602" s="227"/>
      <c r="I602" s="350"/>
      <c r="J602" s="227"/>
      <c r="K602" s="227"/>
      <c r="L602" s="224"/>
      <c r="M602" s="224"/>
      <c r="N602" s="224"/>
      <c r="O602" s="224"/>
      <c r="P602" s="224"/>
      <c r="Q602" s="224"/>
      <c r="R602" s="224"/>
      <c r="S602" s="224"/>
      <c r="T602" s="224"/>
      <c r="U602" s="224"/>
      <c r="V602" s="224"/>
      <c r="W602" s="106"/>
    </row>
    <row r="603" spans="1:23" s="101" customFormat="1" x14ac:dyDescent="0.3">
      <c r="A603" s="222"/>
      <c r="B603" s="235"/>
      <c r="C603" s="227"/>
      <c r="D603" s="344"/>
      <c r="E603" s="235"/>
      <c r="F603" s="235"/>
      <c r="G603" s="227"/>
      <c r="H603" s="227"/>
      <c r="I603" s="350"/>
      <c r="J603" s="227"/>
      <c r="K603" s="227"/>
      <c r="L603" s="224"/>
      <c r="M603" s="224"/>
      <c r="N603" s="224"/>
      <c r="O603" s="224"/>
      <c r="P603" s="224"/>
      <c r="Q603" s="224"/>
      <c r="R603" s="224"/>
      <c r="S603" s="224"/>
      <c r="T603" s="224"/>
      <c r="U603" s="224"/>
      <c r="V603" s="224"/>
      <c r="W603" s="106"/>
    </row>
    <row r="604" spans="1:23" s="101" customFormat="1" x14ac:dyDescent="0.3">
      <c r="A604" s="222"/>
      <c r="B604" s="235"/>
      <c r="C604" s="227"/>
      <c r="D604" s="344"/>
      <c r="E604" s="235"/>
      <c r="F604" s="235"/>
      <c r="G604" s="227"/>
      <c r="H604" s="227"/>
      <c r="I604" s="350"/>
      <c r="J604" s="227"/>
      <c r="K604" s="227"/>
      <c r="L604" s="224"/>
      <c r="M604" s="224"/>
      <c r="N604" s="224"/>
      <c r="O604" s="224"/>
      <c r="P604" s="224"/>
      <c r="Q604" s="224"/>
      <c r="R604" s="224"/>
      <c r="S604" s="224"/>
      <c r="T604" s="224"/>
      <c r="U604" s="224"/>
      <c r="V604" s="224"/>
      <c r="W604" s="106"/>
    </row>
    <row r="605" spans="1:23" s="101" customFormat="1" x14ac:dyDescent="0.3">
      <c r="A605" s="222"/>
      <c r="B605" s="235"/>
      <c r="C605" s="227"/>
      <c r="D605" s="344"/>
      <c r="E605" s="235"/>
      <c r="F605" s="235"/>
      <c r="G605" s="227"/>
      <c r="H605" s="227"/>
      <c r="I605" s="350"/>
      <c r="J605" s="227"/>
      <c r="K605" s="227"/>
      <c r="L605" s="224"/>
      <c r="M605" s="224"/>
      <c r="N605" s="224"/>
      <c r="O605" s="224"/>
      <c r="P605" s="224"/>
      <c r="Q605" s="224"/>
      <c r="R605" s="224"/>
      <c r="S605" s="224"/>
      <c r="T605" s="224"/>
      <c r="U605" s="224"/>
      <c r="V605" s="224"/>
      <c r="W605" s="106"/>
    </row>
    <row r="606" spans="1:23" s="101" customFormat="1" x14ac:dyDescent="0.3">
      <c r="A606" s="222"/>
      <c r="B606" s="235"/>
      <c r="C606" s="227"/>
      <c r="D606" s="344"/>
      <c r="E606" s="235"/>
      <c r="F606" s="235"/>
      <c r="G606" s="227"/>
      <c r="H606" s="227"/>
      <c r="I606" s="350"/>
      <c r="J606" s="227"/>
      <c r="K606" s="227"/>
      <c r="L606" s="224"/>
      <c r="M606" s="224"/>
      <c r="N606" s="224"/>
      <c r="O606" s="224"/>
      <c r="P606" s="224"/>
      <c r="Q606" s="224"/>
      <c r="R606" s="224"/>
      <c r="S606" s="224"/>
      <c r="T606" s="224"/>
      <c r="U606" s="224"/>
      <c r="V606" s="224"/>
      <c r="W606" s="106"/>
    </row>
    <row r="607" spans="1:23" s="101" customFormat="1" x14ac:dyDescent="0.3">
      <c r="A607" s="222"/>
      <c r="B607" s="235"/>
      <c r="C607" s="227"/>
      <c r="D607" s="344"/>
      <c r="E607" s="235"/>
      <c r="F607" s="235"/>
      <c r="G607" s="227"/>
      <c r="H607" s="227"/>
      <c r="I607" s="350"/>
      <c r="J607" s="227"/>
      <c r="K607" s="227"/>
      <c r="L607" s="224"/>
      <c r="M607" s="224"/>
      <c r="N607" s="224"/>
      <c r="O607" s="224"/>
      <c r="P607" s="224"/>
      <c r="Q607" s="224"/>
      <c r="R607" s="224"/>
      <c r="S607" s="224"/>
      <c r="T607" s="224"/>
      <c r="U607" s="224"/>
      <c r="V607" s="224"/>
      <c r="W607" s="106"/>
    </row>
    <row r="608" spans="1:23" s="101" customFormat="1" x14ac:dyDescent="0.3">
      <c r="A608" s="222"/>
      <c r="B608" s="235"/>
      <c r="C608" s="227"/>
      <c r="D608" s="344"/>
      <c r="E608" s="235"/>
      <c r="F608" s="235"/>
      <c r="G608" s="227"/>
      <c r="H608" s="227"/>
      <c r="I608" s="350"/>
      <c r="J608" s="227"/>
      <c r="K608" s="227"/>
      <c r="L608" s="224"/>
      <c r="M608" s="224"/>
      <c r="N608" s="224"/>
      <c r="O608" s="224"/>
      <c r="P608" s="224"/>
      <c r="Q608" s="224"/>
      <c r="R608" s="224"/>
      <c r="S608" s="224"/>
      <c r="T608" s="224"/>
      <c r="U608" s="224"/>
      <c r="V608" s="224"/>
      <c r="W608" s="106"/>
    </row>
    <row r="609" spans="1:23" s="101" customFormat="1" x14ac:dyDescent="0.3">
      <c r="A609" s="222"/>
      <c r="B609" s="235"/>
      <c r="C609" s="227"/>
      <c r="D609" s="344"/>
      <c r="E609" s="235"/>
      <c r="F609" s="235"/>
      <c r="G609" s="227"/>
      <c r="H609" s="227"/>
      <c r="I609" s="350"/>
      <c r="J609" s="227"/>
      <c r="K609" s="227"/>
      <c r="L609" s="224"/>
      <c r="M609" s="224"/>
      <c r="N609" s="224"/>
      <c r="O609" s="224"/>
      <c r="P609" s="224"/>
      <c r="Q609" s="224"/>
      <c r="R609" s="224"/>
      <c r="S609" s="224"/>
      <c r="T609" s="224"/>
      <c r="U609" s="224"/>
      <c r="V609" s="224"/>
      <c r="W609" s="106"/>
    </row>
    <row r="610" spans="1:23" s="101" customFormat="1" x14ac:dyDescent="0.3">
      <c r="A610" s="222"/>
      <c r="B610" s="235"/>
      <c r="C610" s="227"/>
      <c r="D610" s="344"/>
      <c r="E610" s="235"/>
      <c r="F610" s="235"/>
      <c r="G610" s="227"/>
      <c r="H610" s="227"/>
      <c r="I610" s="350"/>
      <c r="J610" s="227"/>
      <c r="K610" s="227"/>
      <c r="L610" s="224"/>
      <c r="M610" s="224"/>
      <c r="N610" s="224"/>
      <c r="O610" s="224"/>
      <c r="P610" s="224"/>
      <c r="Q610" s="224"/>
      <c r="R610" s="224"/>
      <c r="S610" s="224"/>
      <c r="T610" s="224"/>
      <c r="U610" s="224"/>
      <c r="V610" s="224"/>
      <c r="W610" s="106"/>
    </row>
    <row r="611" spans="1:23" s="101" customFormat="1" x14ac:dyDescent="0.3">
      <c r="A611" s="222"/>
      <c r="B611" s="235"/>
      <c r="C611" s="227"/>
      <c r="D611" s="344"/>
      <c r="E611" s="235"/>
      <c r="F611" s="235"/>
      <c r="G611" s="227"/>
      <c r="H611" s="227"/>
      <c r="I611" s="350"/>
      <c r="J611" s="227"/>
      <c r="K611" s="227"/>
      <c r="L611" s="224"/>
      <c r="M611" s="224"/>
      <c r="N611" s="224"/>
      <c r="O611" s="224"/>
      <c r="P611" s="224"/>
      <c r="Q611" s="224"/>
      <c r="R611" s="224"/>
      <c r="S611" s="224"/>
      <c r="T611" s="224"/>
      <c r="U611" s="224"/>
      <c r="V611" s="224"/>
      <c r="W611" s="106"/>
    </row>
    <row r="612" spans="1:23" s="101" customFormat="1" x14ac:dyDescent="0.3">
      <c r="A612" s="222"/>
      <c r="B612" s="235"/>
      <c r="C612" s="227"/>
      <c r="D612" s="344"/>
      <c r="E612" s="235"/>
      <c r="F612" s="235"/>
      <c r="G612" s="227"/>
      <c r="H612" s="227"/>
      <c r="I612" s="350"/>
      <c r="J612" s="227"/>
      <c r="K612" s="227"/>
      <c r="L612" s="224"/>
      <c r="M612" s="224"/>
      <c r="N612" s="224"/>
      <c r="O612" s="224"/>
      <c r="P612" s="224"/>
      <c r="Q612" s="224"/>
      <c r="R612" s="224"/>
      <c r="S612" s="224"/>
      <c r="T612" s="224"/>
      <c r="U612" s="224"/>
      <c r="V612" s="224"/>
      <c r="W612" s="106"/>
    </row>
    <row r="613" spans="1:23" s="101" customFormat="1" x14ac:dyDescent="0.3">
      <c r="A613" s="222"/>
      <c r="B613" s="235"/>
      <c r="C613" s="227"/>
      <c r="D613" s="344"/>
      <c r="E613" s="235"/>
      <c r="F613" s="235"/>
      <c r="G613" s="227"/>
      <c r="H613" s="227"/>
      <c r="I613" s="350"/>
      <c r="J613" s="227"/>
      <c r="K613" s="227"/>
      <c r="L613" s="224"/>
      <c r="M613" s="224"/>
      <c r="N613" s="224"/>
      <c r="O613" s="224"/>
      <c r="P613" s="224"/>
      <c r="Q613" s="224"/>
      <c r="R613" s="224"/>
      <c r="S613" s="224"/>
      <c r="T613" s="224"/>
      <c r="U613" s="224"/>
      <c r="V613" s="224"/>
      <c r="W613" s="106"/>
    </row>
    <row r="614" spans="1:23" s="101" customFormat="1" x14ac:dyDescent="0.3">
      <c r="A614" s="222"/>
      <c r="B614" s="235"/>
      <c r="C614" s="227"/>
      <c r="D614" s="344"/>
      <c r="E614" s="235"/>
      <c r="F614" s="235"/>
      <c r="G614" s="227"/>
      <c r="H614" s="227"/>
      <c r="I614" s="350"/>
      <c r="J614" s="227"/>
      <c r="K614" s="227"/>
      <c r="L614" s="224"/>
      <c r="M614" s="224"/>
      <c r="N614" s="224"/>
      <c r="O614" s="224"/>
      <c r="P614" s="224"/>
      <c r="Q614" s="224"/>
      <c r="R614" s="224"/>
      <c r="S614" s="224"/>
      <c r="T614" s="224"/>
      <c r="U614" s="224"/>
      <c r="V614" s="224"/>
      <c r="W614" s="106"/>
    </row>
    <row r="615" spans="1:23" s="101" customFormat="1" x14ac:dyDescent="0.3">
      <c r="A615" s="222"/>
      <c r="B615" s="235"/>
      <c r="C615" s="227"/>
      <c r="D615" s="344"/>
      <c r="E615" s="235"/>
      <c r="F615" s="235"/>
      <c r="G615" s="227"/>
      <c r="H615" s="227"/>
      <c r="I615" s="350"/>
      <c r="J615" s="227"/>
      <c r="K615" s="227"/>
      <c r="L615" s="224"/>
      <c r="M615" s="224"/>
      <c r="N615" s="224"/>
      <c r="O615" s="224"/>
      <c r="P615" s="224"/>
      <c r="Q615" s="224"/>
      <c r="R615" s="224"/>
      <c r="S615" s="224"/>
      <c r="T615" s="224"/>
      <c r="U615" s="224"/>
      <c r="V615" s="224"/>
      <c r="W615" s="106"/>
    </row>
    <row r="616" spans="1:23" s="101" customFormat="1" x14ac:dyDescent="0.3">
      <c r="A616" s="222"/>
      <c r="B616" s="235"/>
      <c r="C616" s="227"/>
      <c r="D616" s="344"/>
      <c r="E616" s="235"/>
      <c r="F616" s="235"/>
      <c r="G616" s="227"/>
      <c r="H616" s="227"/>
      <c r="I616" s="350"/>
      <c r="J616" s="227"/>
      <c r="K616" s="227"/>
      <c r="L616" s="224"/>
      <c r="M616" s="224"/>
      <c r="N616" s="224"/>
      <c r="O616" s="224"/>
      <c r="P616" s="224"/>
      <c r="Q616" s="224"/>
      <c r="R616" s="224"/>
      <c r="S616" s="224"/>
      <c r="T616" s="224"/>
      <c r="U616" s="224"/>
      <c r="V616" s="224"/>
      <c r="W616" s="106"/>
    </row>
    <row r="617" spans="1:23" s="101" customFormat="1" x14ac:dyDescent="0.3">
      <c r="A617" s="222"/>
      <c r="B617" s="235"/>
      <c r="C617" s="227"/>
      <c r="D617" s="344"/>
      <c r="E617" s="235"/>
      <c r="F617" s="235"/>
      <c r="G617" s="227"/>
      <c r="H617" s="227"/>
      <c r="I617" s="350"/>
      <c r="J617" s="227"/>
      <c r="K617" s="227"/>
      <c r="L617" s="224"/>
      <c r="M617" s="224"/>
      <c r="N617" s="224"/>
      <c r="O617" s="224"/>
      <c r="P617" s="224"/>
      <c r="Q617" s="224"/>
      <c r="R617" s="224"/>
      <c r="S617" s="224"/>
      <c r="T617" s="224"/>
      <c r="U617" s="224"/>
      <c r="V617" s="224"/>
      <c r="W617" s="106"/>
    </row>
    <row r="618" spans="1:23" s="101" customFormat="1" x14ac:dyDescent="0.3">
      <c r="A618" s="222"/>
      <c r="B618" s="235"/>
      <c r="C618" s="227"/>
      <c r="D618" s="344"/>
      <c r="E618" s="235"/>
      <c r="F618" s="235"/>
      <c r="G618" s="227"/>
      <c r="H618" s="227"/>
      <c r="I618" s="350"/>
      <c r="J618" s="227"/>
      <c r="K618" s="227"/>
      <c r="L618" s="224"/>
      <c r="M618" s="224"/>
      <c r="N618" s="224"/>
      <c r="O618" s="224"/>
      <c r="P618" s="224"/>
      <c r="Q618" s="224"/>
      <c r="R618" s="224"/>
      <c r="S618" s="224"/>
      <c r="T618" s="224"/>
      <c r="U618" s="224"/>
      <c r="V618" s="224"/>
      <c r="W618" s="106"/>
    </row>
    <row r="619" spans="1:23" s="101" customFormat="1" x14ac:dyDescent="0.3">
      <c r="A619" s="222"/>
      <c r="B619" s="235"/>
      <c r="C619" s="227"/>
      <c r="D619" s="344"/>
      <c r="E619" s="235"/>
      <c r="F619" s="235"/>
      <c r="G619" s="227"/>
      <c r="H619" s="227"/>
      <c r="I619" s="350"/>
      <c r="J619" s="227"/>
      <c r="K619" s="227"/>
      <c r="L619" s="224"/>
      <c r="M619" s="224"/>
      <c r="N619" s="224"/>
      <c r="O619" s="224"/>
      <c r="P619" s="224"/>
      <c r="Q619" s="224"/>
      <c r="R619" s="224"/>
      <c r="S619" s="224"/>
      <c r="T619" s="224"/>
      <c r="U619" s="224"/>
      <c r="V619" s="224"/>
      <c r="W619" s="106"/>
    </row>
    <row r="620" spans="1:23" s="101" customFormat="1" x14ac:dyDescent="0.3">
      <c r="A620" s="222"/>
      <c r="B620" s="235"/>
      <c r="C620" s="227"/>
      <c r="D620" s="344"/>
      <c r="E620" s="235"/>
      <c r="F620" s="235"/>
      <c r="G620" s="227"/>
      <c r="H620" s="227"/>
      <c r="I620" s="350"/>
      <c r="J620" s="227"/>
      <c r="K620" s="227"/>
      <c r="L620" s="224"/>
      <c r="M620" s="224"/>
      <c r="N620" s="224"/>
      <c r="O620" s="224"/>
      <c r="P620" s="224"/>
      <c r="Q620" s="224"/>
      <c r="R620" s="224"/>
      <c r="S620" s="224"/>
      <c r="T620" s="224"/>
      <c r="U620" s="224"/>
      <c r="V620" s="224"/>
      <c r="W620" s="106"/>
    </row>
    <row r="621" spans="1:23" s="101" customFormat="1" x14ac:dyDescent="0.3">
      <c r="A621" s="222"/>
      <c r="B621" s="235"/>
      <c r="C621" s="227"/>
      <c r="D621" s="344"/>
      <c r="E621" s="235"/>
      <c r="F621" s="235"/>
      <c r="G621" s="227"/>
      <c r="H621" s="227"/>
      <c r="I621" s="350"/>
      <c r="J621" s="227"/>
      <c r="K621" s="227"/>
      <c r="L621" s="224"/>
      <c r="M621" s="224"/>
      <c r="N621" s="224"/>
      <c r="O621" s="224"/>
      <c r="P621" s="224"/>
      <c r="Q621" s="224"/>
      <c r="R621" s="224"/>
      <c r="S621" s="224"/>
      <c r="T621" s="224"/>
      <c r="U621" s="224"/>
      <c r="V621" s="224"/>
      <c r="W621" s="106"/>
    </row>
    <row r="622" spans="1:23" s="101" customFormat="1" x14ac:dyDescent="0.3">
      <c r="A622" s="222"/>
      <c r="B622" s="235"/>
      <c r="C622" s="227"/>
      <c r="D622" s="344"/>
      <c r="E622" s="235"/>
      <c r="F622" s="235"/>
      <c r="G622" s="227"/>
      <c r="H622" s="227"/>
      <c r="I622" s="350"/>
      <c r="J622" s="227"/>
      <c r="K622" s="227"/>
      <c r="L622" s="224"/>
      <c r="M622" s="224"/>
      <c r="N622" s="224"/>
      <c r="O622" s="224"/>
      <c r="P622" s="224"/>
      <c r="Q622" s="224"/>
      <c r="R622" s="224"/>
      <c r="S622" s="224"/>
      <c r="T622" s="224"/>
      <c r="U622" s="224"/>
      <c r="V622" s="224"/>
      <c r="W622" s="106"/>
    </row>
    <row r="623" spans="1:23" s="101" customFormat="1" x14ac:dyDescent="0.3">
      <c r="A623" s="222"/>
      <c r="B623" s="235"/>
      <c r="C623" s="227"/>
      <c r="D623" s="344"/>
      <c r="E623" s="235"/>
      <c r="F623" s="235"/>
      <c r="G623" s="227"/>
      <c r="H623" s="227"/>
      <c r="I623" s="350"/>
      <c r="J623" s="227"/>
      <c r="K623" s="227"/>
      <c r="L623" s="224"/>
      <c r="M623" s="224"/>
      <c r="N623" s="224"/>
      <c r="O623" s="224"/>
      <c r="P623" s="224"/>
      <c r="Q623" s="224"/>
      <c r="R623" s="224"/>
      <c r="S623" s="224"/>
      <c r="T623" s="224"/>
      <c r="U623" s="224"/>
      <c r="V623" s="224"/>
      <c r="W623" s="106"/>
    </row>
    <row r="624" spans="1:23" s="101" customFormat="1" x14ac:dyDescent="0.3">
      <c r="A624" s="222"/>
      <c r="B624" s="235"/>
      <c r="C624" s="227"/>
      <c r="D624" s="344"/>
      <c r="E624" s="235"/>
      <c r="F624" s="235"/>
      <c r="G624" s="227"/>
      <c r="H624" s="227"/>
      <c r="I624" s="350"/>
      <c r="J624" s="227"/>
      <c r="K624" s="227"/>
      <c r="L624" s="224"/>
      <c r="M624" s="224"/>
      <c r="N624" s="224"/>
      <c r="O624" s="224"/>
      <c r="P624" s="224"/>
      <c r="Q624" s="224"/>
      <c r="R624" s="224"/>
      <c r="S624" s="224"/>
      <c r="T624" s="224"/>
      <c r="U624" s="224"/>
      <c r="V624" s="224"/>
      <c r="W624" s="106"/>
    </row>
    <row r="625" spans="1:23" s="101" customFormat="1" x14ac:dyDescent="0.3">
      <c r="A625" s="222"/>
      <c r="B625" s="235"/>
      <c r="C625" s="227"/>
      <c r="D625" s="344"/>
      <c r="E625" s="235"/>
      <c r="F625" s="235"/>
      <c r="G625" s="227"/>
      <c r="H625" s="227"/>
      <c r="I625" s="350"/>
      <c r="J625" s="227"/>
      <c r="K625" s="227"/>
      <c r="L625" s="224"/>
      <c r="M625" s="224"/>
      <c r="N625" s="224"/>
      <c r="O625" s="224"/>
      <c r="P625" s="224"/>
      <c r="Q625" s="224"/>
      <c r="R625" s="224"/>
      <c r="S625" s="224"/>
      <c r="T625" s="224"/>
      <c r="U625" s="224"/>
      <c r="V625" s="224"/>
      <c r="W625" s="106"/>
    </row>
    <row r="626" spans="1:23" s="101" customFormat="1" x14ac:dyDescent="0.3">
      <c r="A626" s="222"/>
      <c r="B626" s="235"/>
      <c r="C626" s="227"/>
      <c r="D626" s="344"/>
      <c r="E626" s="235"/>
      <c r="F626" s="235"/>
      <c r="G626" s="227"/>
      <c r="H626" s="227"/>
      <c r="I626" s="350"/>
      <c r="J626" s="227"/>
      <c r="K626" s="227"/>
      <c r="L626" s="224"/>
      <c r="M626" s="224"/>
      <c r="N626" s="224"/>
      <c r="O626" s="224"/>
      <c r="P626" s="224"/>
      <c r="Q626" s="224"/>
      <c r="R626" s="224"/>
      <c r="S626" s="224"/>
      <c r="T626" s="224"/>
      <c r="U626" s="224"/>
      <c r="V626" s="224"/>
      <c r="W626" s="106"/>
    </row>
    <row r="627" spans="1:23" s="101" customFormat="1" x14ac:dyDescent="0.3">
      <c r="A627" s="222"/>
      <c r="B627" s="235"/>
      <c r="C627" s="227"/>
      <c r="D627" s="344"/>
      <c r="E627" s="235"/>
      <c r="F627" s="235"/>
      <c r="G627" s="227"/>
      <c r="H627" s="227"/>
      <c r="I627" s="350"/>
      <c r="J627" s="227"/>
      <c r="K627" s="227"/>
      <c r="L627" s="224"/>
      <c r="M627" s="224"/>
      <c r="N627" s="224"/>
      <c r="O627" s="224"/>
      <c r="P627" s="224"/>
      <c r="Q627" s="224"/>
      <c r="R627" s="224"/>
      <c r="S627" s="224"/>
      <c r="T627" s="224"/>
      <c r="U627" s="224"/>
      <c r="V627" s="224"/>
      <c r="W627" s="106"/>
    </row>
    <row r="628" spans="1:23" s="101" customFormat="1" x14ac:dyDescent="0.3">
      <c r="A628" s="222"/>
      <c r="B628" s="235"/>
      <c r="C628" s="227"/>
      <c r="D628" s="344"/>
      <c r="E628" s="235"/>
      <c r="F628" s="235"/>
      <c r="G628" s="227"/>
      <c r="H628" s="227"/>
      <c r="I628" s="350"/>
      <c r="J628" s="227"/>
      <c r="K628" s="227"/>
      <c r="L628" s="224"/>
      <c r="M628" s="224"/>
      <c r="N628" s="224"/>
      <c r="O628" s="224"/>
      <c r="P628" s="224"/>
      <c r="Q628" s="224"/>
      <c r="R628" s="224"/>
      <c r="S628" s="224"/>
      <c r="T628" s="224"/>
      <c r="U628" s="224"/>
      <c r="V628" s="224"/>
      <c r="W628" s="106"/>
    </row>
    <row r="629" spans="1:23" s="101" customFormat="1" x14ac:dyDescent="0.3">
      <c r="A629" s="222"/>
      <c r="B629" s="235"/>
      <c r="C629" s="227"/>
      <c r="D629" s="344"/>
      <c r="E629" s="235"/>
      <c r="F629" s="235"/>
      <c r="G629" s="227"/>
      <c r="H629" s="227"/>
      <c r="I629" s="350"/>
      <c r="J629" s="227"/>
      <c r="K629" s="227"/>
      <c r="L629" s="224"/>
      <c r="M629" s="224"/>
      <c r="N629" s="224"/>
      <c r="O629" s="224"/>
      <c r="P629" s="224"/>
      <c r="Q629" s="224"/>
      <c r="R629" s="224"/>
      <c r="S629" s="224"/>
      <c r="T629" s="224"/>
      <c r="U629" s="224"/>
      <c r="V629" s="224"/>
      <c r="W629" s="106"/>
    </row>
    <row r="630" spans="1:23" s="101" customFormat="1" x14ac:dyDescent="0.3">
      <c r="A630" s="222"/>
      <c r="B630" s="235"/>
      <c r="C630" s="227"/>
      <c r="D630" s="344"/>
      <c r="E630" s="235"/>
      <c r="F630" s="235"/>
      <c r="G630" s="227"/>
      <c r="H630" s="227"/>
      <c r="I630" s="350"/>
      <c r="J630" s="227"/>
      <c r="K630" s="227"/>
      <c r="L630" s="224"/>
      <c r="M630" s="224"/>
      <c r="N630" s="224"/>
      <c r="O630" s="224"/>
      <c r="P630" s="224"/>
      <c r="Q630" s="224"/>
      <c r="R630" s="224"/>
      <c r="S630" s="224"/>
      <c r="T630" s="224"/>
      <c r="U630" s="224"/>
      <c r="V630" s="224"/>
      <c r="W630" s="106"/>
    </row>
    <row r="631" spans="1:23" s="101" customFormat="1" x14ac:dyDescent="0.3">
      <c r="A631" s="222"/>
      <c r="B631" s="235"/>
      <c r="C631" s="227"/>
      <c r="D631" s="344"/>
      <c r="E631" s="235"/>
      <c r="F631" s="235"/>
      <c r="G631" s="227"/>
      <c r="H631" s="227"/>
      <c r="I631" s="350"/>
      <c r="J631" s="227"/>
      <c r="K631" s="227"/>
      <c r="L631" s="224"/>
      <c r="M631" s="224"/>
      <c r="N631" s="224"/>
      <c r="O631" s="224"/>
      <c r="P631" s="224"/>
      <c r="Q631" s="224"/>
      <c r="R631" s="224"/>
      <c r="S631" s="224"/>
      <c r="T631" s="224"/>
      <c r="U631" s="224"/>
      <c r="V631" s="224"/>
      <c r="W631" s="106"/>
    </row>
    <row r="632" spans="1:23" s="101" customFormat="1" x14ac:dyDescent="0.3">
      <c r="A632" s="222"/>
      <c r="B632" s="235"/>
      <c r="C632" s="227"/>
      <c r="D632" s="344"/>
      <c r="E632" s="235"/>
      <c r="F632" s="235"/>
      <c r="G632" s="227"/>
      <c r="H632" s="227"/>
      <c r="I632" s="350"/>
      <c r="J632" s="227"/>
      <c r="K632" s="227"/>
      <c r="L632" s="224"/>
      <c r="M632" s="224"/>
      <c r="N632" s="224"/>
      <c r="O632" s="224"/>
      <c r="P632" s="224"/>
      <c r="Q632" s="224"/>
      <c r="R632" s="224"/>
      <c r="S632" s="224"/>
      <c r="T632" s="224"/>
      <c r="U632" s="224"/>
      <c r="V632" s="224"/>
      <c r="W632" s="106"/>
    </row>
    <row r="633" spans="1:23" s="101" customFormat="1" x14ac:dyDescent="0.3">
      <c r="A633" s="222"/>
      <c r="B633" s="235"/>
      <c r="C633" s="227"/>
      <c r="D633" s="344"/>
      <c r="E633" s="235"/>
      <c r="F633" s="235"/>
      <c r="G633" s="227"/>
      <c r="H633" s="227"/>
      <c r="I633" s="350"/>
      <c r="J633" s="227"/>
      <c r="K633" s="227"/>
      <c r="L633" s="224"/>
      <c r="M633" s="224"/>
      <c r="N633" s="224"/>
      <c r="O633" s="224"/>
      <c r="P633" s="224"/>
      <c r="Q633" s="224"/>
      <c r="R633" s="224"/>
      <c r="S633" s="224"/>
      <c r="T633" s="224"/>
      <c r="U633" s="224"/>
      <c r="V633" s="224"/>
      <c r="W633" s="106"/>
    </row>
    <row r="634" spans="1:23" s="101" customFormat="1" x14ac:dyDescent="0.3">
      <c r="A634" s="222"/>
      <c r="B634" s="235"/>
      <c r="C634" s="227"/>
      <c r="D634" s="344"/>
      <c r="E634" s="235"/>
      <c r="F634" s="235"/>
      <c r="G634" s="227"/>
      <c r="H634" s="227"/>
      <c r="I634" s="350"/>
      <c r="J634" s="227"/>
      <c r="K634" s="227"/>
      <c r="L634" s="224"/>
      <c r="M634" s="224"/>
      <c r="N634" s="224"/>
      <c r="O634" s="224"/>
      <c r="P634" s="224"/>
      <c r="Q634" s="224"/>
      <c r="R634" s="224"/>
      <c r="S634" s="224"/>
      <c r="T634" s="224"/>
      <c r="U634" s="224"/>
      <c r="V634" s="224"/>
      <c r="W634" s="106"/>
    </row>
    <row r="635" spans="1:23" s="101" customFormat="1" x14ac:dyDescent="0.3">
      <c r="A635" s="222"/>
      <c r="B635" s="235"/>
      <c r="C635" s="227"/>
      <c r="D635" s="344"/>
      <c r="E635" s="235"/>
      <c r="F635" s="235"/>
      <c r="G635" s="227"/>
      <c r="H635" s="227"/>
      <c r="I635" s="350"/>
      <c r="J635" s="227"/>
      <c r="K635" s="227"/>
      <c r="L635" s="224"/>
      <c r="M635" s="224"/>
      <c r="N635" s="224"/>
      <c r="O635" s="224"/>
      <c r="P635" s="224"/>
      <c r="Q635" s="224"/>
      <c r="R635" s="224"/>
      <c r="S635" s="224"/>
      <c r="T635" s="224"/>
      <c r="U635" s="224"/>
      <c r="V635" s="224"/>
      <c r="W635" s="106"/>
    </row>
    <row r="636" spans="1:23" s="101" customFormat="1" x14ac:dyDescent="0.3">
      <c r="A636" s="222"/>
      <c r="B636" s="235"/>
      <c r="C636" s="227"/>
      <c r="D636" s="344"/>
      <c r="E636" s="235"/>
      <c r="F636" s="235"/>
      <c r="G636" s="227"/>
      <c r="H636" s="227"/>
      <c r="I636" s="350"/>
      <c r="J636" s="227"/>
      <c r="K636" s="227"/>
      <c r="L636" s="224"/>
      <c r="M636" s="224"/>
      <c r="N636" s="224"/>
      <c r="O636" s="224"/>
      <c r="P636" s="224"/>
      <c r="Q636" s="224"/>
      <c r="R636" s="224"/>
      <c r="S636" s="224"/>
      <c r="T636" s="224"/>
      <c r="U636" s="224"/>
      <c r="V636" s="224"/>
      <c r="W636" s="106"/>
    </row>
    <row r="637" spans="1:23" s="101" customFormat="1" x14ac:dyDescent="0.3">
      <c r="A637" s="222"/>
      <c r="B637" s="235"/>
      <c r="C637" s="227"/>
      <c r="D637" s="344"/>
      <c r="E637" s="235"/>
      <c r="F637" s="235"/>
      <c r="G637" s="227"/>
      <c r="H637" s="227"/>
      <c r="I637" s="350"/>
      <c r="J637" s="227"/>
      <c r="K637" s="227"/>
      <c r="L637" s="224"/>
      <c r="M637" s="224"/>
      <c r="N637" s="224"/>
      <c r="O637" s="224"/>
      <c r="P637" s="224"/>
      <c r="Q637" s="224"/>
      <c r="R637" s="224"/>
      <c r="S637" s="224"/>
      <c r="T637" s="224"/>
      <c r="U637" s="224"/>
      <c r="V637" s="224"/>
      <c r="W637" s="106"/>
    </row>
    <row r="638" spans="1:23" s="101" customFormat="1" x14ac:dyDescent="0.3">
      <c r="A638" s="222"/>
      <c r="B638" s="235"/>
      <c r="C638" s="227"/>
      <c r="D638" s="344"/>
      <c r="E638" s="235"/>
      <c r="F638" s="235"/>
      <c r="G638" s="227"/>
      <c r="H638" s="227"/>
      <c r="I638" s="350"/>
      <c r="J638" s="227"/>
      <c r="K638" s="227"/>
      <c r="L638" s="224"/>
      <c r="M638" s="224"/>
      <c r="N638" s="224"/>
      <c r="O638" s="224"/>
      <c r="P638" s="224"/>
      <c r="Q638" s="224"/>
      <c r="R638" s="224"/>
      <c r="S638" s="224"/>
      <c r="T638" s="224"/>
      <c r="U638" s="224"/>
      <c r="V638" s="224"/>
      <c r="W638" s="106"/>
    </row>
    <row r="639" spans="1:23" s="101" customFormat="1" x14ac:dyDescent="0.3">
      <c r="A639" s="222"/>
      <c r="B639" s="235"/>
      <c r="C639" s="227"/>
      <c r="D639" s="344"/>
      <c r="E639" s="235"/>
      <c r="F639" s="235"/>
      <c r="G639" s="227"/>
      <c r="H639" s="227"/>
      <c r="I639" s="350"/>
      <c r="J639" s="227"/>
      <c r="K639" s="227"/>
      <c r="L639" s="224"/>
      <c r="M639" s="224"/>
      <c r="N639" s="224"/>
      <c r="O639" s="224"/>
      <c r="P639" s="224"/>
      <c r="Q639" s="224"/>
      <c r="R639" s="224"/>
      <c r="S639" s="224"/>
      <c r="T639" s="224"/>
      <c r="U639" s="224"/>
      <c r="V639" s="224"/>
      <c r="W639" s="106"/>
    </row>
    <row r="640" spans="1:23" s="101" customFormat="1" x14ac:dyDescent="0.3">
      <c r="A640" s="222"/>
      <c r="B640" s="235"/>
      <c r="C640" s="227"/>
      <c r="D640" s="344"/>
      <c r="E640" s="235"/>
      <c r="F640" s="235"/>
      <c r="G640" s="227"/>
      <c r="H640" s="227"/>
      <c r="I640" s="350"/>
      <c r="J640" s="227"/>
      <c r="K640" s="227"/>
      <c r="L640" s="224"/>
      <c r="M640" s="224"/>
      <c r="N640" s="224"/>
      <c r="O640" s="224"/>
      <c r="P640" s="224"/>
      <c r="Q640" s="224"/>
      <c r="R640" s="224"/>
      <c r="S640" s="224"/>
      <c r="T640" s="224"/>
      <c r="U640" s="224"/>
      <c r="V640" s="224"/>
      <c r="W640" s="106"/>
    </row>
    <row r="641" spans="1:23" s="101" customFormat="1" x14ac:dyDescent="0.3">
      <c r="A641" s="222"/>
      <c r="B641" s="235"/>
      <c r="C641" s="227"/>
      <c r="D641" s="344"/>
      <c r="E641" s="235"/>
      <c r="F641" s="235"/>
      <c r="G641" s="227"/>
      <c r="H641" s="227"/>
      <c r="I641" s="350"/>
      <c r="J641" s="227"/>
      <c r="K641" s="227"/>
      <c r="L641" s="224"/>
      <c r="M641" s="224"/>
      <c r="N641" s="224"/>
      <c r="O641" s="224"/>
      <c r="P641" s="224"/>
      <c r="Q641" s="224"/>
      <c r="R641" s="224"/>
      <c r="S641" s="224"/>
      <c r="T641" s="224"/>
      <c r="U641" s="224"/>
      <c r="V641" s="224"/>
      <c r="W641" s="106"/>
    </row>
    <row r="642" spans="1:23" s="101" customFormat="1" x14ac:dyDescent="0.3">
      <c r="A642" s="222"/>
      <c r="B642" s="235"/>
      <c r="C642" s="227"/>
      <c r="D642" s="344"/>
      <c r="E642" s="235"/>
      <c r="F642" s="235"/>
      <c r="G642" s="227"/>
      <c r="H642" s="227"/>
      <c r="I642" s="350"/>
      <c r="J642" s="227"/>
      <c r="K642" s="227"/>
      <c r="L642" s="224"/>
      <c r="M642" s="224"/>
      <c r="N642" s="224"/>
      <c r="O642" s="224"/>
      <c r="P642" s="224"/>
      <c r="Q642" s="224"/>
      <c r="R642" s="224"/>
      <c r="S642" s="224"/>
      <c r="T642" s="224"/>
      <c r="U642" s="224"/>
      <c r="V642" s="224"/>
      <c r="W642" s="106"/>
    </row>
    <row r="643" spans="1:23" s="101" customFormat="1" x14ac:dyDescent="0.3">
      <c r="A643" s="222"/>
      <c r="B643" s="235"/>
      <c r="C643" s="227"/>
      <c r="D643" s="344"/>
      <c r="E643" s="235"/>
      <c r="F643" s="235"/>
      <c r="G643" s="227"/>
      <c r="H643" s="227"/>
      <c r="I643" s="350"/>
      <c r="J643" s="227"/>
      <c r="K643" s="227"/>
      <c r="L643" s="224"/>
      <c r="M643" s="224"/>
      <c r="N643" s="224"/>
      <c r="O643" s="224"/>
      <c r="P643" s="224"/>
      <c r="Q643" s="224"/>
      <c r="R643" s="224"/>
      <c r="S643" s="224"/>
      <c r="T643" s="224"/>
      <c r="U643" s="224"/>
      <c r="V643" s="224"/>
      <c r="W643" s="106"/>
    </row>
    <row r="644" spans="1:23" s="101" customFormat="1" x14ac:dyDescent="0.3">
      <c r="A644" s="222"/>
      <c r="B644" s="235"/>
      <c r="C644" s="227"/>
      <c r="D644" s="344"/>
      <c r="E644" s="235"/>
      <c r="F644" s="235"/>
      <c r="G644" s="227"/>
      <c r="H644" s="227"/>
      <c r="I644" s="350"/>
      <c r="J644" s="227"/>
      <c r="K644" s="227"/>
      <c r="L644" s="224"/>
      <c r="M644" s="224"/>
      <c r="N644" s="224"/>
      <c r="O644" s="224"/>
      <c r="P644" s="224"/>
      <c r="Q644" s="224"/>
      <c r="R644" s="224"/>
      <c r="S644" s="224"/>
      <c r="T644" s="224"/>
      <c r="U644" s="224"/>
      <c r="V644" s="224"/>
      <c r="W644" s="106"/>
    </row>
    <row r="645" spans="1:23" s="101" customFormat="1" x14ac:dyDescent="0.3">
      <c r="A645" s="222"/>
      <c r="B645" s="235"/>
      <c r="C645" s="227"/>
      <c r="D645" s="344"/>
      <c r="E645" s="235"/>
      <c r="F645" s="235"/>
      <c r="G645" s="227"/>
      <c r="H645" s="227"/>
      <c r="I645" s="350"/>
      <c r="J645" s="227"/>
      <c r="K645" s="227"/>
      <c r="L645" s="224"/>
      <c r="M645" s="224"/>
      <c r="N645" s="224"/>
      <c r="O645" s="224"/>
      <c r="P645" s="224"/>
      <c r="Q645" s="224"/>
      <c r="R645" s="224"/>
      <c r="S645" s="224"/>
      <c r="T645" s="224"/>
      <c r="U645" s="224"/>
      <c r="V645" s="224"/>
      <c r="W645" s="106"/>
    </row>
    <row r="646" spans="1:23" s="101" customFormat="1" x14ac:dyDescent="0.3">
      <c r="A646" s="222"/>
      <c r="B646" s="235"/>
      <c r="C646" s="227"/>
      <c r="D646" s="344"/>
      <c r="E646" s="235"/>
      <c r="F646" s="235"/>
      <c r="G646" s="227"/>
      <c r="H646" s="227"/>
      <c r="I646" s="350"/>
      <c r="J646" s="227"/>
      <c r="K646" s="227"/>
      <c r="L646" s="224"/>
      <c r="M646" s="224"/>
      <c r="N646" s="224"/>
      <c r="O646" s="224"/>
      <c r="P646" s="224"/>
      <c r="Q646" s="224"/>
      <c r="R646" s="224"/>
      <c r="S646" s="224"/>
      <c r="T646" s="224"/>
      <c r="U646" s="224"/>
      <c r="V646" s="224"/>
      <c r="W646" s="106"/>
    </row>
    <row r="647" spans="1:23" s="101" customFormat="1" x14ac:dyDescent="0.3">
      <c r="A647" s="222"/>
      <c r="B647" s="235"/>
      <c r="C647" s="227"/>
      <c r="D647" s="344"/>
      <c r="E647" s="235"/>
      <c r="F647" s="235"/>
      <c r="G647" s="227"/>
      <c r="H647" s="227"/>
      <c r="I647" s="350"/>
      <c r="J647" s="227"/>
      <c r="K647" s="227"/>
      <c r="L647" s="224"/>
      <c r="M647" s="224"/>
      <c r="N647" s="224"/>
      <c r="O647" s="224"/>
      <c r="P647" s="224"/>
      <c r="Q647" s="224"/>
      <c r="R647" s="224"/>
      <c r="S647" s="224"/>
      <c r="T647" s="224"/>
      <c r="U647" s="224"/>
      <c r="V647" s="224"/>
      <c r="W647" s="106"/>
    </row>
    <row r="648" spans="1:23" s="101" customFormat="1" x14ac:dyDescent="0.3">
      <c r="A648" s="222"/>
      <c r="B648" s="235"/>
      <c r="C648" s="227"/>
      <c r="D648" s="344"/>
      <c r="E648" s="235"/>
      <c r="F648" s="235"/>
      <c r="G648" s="227"/>
      <c r="H648" s="227"/>
      <c r="I648" s="350"/>
      <c r="J648" s="227"/>
      <c r="K648" s="227"/>
      <c r="L648" s="224"/>
      <c r="M648" s="224"/>
      <c r="N648" s="224"/>
      <c r="O648" s="224"/>
      <c r="P648" s="224"/>
      <c r="Q648" s="224"/>
      <c r="R648" s="224"/>
      <c r="S648" s="224"/>
      <c r="T648" s="224"/>
      <c r="U648" s="224"/>
      <c r="V648" s="224"/>
      <c r="W648" s="106"/>
    </row>
    <row r="649" spans="1:23" s="101" customFormat="1" x14ac:dyDescent="0.3">
      <c r="A649" s="222"/>
      <c r="B649" s="235"/>
      <c r="C649" s="227"/>
      <c r="D649" s="344"/>
      <c r="E649" s="235"/>
      <c r="F649" s="235"/>
      <c r="G649" s="227"/>
      <c r="H649" s="227"/>
      <c r="I649" s="350"/>
      <c r="J649" s="227"/>
      <c r="K649" s="227"/>
      <c r="L649" s="224"/>
      <c r="M649" s="224"/>
      <c r="N649" s="224"/>
      <c r="O649" s="224"/>
      <c r="P649" s="224"/>
      <c r="Q649" s="224"/>
      <c r="R649" s="224"/>
      <c r="S649" s="224"/>
      <c r="T649" s="224"/>
      <c r="U649" s="224"/>
      <c r="V649" s="224"/>
      <c r="W649" s="106"/>
    </row>
    <row r="650" spans="1:23" s="101" customFormat="1" x14ac:dyDescent="0.3">
      <c r="A650" s="222"/>
      <c r="B650" s="235"/>
      <c r="C650" s="227"/>
      <c r="D650" s="344"/>
      <c r="E650" s="235"/>
      <c r="F650" s="235"/>
      <c r="G650" s="227"/>
      <c r="H650" s="227"/>
      <c r="I650" s="350"/>
      <c r="J650" s="227"/>
      <c r="K650" s="227"/>
      <c r="L650" s="224"/>
      <c r="M650" s="224"/>
      <c r="N650" s="224"/>
      <c r="O650" s="224"/>
      <c r="P650" s="224"/>
      <c r="Q650" s="224"/>
      <c r="R650" s="224"/>
      <c r="S650" s="224"/>
      <c r="T650" s="224"/>
      <c r="U650" s="224"/>
      <c r="V650" s="224"/>
      <c r="W650" s="106"/>
    </row>
    <row r="651" spans="1:23" s="101" customFormat="1" x14ac:dyDescent="0.3">
      <c r="A651" s="222"/>
      <c r="B651" s="235"/>
      <c r="C651" s="227"/>
      <c r="D651" s="344"/>
      <c r="E651" s="235"/>
      <c r="F651" s="235"/>
      <c r="G651" s="227"/>
      <c r="H651" s="227"/>
      <c r="I651" s="350"/>
      <c r="J651" s="227"/>
      <c r="K651" s="227"/>
      <c r="L651" s="224"/>
      <c r="M651" s="224"/>
      <c r="N651" s="224"/>
      <c r="O651" s="224"/>
      <c r="P651" s="224"/>
      <c r="Q651" s="224"/>
      <c r="R651" s="224"/>
      <c r="S651" s="224"/>
      <c r="T651" s="224"/>
      <c r="U651" s="224"/>
      <c r="V651" s="224"/>
      <c r="W651" s="106"/>
    </row>
    <row r="652" spans="1:23" s="101" customFormat="1" x14ac:dyDescent="0.3">
      <c r="A652" s="222"/>
      <c r="B652" s="235"/>
      <c r="C652" s="227"/>
      <c r="D652" s="344"/>
      <c r="E652" s="235"/>
      <c r="F652" s="235"/>
      <c r="G652" s="227"/>
      <c r="H652" s="227"/>
      <c r="I652" s="350"/>
      <c r="J652" s="227"/>
      <c r="K652" s="227"/>
      <c r="L652" s="224"/>
      <c r="M652" s="224"/>
      <c r="N652" s="224"/>
      <c r="O652" s="224"/>
      <c r="P652" s="224"/>
      <c r="Q652" s="224"/>
      <c r="R652" s="224"/>
      <c r="S652" s="224"/>
      <c r="T652" s="224"/>
      <c r="U652" s="224"/>
      <c r="V652" s="224"/>
      <c r="W652" s="106"/>
    </row>
    <row r="653" spans="1:23" s="101" customFormat="1" x14ac:dyDescent="0.3">
      <c r="A653" s="222"/>
      <c r="B653" s="235"/>
      <c r="C653" s="227"/>
      <c r="D653" s="344"/>
      <c r="E653" s="235"/>
      <c r="F653" s="235"/>
      <c r="G653" s="227"/>
      <c r="H653" s="227"/>
      <c r="I653" s="350"/>
      <c r="J653" s="227"/>
      <c r="K653" s="227"/>
      <c r="L653" s="224"/>
      <c r="M653" s="224"/>
      <c r="N653" s="224"/>
      <c r="O653" s="224"/>
      <c r="P653" s="224"/>
      <c r="Q653" s="224"/>
      <c r="R653" s="224"/>
      <c r="S653" s="224"/>
      <c r="T653" s="224"/>
      <c r="U653" s="224"/>
      <c r="V653" s="224"/>
      <c r="W653" s="106"/>
    </row>
    <row r="654" spans="1:23" s="101" customFormat="1" x14ac:dyDescent="0.3">
      <c r="A654" s="222"/>
      <c r="B654" s="235"/>
      <c r="C654" s="227"/>
      <c r="D654" s="344"/>
      <c r="E654" s="235"/>
      <c r="F654" s="235"/>
      <c r="G654" s="227"/>
      <c r="H654" s="227"/>
      <c r="I654" s="350"/>
      <c r="J654" s="227"/>
      <c r="K654" s="227"/>
      <c r="L654" s="224"/>
      <c r="M654" s="224"/>
      <c r="N654" s="224"/>
      <c r="O654" s="224"/>
      <c r="P654" s="224"/>
      <c r="Q654" s="224"/>
      <c r="R654" s="224"/>
      <c r="S654" s="224"/>
      <c r="T654" s="224"/>
      <c r="U654" s="224"/>
      <c r="V654" s="224"/>
      <c r="W654" s="106"/>
    </row>
    <row r="655" spans="1:23" s="101" customFormat="1" x14ac:dyDescent="0.3">
      <c r="A655" s="222"/>
      <c r="B655" s="235"/>
      <c r="C655" s="227"/>
      <c r="D655" s="344"/>
      <c r="E655" s="235"/>
      <c r="F655" s="235"/>
      <c r="G655" s="227"/>
      <c r="H655" s="227"/>
      <c r="I655" s="350"/>
      <c r="J655" s="227"/>
      <c r="K655" s="227"/>
      <c r="L655" s="224"/>
      <c r="M655" s="224"/>
      <c r="N655" s="224"/>
      <c r="O655" s="224"/>
      <c r="P655" s="224"/>
      <c r="Q655" s="224"/>
      <c r="R655" s="224"/>
      <c r="S655" s="224"/>
      <c r="T655" s="224"/>
      <c r="U655" s="224"/>
      <c r="V655" s="224"/>
      <c r="W655" s="106"/>
    </row>
    <row r="656" spans="1:23" s="101" customFormat="1" x14ac:dyDescent="0.3">
      <c r="A656" s="222"/>
      <c r="B656" s="235"/>
      <c r="C656" s="227"/>
      <c r="D656" s="344"/>
      <c r="E656" s="235"/>
      <c r="F656" s="235"/>
      <c r="G656" s="227"/>
      <c r="H656" s="227"/>
      <c r="I656" s="350"/>
      <c r="J656" s="227"/>
      <c r="K656" s="227"/>
      <c r="L656" s="224"/>
      <c r="M656" s="224"/>
      <c r="N656" s="224"/>
      <c r="O656" s="224"/>
      <c r="P656" s="224"/>
      <c r="Q656" s="224"/>
      <c r="R656" s="224"/>
      <c r="S656" s="224"/>
      <c r="T656" s="224"/>
      <c r="U656" s="224"/>
      <c r="V656" s="224"/>
      <c r="W656" s="106"/>
    </row>
    <row r="657" spans="1:23" s="101" customFormat="1" x14ac:dyDescent="0.3">
      <c r="A657" s="222"/>
      <c r="B657" s="235"/>
      <c r="C657" s="227"/>
      <c r="D657" s="344"/>
      <c r="E657" s="235"/>
      <c r="F657" s="235"/>
      <c r="G657" s="227"/>
      <c r="H657" s="227"/>
      <c r="I657" s="350"/>
      <c r="J657" s="227"/>
      <c r="K657" s="227"/>
      <c r="L657" s="224"/>
      <c r="M657" s="224"/>
      <c r="N657" s="224"/>
      <c r="O657" s="224"/>
      <c r="P657" s="224"/>
      <c r="Q657" s="224"/>
      <c r="R657" s="224"/>
      <c r="S657" s="224"/>
      <c r="T657" s="224"/>
      <c r="U657" s="224"/>
      <c r="V657" s="224"/>
      <c r="W657" s="106"/>
    </row>
    <row r="658" spans="1:23" s="101" customFormat="1" x14ac:dyDescent="0.3">
      <c r="A658" s="222"/>
      <c r="B658" s="235"/>
      <c r="C658" s="227"/>
      <c r="D658" s="344"/>
      <c r="E658" s="235"/>
      <c r="F658" s="235"/>
      <c r="G658" s="227"/>
      <c r="H658" s="227"/>
      <c r="I658" s="350"/>
      <c r="J658" s="227"/>
      <c r="K658" s="227"/>
      <c r="L658" s="224"/>
      <c r="M658" s="224"/>
      <c r="N658" s="224"/>
      <c r="O658" s="224"/>
      <c r="P658" s="224"/>
      <c r="Q658" s="224"/>
      <c r="R658" s="224"/>
      <c r="S658" s="224"/>
      <c r="T658" s="224"/>
      <c r="U658" s="224"/>
      <c r="V658" s="224"/>
      <c r="W658" s="106"/>
    </row>
    <row r="659" spans="1:23" s="101" customFormat="1" x14ac:dyDescent="0.3">
      <c r="A659" s="222"/>
      <c r="B659" s="235"/>
      <c r="C659" s="227"/>
      <c r="D659" s="344"/>
      <c r="E659" s="235"/>
      <c r="F659" s="235"/>
      <c r="G659" s="227"/>
      <c r="H659" s="227"/>
      <c r="I659" s="350"/>
      <c r="J659" s="227"/>
      <c r="K659" s="227"/>
      <c r="L659" s="224"/>
      <c r="M659" s="224"/>
      <c r="N659" s="224"/>
      <c r="O659" s="224"/>
      <c r="P659" s="224"/>
      <c r="Q659" s="224"/>
      <c r="R659" s="224"/>
      <c r="S659" s="224"/>
      <c r="T659" s="224"/>
      <c r="U659" s="224"/>
      <c r="V659" s="224"/>
      <c r="W659" s="106"/>
    </row>
    <row r="660" spans="1:23" s="101" customFormat="1" x14ac:dyDescent="0.3">
      <c r="A660" s="222"/>
      <c r="B660" s="235"/>
      <c r="C660" s="227"/>
      <c r="D660" s="344"/>
      <c r="E660" s="235"/>
      <c r="F660" s="235"/>
      <c r="G660" s="227"/>
      <c r="H660" s="227"/>
      <c r="I660" s="350"/>
      <c r="J660" s="227"/>
      <c r="K660" s="227"/>
      <c r="L660" s="224"/>
      <c r="M660" s="224"/>
      <c r="N660" s="224"/>
      <c r="O660" s="224"/>
      <c r="P660" s="224"/>
      <c r="Q660" s="224"/>
      <c r="R660" s="224"/>
      <c r="S660" s="224"/>
      <c r="T660" s="224"/>
      <c r="U660" s="224"/>
      <c r="V660" s="224"/>
      <c r="W660" s="106"/>
    </row>
    <row r="661" spans="1:23" s="101" customFormat="1" x14ac:dyDescent="0.3">
      <c r="A661" s="222"/>
      <c r="B661" s="235"/>
      <c r="C661" s="227"/>
      <c r="D661" s="344"/>
      <c r="E661" s="235"/>
      <c r="F661" s="235"/>
      <c r="G661" s="227"/>
      <c r="H661" s="227"/>
      <c r="I661" s="350"/>
      <c r="J661" s="227"/>
      <c r="K661" s="227"/>
      <c r="L661" s="224"/>
      <c r="M661" s="224"/>
      <c r="N661" s="224"/>
      <c r="O661" s="224"/>
      <c r="P661" s="224"/>
      <c r="Q661" s="224"/>
      <c r="R661" s="224"/>
      <c r="S661" s="224"/>
      <c r="T661" s="224"/>
      <c r="U661" s="224"/>
      <c r="V661" s="224"/>
      <c r="W661" s="106"/>
    </row>
    <row r="662" spans="1:23" s="101" customFormat="1" x14ac:dyDescent="0.3">
      <c r="A662" s="222"/>
      <c r="B662" s="235"/>
      <c r="C662" s="227"/>
      <c r="D662" s="344"/>
      <c r="E662" s="235"/>
      <c r="F662" s="235"/>
      <c r="G662" s="227"/>
      <c r="H662" s="227"/>
      <c r="I662" s="350"/>
      <c r="J662" s="227"/>
      <c r="K662" s="227"/>
      <c r="L662" s="224"/>
      <c r="M662" s="224"/>
      <c r="N662" s="224"/>
      <c r="O662" s="224"/>
      <c r="P662" s="224"/>
      <c r="Q662" s="224"/>
      <c r="R662" s="224"/>
      <c r="S662" s="224"/>
      <c r="T662" s="224"/>
      <c r="U662" s="224"/>
      <c r="V662" s="224"/>
      <c r="W662" s="106"/>
    </row>
    <row r="663" spans="1:23" s="101" customFormat="1" x14ac:dyDescent="0.3">
      <c r="A663" s="222"/>
      <c r="B663" s="235"/>
      <c r="C663" s="227"/>
      <c r="D663" s="344"/>
      <c r="E663" s="235"/>
      <c r="F663" s="235"/>
      <c r="G663" s="227"/>
      <c r="H663" s="227"/>
      <c r="I663" s="350"/>
      <c r="J663" s="227"/>
      <c r="K663" s="227"/>
      <c r="L663" s="224"/>
      <c r="M663" s="224"/>
      <c r="N663" s="224"/>
      <c r="O663" s="224"/>
      <c r="P663" s="224"/>
      <c r="Q663" s="224"/>
      <c r="R663" s="224"/>
      <c r="S663" s="224"/>
      <c r="T663" s="224"/>
      <c r="U663" s="224"/>
      <c r="V663" s="224"/>
      <c r="W663" s="106"/>
    </row>
    <row r="664" spans="1:23" s="101" customFormat="1" x14ac:dyDescent="0.3">
      <c r="A664" s="222"/>
      <c r="B664" s="235"/>
      <c r="C664" s="227"/>
      <c r="D664" s="344"/>
      <c r="E664" s="235"/>
      <c r="F664" s="235"/>
      <c r="G664" s="227"/>
      <c r="H664" s="227"/>
      <c r="I664" s="350"/>
      <c r="J664" s="227"/>
      <c r="K664" s="227"/>
      <c r="L664" s="224"/>
      <c r="M664" s="224"/>
      <c r="N664" s="224"/>
      <c r="O664" s="224"/>
      <c r="P664" s="224"/>
      <c r="Q664" s="224"/>
      <c r="R664" s="224"/>
      <c r="S664" s="224"/>
      <c r="T664" s="224"/>
      <c r="U664" s="224"/>
      <c r="V664" s="224"/>
      <c r="W664" s="106"/>
    </row>
    <row r="665" spans="1:23" s="101" customFormat="1" x14ac:dyDescent="0.3">
      <c r="A665" s="222"/>
      <c r="B665" s="235"/>
      <c r="C665" s="227"/>
      <c r="D665" s="344"/>
      <c r="E665" s="235"/>
      <c r="F665" s="235"/>
      <c r="G665" s="227"/>
      <c r="H665" s="227"/>
      <c r="I665" s="350"/>
      <c r="J665" s="227"/>
      <c r="K665" s="227"/>
      <c r="L665" s="224"/>
      <c r="M665" s="224"/>
      <c r="N665" s="224"/>
      <c r="O665" s="224"/>
      <c r="P665" s="224"/>
      <c r="Q665" s="224"/>
      <c r="R665" s="224"/>
      <c r="S665" s="224"/>
      <c r="T665" s="224"/>
      <c r="U665" s="224"/>
      <c r="V665" s="224"/>
      <c r="W665" s="106"/>
    </row>
    <row r="666" spans="1:23" s="101" customFormat="1" x14ac:dyDescent="0.3">
      <c r="A666" s="222"/>
      <c r="B666" s="235"/>
      <c r="C666" s="227"/>
      <c r="D666" s="344"/>
      <c r="E666" s="235"/>
      <c r="F666" s="235"/>
      <c r="G666" s="227"/>
      <c r="H666" s="227"/>
      <c r="I666" s="350"/>
      <c r="J666" s="227"/>
      <c r="K666" s="227"/>
      <c r="L666" s="224"/>
      <c r="M666" s="224"/>
      <c r="N666" s="224"/>
      <c r="O666" s="224"/>
      <c r="P666" s="224"/>
      <c r="Q666" s="224"/>
      <c r="R666" s="224"/>
      <c r="S666" s="224"/>
      <c r="T666" s="224"/>
      <c r="U666" s="224"/>
      <c r="V666" s="224"/>
      <c r="W666" s="106"/>
    </row>
    <row r="667" spans="1:23" s="101" customFormat="1" x14ac:dyDescent="0.3">
      <c r="A667" s="222"/>
      <c r="B667" s="235"/>
      <c r="C667" s="227"/>
      <c r="D667" s="344"/>
      <c r="E667" s="235"/>
      <c r="F667" s="235"/>
      <c r="G667" s="227"/>
      <c r="H667" s="227"/>
      <c r="I667" s="350"/>
      <c r="J667" s="227"/>
      <c r="K667" s="227"/>
      <c r="L667" s="224"/>
      <c r="M667" s="224"/>
      <c r="N667" s="224"/>
      <c r="O667" s="224"/>
      <c r="P667" s="224"/>
      <c r="Q667" s="224"/>
      <c r="R667" s="224"/>
      <c r="S667" s="224"/>
      <c r="T667" s="224"/>
      <c r="U667" s="224"/>
      <c r="V667" s="224"/>
      <c r="W667" s="106"/>
    </row>
    <row r="668" spans="1:23" s="101" customFormat="1" x14ac:dyDescent="0.3">
      <c r="A668" s="222"/>
      <c r="B668" s="235"/>
      <c r="C668" s="227"/>
      <c r="D668" s="344"/>
      <c r="E668" s="235"/>
      <c r="F668" s="235"/>
      <c r="G668" s="227"/>
      <c r="H668" s="227"/>
      <c r="I668" s="350"/>
      <c r="J668" s="227"/>
      <c r="K668" s="227"/>
      <c r="L668" s="224"/>
      <c r="M668" s="224"/>
      <c r="N668" s="224"/>
      <c r="O668" s="224"/>
      <c r="P668" s="224"/>
      <c r="Q668" s="224"/>
      <c r="R668" s="224"/>
      <c r="S668" s="224"/>
      <c r="T668" s="224"/>
      <c r="U668" s="224"/>
      <c r="V668" s="224"/>
      <c r="W668" s="106"/>
    </row>
    <row r="669" spans="1:23" s="101" customFormat="1" x14ac:dyDescent="0.3">
      <c r="A669" s="222"/>
      <c r="B669" s="235"/>
      <c r="C669" s="227"/>
      <c r="D669" s="344"/>
      <c r="E669" s="235"/>
      <c r="F669" s="235"/>
      <c r="G669" s="227"/>
      <c r="H669" s="227"/>
      <c r="I669" s="350"/>
      <c r="J669" s="227"/>
      <c r="K669" s="227"/>
      <c r="L669" s="224"/>
      <c r="M669" s="224"/>
      <c r="N669" s="224"/>
      <c r="O669" s="224"/>
      <c r="P669" s="224"/>
      <c r="Q669" s="224"/>
      <c r="R669" s="224"/>
      <c r="S669" s="224"/>
      <c r="T669" s="224"/>
      <c r="U669" s="224"/>
      <c r="V669" s="224"/>
      <c r="W669" s="106"/>
    </row>
    <row r="670" spans="1:23" s="101" customFormat="1" x14ac:dyDescent="0.3">
      <c r="A670" s="222"/>
      <c r="B670" s="235"/>
      <c r="C670" s="227"/>
      <c r="D670" s="344"/>
      <c r="E670" s="235"/>
      <c r="F670" s="235"/>
      <c r="G670" s="227"/>
      <c r="H670" s="227"/>
      <c r="I670" s="350"/>
      <c r="J670" s="227"/>
      <c r="K670" s="227"/>
      <c r="L670" s="224"/>
      <c r="M670" s="224"/>
      <c r="N670" s="224"/>
      <c r="O670" s="224"/>
      <c r="P670" s="224"/>
      <c r="Q670" s="224"/>
      <c r="R670" s="224"/>
      <c r="S670" s="224"/>
      <c r="T670" s="224"/>
      <c r="U670" s="224"/>
      <c r="V670" s="224"/>
      <c r="W670" s="106"/>
    </row>
    <row r="671" spans="1:23" s="101" customFormat="1" x14ac:dyDescent="0.3">
      <c r="A671" s="222"/>
      <c r="B671" s="235"/>
      <c r="C671" s="227"/>
      <c r="D671" s="344"/>
      <c r="E671" s="235"/>
      <c r="F671" s="235"/>
      <c r="G671" s="227"/>
      <c r="H671" s="227"/>
      <c r="I671" s="350"/>
      <c r="J671" s="227"/>
      <c r="K671" s="227"/>
      <c r="L671" s="224"/>
      <c r="M671" s="224"/>
      <c r="N671" s="224"/>
      <c r="O671" s="224"/>
      <c r="P671" s="224"/>
      <c r="Q671" s="224"/>
      <c r="R671" s="224"/>
      <c r="S671" s="224"/>
      <c r="T671" s="224"/>
      <c r="U671" s="224"/>
      <c r="V671" s="224"/>
      <c r="W671" s="106"/>
    </row>
    <row r="672" spans="1:23" s="101" customFormat="1" x14ac:dyDescent="0.3">
      <c r="A672" s="222"/>
      <c r="B672" s="235"/>
      <c r="C672" s="227"/>
      <c r="D672" s="344"/>
      <c r="E672" s="235"/>
      <c r="F672" s="235"/>
      <c r="G672" s="227"/>
      <c r="H672" s="227"/>
      <c r="I672" s="350"/>
      <c r="J672" s="227"/>
      <c r="K672" s="227"/>
      <c r="L672" s="224"/>
      <c r="M672" s="224"/>
      <c r="N672" s="224"/>
      <c r="O672" s="224"/>
      <c r="P672" s="224"/>
      <c r="Q672" s="224"/>
      <c r="R672" s="224"/>
      <c r="S672" s="224"/>
      <c r="T672" s="224"/>
      <c r="U672" s="224"/>
      <c r="V672" s="224"/>
      <c r="W672" s="106"/>
    </row>
    <row r="673" spans="1:23" s="101" customFormat="1" x14ac:dyDescent="0.3">
      <c r="A673" s="222"/>
      <c r="B673" s="235"/>
      <c r="C673" s="227"/>
      <c r="D673" s="344"/>
      <c r="E673" s="235"/>
      <c r="F673" s="235"/>
      <c r="G673" s="227"/>
      <c r="H673" s="227"/>
      <c r="I673" s="350"/>
      <c r="J673" s="227"/>
      <c r="K673" s="227"/>
      <c r="L673" s="224"/>
      <c r="M673" s="224"/>
      <c r="N673" s="224"/>
      <c r="O673" s="224"/>
      <c r="P673" s="224"/>
      <c r="Q673" s="224"/>
      <c r="R673" s="224"/>
      <c r="S673" s="224"/>
      <c r="T673" s="224"/>
      <c r="U673" s="224"/>
      <c r="V673" s="224"/>
      <c r="W673" s="106"/>
    </row>
    <row r="674" spans="1:23" s="101" customFormat="1" x14ac:dyDescent="0.3">
      <c r="A674" s="222"/>
      <c r="B674" s="235"/>
      <c r="C674" s="227"/>
      <c r="D674" s="344"/>
      <c r="E674" s="235"/>
      <c r="F674" s="235"/>
      <c r="G674" s="227"/>
      <c r="H674" s="227"/>
      <c r="I674" s="350"/>
      <c r="J674" s="227"/>
      <c r="K674" s="227"/>
      <c r="L674" s="224"/>
      <c r="M674" s="224"/>
      <c r="N674" s="224"/>
      <c r="O674" s="224"/>
      <c r="P674" s="224"/>
      <c r="Q674" s="224"/>
      <c r="R674" s="224"/>
      <c r="S674" s="224"/>
      <c r="T674" s="224"/>
      <c r="U674" s="224"/>
      <c r="V674" s="224"/>
      <c r="W674" s="106"/>
    </row>
    <row r="675" spans="1:23" s="101" customFormat="1" x14ac:dyDescent="0.3">
      <c r="A675" s="222"/>
      <c r="B675" s="235"/>
      <c r="C675" s="227"/>
      <c r="D675" s="344"/>
      <c r="E675" s="235"/>
      <c r="F675" s="235"/>
      <c r="G675" s="227"/>
      <c r="H675" s="227"/>
      <c r="I675" s="350"/>
      <c r="J675" s="227"/>
      <c r="K675" s="227"/>
      <c r="L675" s="224"/>
      <c r="M675" s="224"/>
      <c r="N675" s="224"/>
      <c r="O675" s="224"/>
      <c r="P675" s="224"/>
      <c r="Q675" s="224"/>
      <c r="R675" s="224"/>
      <c r="S675" s="224"/>
      <c r="T675" s="224"/>
      <c r="U675" s="224"/>
      <c r="V675" s="224"/>
      <c r="W675" s="106"/>
    </row>
    <row r="676" spans="1:23" s="101" customFormat="1" x14ac:dyDescent="0.3">
      <c r="A676" s="222"/>
      <c r="B676" s="235"/>
      <c r="C676" s="227"/>
      <c r="D676" s="344"/>
      <c r="E676" s="235"/>
      <c r="F676" s="235"/>
      <c r="G676" s="227"/>
      <c r="H676" s="227"/>
      <c r="I676" s="350"/>
      <c r="J676" s="227"/>
      <c r="K676" s="227"/>
      <c r="L676" s="224"/>
      <c r="M676" s="224"/>
      <c r="N676" s="224"/>
      <c r="O676" s="224"/>
      <c r="P676" s="224"/>
      <c r="Q676" s="224"/>
      <c r="R676" s="224"/>
      <c r="S676" s="224"/>
      <c r="T676" s="224"/>
      <c r="U676" s="224"/>
      <c r="V676" s="224"/>
      <c r="W676" s="106"/>
    </row>
    <row r="677" spans="1:23" s="101" customFormat="1" x14ac:dyDescent="0.3">
      <c r="A677" s="222"/>
      <c r="B677" s="235"/>
      <c r="C677" s="227"/>
      <c r="D677" s="344"/>
      <c r="E677" s="235"/>
      <c r="F677" s="235"/>
      <c r="G677" s="227"/>
      <c r="H677" s="227"/>
      <c r="I677" s="350"/>
      <c r="J677" s="227"/>
      <c r="K677" s="227"/>
      <c r="L677" s="224"/>
      <c r="M677" s="224"/>
      <c r="N677" s="224"/>
      <c r="O677" s="224"/>
      <c r="P677" s="224"/>
      <c r="Q677" s="224"/>
      <c r="R677" s="224"/>
      <c r="S677" s="224"/>
      <c r="T677" s="224"/>
      <c r="U677" s="224"/>
      <c r="V677" s="224"/>
      <c r="W677" s="106"/>
    </row>
    <row r="678" spans="1:23" s="101" customFormat="1" x14ac:dyDescent="0.3">
      <c r="A678" s="222"/>
      <c r="B678" s="235"/>
      <c r="C678" s="227"/>
      <c r="D678" s="344"/>
      <c r="E678" s="235"/>
      <c r="F678" s="235"/>
      <c r="G678" s="227"/>
      <c r="H678" s="227"/>
      <c r="I678" s="350"/>
      <c r="J678" s="227"/>
      <c r="K678" s="227"/>
      <c r="L678" s="224"/>
      <c r="M678" s="224"/>
      <c r="N678" s="224"/>
      <c r="O678" s="224"/>
      <c r="P678" s="224"/>
      <c r="Q678" s="224"/>
      <c r="R678" s="224"/>
      <c r="S678" s="224"/>
      <c r="T678" s="224"/>
      <c r="U678" s="224"/>
      <c r="V678" s="224"/>
      <c r="W678" s="106"/>
    </row>
    <row r="679" spans="1:23" s="101" customFormat="1" x14ac:dyDescent="0.3">
      <c r="A679" s="222"/>
      <c r="B679" s="235"/>
      <c r="C679" s="227"/>
      <c r="D679" s="344"/>
      <c r="E679" s="235"/>
      <c r="F679" s="235"/>
      <c r="G679" s="227"/>
      <c r="H679" s="227"/>
      <c r="I679" s="350"/>
      <c r="J679" s="227"/>
      <c r="K679" s="227"/>
      <c r="L679" s="224"/>
      <c r="M679" s="224"/>
      <c r="N679" s="224"/>
      <c r="O679" s="224"/>
      <c r="P679" s="224"/>
      <c r="Q679" s="224"/>
      <c r="R679" s="224"/>
      <c r="S679" s="224"/>
      <c r="T679" s="224"/>
      <c r="U679" s="224"/>
      <c r="V679" s="224"/>
      <c r="W679" s="106"/>
    </row>
    <row r="680" spans="1:23" s="101" customFormat="1" x14ac:dyDescent="0.3">
      <c r="A680" s="222"/>
      <c r="B680" s="235"/>
      <c r="C680" s="227"/>
      <c r="D680" s="344"/>
      <c r="E680" s="235"/>
      <c r="F680" s="235"/>
      <c r="G680" s="227"/>
      <c r="H680" s="227"/>
      <c r="I680" s="350"/>
      <c r="J680" s="227"/>
      <c r="K680" s="227"/>
      <c r="L680" s="224"/>
      <c r="M680" s="224"/>
      <c r="N680" s="224"/>
      <c r="O680" s="224"/>
      <c r="P680" s="224"/>
      <c r="Q680" s="224"/>
      <c r="R680" s="224"/>
      <c r="S680" s="224"/>
      <c r="T680" s="224"/>
      <c r="U680" s="224"/>
      <c r="V680" s="224"/>
      <c r="W680" s="106"/>
    </row>
    <row r="681" spans="1:23" s="101" customFormat="1" x14ac:dyDescent="0.3">
      <c r="A681" s="222"/>
      <c r="B681" s="235"/>
      <c r="C681" s="227"/>
      <c r="D681" s="344"/>
      <c r="E681" s="235"/>
      <c r="F681" s="235"/>
      <c r="G681" s="227"/>
      <c r="H681" s="227"/>
      <c r="I681" s="350"/>
      <c r="J681" s="227"/>
      <c r="K681" s="227"/>
      <c r="L681" s="224"/>
      <c r="M681" s="224"/>
      <c r="N681" s="224"/>
      <c r="O681" s="224"/>
      <c r="P681" s="224"/>
      <c r="Q681" s="224"/>
      <c r="R681" s="224"/>
      <c r="S681" s="224"/>
      <c r="T681" s="224"/>
      <c r="U681" s="224"/>
      <c r="V681" s="224"/>
      <c r="W681" s="106"/>
    </row>
    <row r="682" spans="1:23" s="101" customFormat="1" x14ac:dyDescent="0.3">
      <c r="A682" s="222"/>
      <c r="B682" s="235"/>
      <c r="C682" s="227"/>
      <c r="D682" s="344"/>
      <c r="E682" s="235"/>
      <c r="F682" s="235"/>
      <c r="G682" s="227"/>
      <c r="H682" s="227"/>
      <c r="I682" s="350"/>
      <c r="J682" s="227"/>
      <c r="K682" s="227"/>
      <c r="L682" s="224"/>
      <c r="M682" s="224"/>
      <c r="N682" s="224"/>
      <c r="O682" s="224"/>
      <c r="P682" s="224"/>
      <c r="Q682" s="224"/>
      <c r="R682" s="224"/>
      <c r="S682" s="224"/>
      <c r="T682" s="224"/>
      <c r="U682" s="224"/>
      <c r="V682" s="224"/>
      <c r="W682" s="106"/>
    </row>
    <row r="683" spans="1:23" s="101" customFormat="1" x14ac:dyDescent="0.3">
      <c r="A683" s="222"/>
      <c r="B683" s="235"/>
      <c r="C683" s="227"/>
      <c r="D683" s="344"/>
      <c r="E683" s="235"/>
      <c r="F683" s="235"/>
      <c r="G683" s="227"/>
      <c r="H683" s="227"/>
      <c r="I683" s="350"/>
      <c r="J683" s="227"/>
      <c r="K683" s="227"/>
      <c r="L683" s="224"/>
      <c r="M683" s="224"/>
      <c r="N683" s="224"/>
      <c r="O683" s="224"/>
      <c r="P683" s="224"/>
      <c r="Q683" s="224"/>
      <c r="R683" s="224"/>
      <c r="S683" s="224"/>
      <c r="T683" s="224"/>
      <c r="U683" s="224"/>
      <c r="V683" s="224"/>
      <c r="W683" s="106"/>
    </row>
    <row r="684" spans="1:23" s="101" customFormat="1" x14ac:dyDescent="0.3">
      <c r="A684" s="222"/>
      <c r="B684" s="235"/>
      <c r="C684" s="227"/>
      <c r="D684" s="344"/>
      <c r="E684" s="235"/>
      <c r="F684" s="235"/>
      <c r="G684" s="227"/>
      <c r="H684" s="227"/>
      <c r="I684" s="350"/>
      <c r="J684" s="227"/>
      <c r="K684" s="227"/>
      <c r="L684" s="224"/>
      <c r="M684" s="224"/>
      <c r="N684" s="224"/>
      <c r="O684" s="224"/>
      <c r="P684" s="224"/>
      <c r="Q684" s="224"/>
      <c r="R684" s="224"/>
      <c r="S684" s="224"/>
      <c r="T684" s="224"/>
      <c r="U684" s="224"/>
      <c r="V684" s="224"/>
      <c r="W684" s="106"/>
    </row>
    <row r="685" spans="1:23" s="101" customFormat="1" x14ac:dyDescent="0.3">
      <c r="A685" s="222"/>
      <c r="B685" s="235"/>
      <c r="C685" s="227"/>
      <c r="D685" s="344"/>
      <c r="E685" s="235"/>
      <c r="F685" s="235"/>
      <c r="G685" s="227"/>
      <c r="H685" s="227"/>
      <c r="I685" s="350"/>
      <c r="J685" s="227"/>
      <c r="K685" s="227"/>
      <c r="L685" s="224"/>
      <c r="M685" s="224"/>
      <c r="N685" s="224"/>
      <c r="O685" s="224"/>
      <c r="P685" s="224"/>
      <c r="Q685" s="224"/>
      <c r="R685" s="224"/>
      <c r="S685" s="224"/>
      <c r="T685" s="224"/>
      <c r="U685" s="224"/>
      <c r="V685" s="224"/>
      <c r="W685" s="106"/>
    </row>
    <row r="686" spans="1:23" s="101" customFormat="1" x14ac:dyDescent="0.3">
      <c r="A686" s="222"/>
      <c r="B686" s="235"/>
      <c r="C686" s="227"/>
      <c r="D686" s="344"/>
      <c r="E686" s="235"/>
      <c r="F686" s="235"/>
      <c r="G686" s="227"/>
      <c r="H686" s="227"/>
      <c r="I686" s="350"/>
      <c r="J686" s="227"/>
      <c r="K686" s="227"/>
      <c r="L686" s="224"/>
      <c r="M686" s="224"/>
      <c r="N686" s="224"/>
      <c r="O686" s="224"/>
      <c r="P686" s="224"/>
      <c r="Q686" s="224"/>
      <c r="R686" s="224"/>
      <c r="S686" s="224"/>
      <c r="T686" s="224"/>
      <c r="U686" s="224"/>
      <c r="V686" s="224"/>
      <c r="W686" s="106"/>
    </row>
    <row r="687" spans="1:23" s="101" customFormat="1" x14ac:dyDescent="0.3">
      <c r="A687" s="222"/>
      <c r="B687" s="235"/>
      <c r="C687" s="227"/>
      <c r="D687" s="344"/>
      <c r="E687" s="235"/>
      <c r="F687" s="235"/>
      <c r="G687" s="227"/>
      <c r="H687" s="227"/>
      <c r="I687" s="350"/>
      <c r="J687" s="227"/>
      <c r="K687" s="227"/>
      <c r="L687" s="224"/>
      <c r="M687" s="224"/>
      <c r="N687" s="224"/>
      <c r="O687" s="224"/>
      <c r="P687" s="224"/>
      <c r="Q687" s="224"/>
      <c r="R687" s="224"/>
      <c r="S687" s="224"/>
      <c r="T687" s="224"/>
      <c r="U687" s="224"/>
      <c r="V687" s="224"/>
      <c r="W687" s="106"/>
    </row>
    <row r="688" spans="1:23" s="101" customFormat="1" x14ac:dyDescent="0.3">
      <c r="A688" s="222"/>
      <c r="B688" s="235"/>
      <c r="C688" s="227"/>
      <c r="D688" s="344"/>
      <c r="E688" s="235"/>
      <c r="F688" s="235"/>
      <c r="G688" s="227"/>
      <c r="H688" s="227"/>
      <c r="I688" s="350"/>
      <c r="J688" s="227"/>
      <c r="K688" s="227"/>
      <c r="L688" s="224"/>
      <c r="M688" s="224"/>
      <c r="N688" s="224"/>
      <c r="O688" s="224"/>
      <c r="P688" s="224"/>
      <c r="Q688" s="224"/>
      <c r="R688" s="224"/>
      <c r="S688" s="224"/>
      <c r="T688" s="224"/>
      <c r="U688" s="224"/>
      <c r="V688" s="224"/>
      <c r="W688" s="106"/>
    </row>
    <row r="689" spans="1:23" s="101" customFormat="1" x14ac:dyDescent="0.3">
      <c r="A689" s="222"/>
      <c r="B689" s="235"/>
      <c r="C689" s="227"/>
      <c r="D689" s="344"/>
      <c r="E689" s="235"/>
      <c r="F689" s="235"/>
      <c r="G689" s="227"/>
      <c r="H689" s="227"/>
      <c r="I689" s="350"/>
      <c r="J689" s="227"/>
      <c r="K689" s="227"/>
      <c r="L689" s="224"/>
      <c r="M689" s="224"/>
      <c r="N689" s="224"/>
      <c r="O689" s="224"/>
      <c r="P689" s="224"/>
      <c r="Q689" s="224"/>
      <c r="R689" s="224"/>
      <c r="S689" s="224"/>
      <c r="T689" s="224"/>
      <c r="U689" s="224"/>
      <c r="V689" s="224"/>
      <c r="W689" s="106"/>
    </row>
    <row r="690" spans="1:23" s="101" customFormat="1" x14ac:dyDescent="0.3">
      <c r="A690" s="222"/>
      <c r="B690" s="235"/>
      <c r="C690" s="227"/>
      <c r="D690" s="344"/>
      <c r="E690" s="235"/>
      <c r="F690" s="235"/>
      <c r="G690" s="227"/>
      <c r="H690" s="227"/>
      <c r="I690" s="350"/>
      <c r="J690" s="227"/>
      <c r="K690" s="227"/>
      <c r="L690" s="224"/>
      <c r="M690" s="224"/>
      <c r="N690" s="224"/>
      <c r="O690" s="224"/>
      <c r="P690" s="224"/>
      <c r="Q690" s="224"/>
      <c r="R690" s="224"/>
      <c r="S690" s="224"/>
      <c r="T690" s="224"/>
      <c r="U690" s="224"/>
      <c r="V690" s="224"/>
      <c r="W690" s="106"/>
    </row>
    <row r="691" spans="1:23" s="101" customFormat="1" x14ac:dyDescent="0.3">
      <c r="A691" s="222"/>
      <c r="B691" s="235"/>
      <c r="C691" s="227"/>
      <c r="D691" s="344"/>
      <c r="E691" s="235"/>
      <c r="F691" s="235"/>
      <c r="G691" s="227"/>
      <c r="H691" s="227"/>
      <c r="I691" s="350"/>
      <c r="J691" s="227"/>
      <c r="K691" s="227"/>
      <c r="L691" s="224"/>
      <c r="M691" s="224"/>
      <c r="N691" s="224"/>
      <c r="O691" s="224"/>
      <c r="P691" s="224"/>
      <c r="Q691" s="224"/>
      <c r="R691" s="224"/>
      <c r="S691" s="224"/>
      <c r="T691" s="224"/>
      <c r="U691" s="224"/>
      <c r="V691" s="224"/>
      <c r="W691" s="106"/>
    </row>
    <row r="692" spans="1:23" s="101" customFormat="1" x14ac:dyDescent="0.3">
      <c r="A692" s="222"/>
      <c r="B692" s="235"/>
      <c r="C692" s="227"/>
      <c r="D692" s="344"/>
      <c r="E692" s="235"/>
      <c r="F692" s="235"/>
      <c r="G692" s="227"/>
      <c r="H692" s="227"/>
      <c r="I692" s="350"/>
      <c r="J692" s="227"/>
      <c r="K692" s="227"/>
      <c r="L692" s="224"/>
      <c r="M692" s="224"/>
      <c r="N692" s="224"/>
      <c r="O692" s="224"/>
      <c r="P692" s="224"/>
      <c r="Q692" s="224"/>
      <c r="R692" s="224"/>
      <c r="S692" s="224"/>
      <c r="T692" s="224"/>
      <c r="U692" s="224"/>
      <c r="V692" s="224"/>
      <c r="W692" s="106"/>
    </row>
    <row r="693" spans="1:23" s="101" customFormat="1" x14ac:dyDescent="0.3">
      <c r="A693" s="222"/>
      <c r="B693" s="235"/>
      <c r="C693" s="227"/>
      <c r="D693" s="344"/>
      <c r="E693" s="235"/>
      <c r="F693" s="235"/>
      <c r="G693" s="227"/>
      <c r="H693" s="227"/>
      <c r="I693" s="350"/>
      <c r="J693" s="227"/>
      <c r="K693" s="227"/>
      <c r="L693" s="224"/>
      <c r="M693" s="224"/>
      <c r="N693" s="224"/>
      <c r="O693" s="224"/>
      <c r="P693" s="224"/>
      <c r="Q693" s="224"/>
      <c r="R693" s="224"/>
      <c r="S693" s="224"/>
      <c r="T693" s="224"/>
      <c r="U693" s="224"/>
      <c r="V693" s="224"/>
      <c r="W693" s="106"/>
    </row>
    <row r="694" spans="1:23" s="101" customFormat="1" x14ac:dyDescent="0.3">
      <c r="A694" s="222"/>
      <c r="B694" s="235"/>
      <c r="C694" s="227"/>
      <c r="D694" s="344"/>
      <c r="E694" s="235"/>
      <c r="F694" s="235"/>
      <c r="G694" s="227"/>
      <c r="H694" s="227"/>
      <c r="I694" s="350"/>
      <c r="J694" s="227"/>
      <c r="K694" s="227"/>
      <c r="L694" s="224"/>
      <c r="M694" s="224"/>
      <c r="N694" s="224"/>
      <c r="O694" s="224"/>
      <c r="P694" s="224"/>
      <c r="Q694" s="224"/>
      <c r="R694" s="224"/>
      <c r="S694" s="224"/>
      <c r="T694" s="224"/>
      <c r="U694" s="224"/>
      <c r="V694" s="224"/>
      <c r="W694" s="106"/>
    </row>
    <row r="695" spans="1:23" s="101" customFormat="1" x14ac:dyDescent="0.3">
      <c r="A695" s="222"/>
      <c r="B695" s="235"/>
      <c r="C695" s="227"/>
      <c r="D695" s="344"/>
      <c r="E695" s="235"/>
      <c r="F695" s="235"/>
      <c r="G695" s="227"/>
      <c r="H695" s="227"/>
      <c r="I695" s="350"/>
      <c r="J695" s="227"/>
      <c r="K695" s="227"/>
      <c r="L695" s="224"/>
      <c r="M695" s="224"/>
      <c r="N695" s="224"/>
      <c r="O695" s="224"/>
      <c r="P695" s="224"/>
      <c r="Q695" s="224"/>
      <c r="R695" s="224"/>
      <c r="S695" s="224"/>
      <c r="T695" s="224"/>
      <c r="U695" s="224"/>
      <c r="V695" s="224"/>
      <c r="W695" s="106"/>
    </row>
    <row r="696" spans="1:23" s="101" customFormat="1" x14ac:dyDescent="0.3">
      <c r="A696" s="222"/>
      <c r="B696" s="235"/>
      <c r="C696" s="227"/>
      <c r="D696" s="344"/>
      <c r="E696" s="235"/>
      <c r="F696" s="235"/>
      <c r="G696" s="227"/>
      <c r="H696" s="227"/>
      <c r="I696" s="350"/>
      <c r="J696" s="227"/>
      <c r="K696" s="227"/>
      <c r="L696" s="224"/>
      <c r="M696" s="224"/>
      <c r="N696" s="224"/>
      <c r="O696" s="224"/>
      <c r="P696" s="224"/>
      <c r="Q696" s="224"/>
      <c r="R696" s="224"/>
      <c r="S696" s="224"/>
      <c r="T696" s="224"/>
      <c r="U696" s="224"/>
      <c r="V696" s="224"/>
      <c r="W696" s="106"/>
    </row>
    <row r="697" spans="1:23" s="101" customFormat="1" x14ac:dyDescent="0.3">
      <c r="A697" s="222"/>
      <c r="B697" s="235"/>
      <c r="C697" s="227"/>
      <c r="D697" s="344"/>
      <c r="E697" s="235"/>
      <c r="F697" s="235"/>
      <c r="G697" s="227"/>
      <c r="H697" s="227"/>
      <c r="I697" s="350"/>
      <c r="J697" s="227"/>
      <c r="K697" s="227"/>
      <c r="L697" s="224"/>
      <c r="M697" s="224"/>
      <c r="N697" s="224"/>
      <c r="O697" s="224"/>
      <c r="P697" s="224"/>
      <c r="Q697" s="224"/>
      <c r="R697" s="224"/>
      <c r="S697" s="224"/>
      <c r="T697" s="224"/>
      <c r="U697" s="224"/>
      <c r="V697" s="224"/>
      <c r="W697" s="106"/>
    </row>
    <row r="698" spans="1:23" s="101" customFormat="1" x14ac:dyDescent="0.3">
      <c r="A698" s="222"/>
      <c r="B698" s="235"/>
      <c r="C698" s="227"/>
      <c r="D698" s="344"/>
      <c r="E698" s="235"/>
      <c r="F698" s="235"/>
      <c r="G698" s="227"/>
      <c r="H698" s="227"/>
      <c r="I698" s="350"/>
      <c r="J698" s="227"/>
      <c r="K698" s="227"/>
      <c r="L698" s="224"/>
      <c r="M698" s="224"/>
      <c r="N698" s="224"/>
      <c r="O698" s="224"/>
      <c r="P698" s="224"/>
      <c r="Q698" s="224"/>
      <c r="R698" s="224"/>
      <c r="S698" s="224"/>
      <c r="T698" s="224"/>
      <c r="U698" s="224"/>
      <c r="V698" s="224"/>
      <c r="W698" s="106"/>
    </row>
    <row r="699" spans="1:23" s="101" customFormat="1" x14ac:dyDescent="0.3">
      <c r="A699" s="222"/>
      <c r="B699" s="235"/>
      <c r="C699" s="227"/>
      <c r="D699" s="344"/>
      <c r="E699" s="235"/>
      <c r="F699" s="235"/>
      <c r="G699" s="227"/>
      <c r="H699" s="227"/>
      <c r="I699" s="350"/>
      <c r="J699" s="227"/>
      <c r="K699" s="227"/>
      <c r="L699" s="224"/>
      <c r="M699" s="224"/>
      <c r="N699" s="224"/>
      <c r="O699" s="224"/>
      <c r="P699" s="224"/>
      <c r="Q699" s="224"/>
      <c r="R699" s="224"/>
      <c r="S699" s="224"/>
      <c r="T699" s="224"/>
      <c r="U699" s="224"/>
      <c r="V699" s="224"/>
      <c r="W699" s="106"/>
    </row>
    <row r="700" spans="1:23" s="101" customFormat="1" x14ac:dyDescent="0.3">
      <c r="A700" s="222"/>
      <c r="B700" s="235"/>
      <c r="C700" s="227"/>
      <c r="D700" s="344"/>
      <c r="E700" s="235"/>
      <c r="F700" s="235"/>
      <c r="G700" s="227"/>
      <c r="H700" s="227"/>
      <c r="I700" s="350"/>
      <c r="J700" s="227"/>
      <c r="K700" s="227"/>
      <c r="L700" s="224"/>
      <c r="M700" s="224"/>
      <c r="N700" s="224"/>
      <c r="O700" s="224"/>
      <c r="P700" s="224"/>
      <c r="Q700" s="224"/>
      <c r="R700" s="224"/>
      <c r="S700" s="224"/>
      <c r="T700" s="224"/>
      <c r="U700" s="224"/>
      <c r="V700" s="224"/>
      <c r="W700" s="106"/>
    </row>
    <row r="701" spans="1:23" s="101" customFormat="1" x14ac:dyDescent="0.3">
      <c r="A701" s="222"/>
      <c r="B701" s="235"/>
      <c r="C701" s="227"/>
      <c r="D701" s="344"/>
      <c r="E701" s="235"/>
      <c r="F701" s="235"/>
      <c r="G701" s="227"/>
      <c r="H701" s="227"/>
      <c r="I701" s="350"/>
      <c r="J701" s="227"/>
      <c r="K701" s="227"/>
      <c r="L701" s="224"/>
      <c r="M701" s="224"/>
      <c r="N701" s="224"/>
      <c r="O701" s="224"/>
      <c r="P701" s="224"/>
      <c r="Q701" s="224"/>
      <c r="R701" s="224"/>
      <c r="S701" s="224"/>
      <c r="T701" s="224"/>
      <c r="U701" s="224"/>
      <c r="V701" s="224"/>
      <c r="W701" s="106"/>
    </row>
    <row r="702" spans="1:23" s="101" customFormat="1" x14ac:dyDescent="0.3">
      <c r="A702" s="222"/>
      <c r="B702" s="235"/>
      <c r="C702" s="227"/>
      <c r="D702" s="344"/>
      <c r="E702" s="235"/>
      <c r="F702" s="235"/>
      <c r="G702" s="227"/>
      <c r="H702" s="227"/>
      <c r="I702" s="350"/>
      <c r="J702" s="227"/>
      <c r="K702" s="227"/>
      <c r="L702" s="224"/>
      <c r="M702" s="224"/>
      <c r="N702" s="224"/>
      <c r="O702" s="224"/>
      <c r="P702" s="224"/>
      <c r="Q702" s="224"/>
      <c r="R702" s="224"/>
      <c r="S702" s="224"/>
      <c r="T702" s="224"/>
      <c r="U702" s="224"/>
      <c r="V702" s="224"/>
      <c r="W702" s="106"/>
    </row>
    <row r="703" spans="1:23" s="101" customFormat="1" x14ac:dyDescent="0.3">
      <c r="A703" s="222"/>
      <c r="B703" s="235"/>
      <c r="C703" s="227"/>
      <c r="D703" s="344"/>
      <c r="E703" s="235"/>
      <c r="F703" s="235"/>
      <c r="G703" s="227"/>
      <c r="H703" s="227"/>
      <c r="I703" s="350"/>
      <c r="J703" s="227"/>
      <c r="K703" s="227"/>
      <c r="L703" s="224"/>
      <c r="M703" s="224"/>
      <c r="N703" s="224"/>
      <c r="O703" s="224"/>
      <c r="P703" s="224"/>
      <c r="Q703" s="224"/>
      <c r="R703" s="224"/>
      <c r="S703" s="224"/>
      <c r="T703" s="224"/>
      <c r="U703" s="224"/>
      <c r="V703" s="224"/>
      <c r="W703" s="106"/>
    </row>
    <row r="704" spans="1:23" s="101" customFormat="1" x14ac:dyDescent="0.3">
      <c r="A704" s="222"/>
      <c r="B704" s="235"/>
      <c r="C704" s="227"/>
      <c r="D704" s="344"/>
      <c r="E704" s="235"/>
      <c r="F704" s="235"/>
      <c r="G704" s="227"/>
      <c r="H704" s="227"/>
      <c r="I704" s="350"/>
      <c r="J704" s="227"/>
      <c r="K704" s="227"/>
      <c r="L704" s="224"/>
      <c r="M704" s="224"/>
      <c r="N704" s="224"/>
      <c r="O704" s="224"/>
      <c r="P704" s="224"/>
      <c r="Q704" s="224"/>
      <c r="R704" s="224"/>
      <c r="S704" s="224"/>
      <c r="T704" s="224"/>
      <c r="U704" s="224"/>
      <c r="V704" s="224"/>
      <c r="W704" s="106"/>
    </row>
    <row r="705" spans="1:23" s="101" customFormat="1" x14ac:dyDescent="0.3">
      <c r="A705" s="222"/>
      <c r="B705" s="235"/>
      <c r="C705" s="227"/>
      <c r="D705" s="344"/>
      <c r="E705" s="235"/>
      <c r="F705" s="235"/>
      <c r="G705" s="227"/>
      <c r="H705" s="227"/>
      <c r="I705" s="350"/>
      <c r="J705" s="227"/>
      <c r="K705" s="227"/>
      <c r="L705" s="224"/>
      <c r="M705" s="224"/>
      <c r="N705" s="224"/>
      <c r="O705" s="224"/>
      <c r="P705" s="224"/>
      <c r="Q705" s="224"/>
      <c r="R705" s="224"/>
      <c r="S705" s="224"/>
      <c r="T705" s="224"/>
      <c r="U705" s="224"/>
      <c r="V705" s="224"/>
      <c r="W705" s="106"/>
    </row>
    <row r="706" spans="1:23" s="101" customFormat="1" x14ac:dyDescent="0.3">
      <c r="A706" s="222"/>
      <c r="B706" s="235"/>
      <c r="C706" s="227"/>
      <c r="D706" s="344"/>
      <c r="E706" s="235"/>
      <c r="F706" s="235"/>
      <c r="G706" s="227"/>
      <c r="H706" s="227"/>
      <c r="I706" s="350"/>
      <c r="J706" s="227"/>
      <c r="K706" s="227"/>
      <c r="L706" s="224"/>
      <c r="M706" s="224"/>
      <c r="N706" s="224"/>
      <c r="O706" s="224"/>
      <c r="P706" s="224"/>
      <c r="Q706" s="224"/>
      <c r="R706" s="224"/>
      <c r="S706" s="224"/>
      <c r="T706" s="224"/>
      <c r="U706" s="224"/>
      <c r="V706" s="224"/>
      <c r="W706" s="106"/>
    </row>
    <row r="707" spans="1:23" s="101" customFormat="1" x14ac:dyDescent="0.3">
      <c r="A707" s="222"/>
      <c r="B707" s="235"/>
      <c r="C707" s="227"/>
      <c r="D707" s="344"/>
      <c r="E707" s="235"/>
      <c r="F707" s="235"/>
      <c r="G707" s="227"/>
      <c r="H707" s="227"/>
      <c r="I707" s="350"/>
      <c r="J707" s="227"/>
      <c r="K707" s="227"/>
      <c r="L707" s="224"/>
      <c r="M707" s="224"/>
      <c r="N707" s="224"/>
      <c r="O707" s="224"/>
      <c r="P707" s="224"/>
      <c r="Q707" s="224"/>
      <c r="R707" s="224"/>
      <c r="S707" s="224"/>
      <c r="T707" s="224"/>
      <c r="U707" s="224"/>
      <c r="V707" s="224"/>
      <c r="W707" s="106"/>
    </row>
    <row r="708" spans="1:23" s="101" customFormat="1" x14ac:dyDescent="0.3">
      <c r="A708" s="222"/>
      <c r="B708" s="235"/>
      <c r="C708" s="227"/>
      <c r="D708" s="344"/>
      <c r="E708" s="235"/>
      <c r="F708" s="235"/>
      <c r="G708" s="227"/>
      <c r="H708" s="227"/>
      <c r="I708" s="350"/>
      <c r="J708" s="227"/>
      <c r="K708" s="227"/>
      <c r="L708" s="224"/>
      <c r="M708" s="224"/>
      <c r="N708" s="224"/>
      <c r="O708" s="224"/>
      <c r="P708" s="224"/>
      <c r="Q708" s="224"/>
      <c r="R708" s="224"/>
      <c r="S708" s="224"/>
      <c r="T708" s="224"/>
      <c r="U708" s="224"/>
      <c r="V708" s="224"/>
      <c r="W708" s="106"/>
    </row>
    <row r="709" spans="1:23" s="101" customFormat="1" x14ac:dyDescent="0.3">
      <c r="A709" s="222"/>
      <c r="B709" s="235"/>
      <c r="C709" s="227"/>
      <c r="D709" s="344"/>
      <c r="E709" s="235"/>
      <c r="F709" s="235"/>
      <c r="G709" s="227"/>
      <c r="H709" s="227"/>
      <c r="I709" s="350"/>
      <c r="J709" s="227"/>
      <c r="K709" s="227"/>
      <c r="L709" s="224"/>
      <c r="M709" s="224"/>
      <c r="N709" s="224"/>
      <c r="O709" s="224"/>
      <c r="P709" s="224"/>
      <c r="Q709" s="224"/>
      <c r="R709" s="224"/>
      <c r="S709" s="224"/>
      <c r="T709" s="224"/>
      <c r="U709" s="224"/>
      <c r="V709" s="224"/>
      <c r="W709" s="106"/>
    </row>
    <row r="710" spans="1:23" s="101" customFormat="1" x14ac:dyDescent="0.3">
      <c r="A710" s="222"/>
      <c r="B710" s="235"/>
      <c r="C710" s="227"/>
      <c r="D710" s="344"/>
      <c r="E710" s="235"/>
      <c r="F710" s="235"/>
      <c r="G710" s="227"/>
      <c r="H710" s="227"/>
      <c r="I710" s="350"/>
      <c r="J710" s="227"/>
      <c r="K710" s="227"/>
      <c r="L710" s="224"/>
      <c r="M710" s="224"/>
      <c r="N710" s="224"/>
      <c r="O710" s="224"/>
      <c r="P710" s="224"/>
      <c r="Q710" s="224"/>
      <c r="R710" s="224"/>
      <c r="S710" s="224"/>
      <c r="T710" s="224"/>
      <c r="U710" s="224"/>
      <c r="V710" s="224"/>
      <c r="W710" s="106"/>
    </row>
    <row r="711" spans="1:23" s="101" customFormat="1" x14ac:dyDescent="0.3">
      <c r="A711" s="222"/>
      <c r="B711" s="235"/>
      <c r="C711" s="227"/>
      <c r="D711" s="344"/>
      <c r="E711" s="235"/>
      <c r="F711" s="235"/>
      <c r="G711" s="227"/>
      <c r="H711" s="227"/>
      <c r="I711" s="350"/>
      <c r="J711" s="227"/>
      <c r="K711" s="227"/>
      <c r="L711" s="224"/>
      <c r="M711" s="224"/>
      <c r="N711" s="224"/>
      <c r="O711" s="224"/>
      <c r="P711" s="224"/>
      <c r="Q711" s="224"/>
      <c r="R711" s="224"/>
      <c r="S711" s="224"/>
      <c r="T711" s="224"/>
      <c r="U711" s="224"/>
      <c r="V711" s="224"/>
      <c r="W711" s="106"/>
    </row>
    <row r="712" spans="1:23" s="101" customFormat="1" x14ac:dyDescent="0.3">
      <c r="A712" s="222"/>
      <c r="B712" s="235"/>
      <c r="C712" s="227"/>
      <c r="D712" s="344"/>
      <c r="E712" s="235"/>
      <c r="F712" s="235"/>
      <c r="G712" s="227"/>
      <c r="H712" s="227"/>
      <c r="I712" s="350"/>
      <c r="J712" s="227"/>
      <c r="K712" s="227"/>
      <c r="L712" s="224"/>
      <c r="M712" s="224"/>
      <c r="N712" s="224"/>
      <c r="O712" s="224"/>
      <c r="P712" s="224"/>
      <c r="Q712" s="224"/>
      <c r="R712" s="224"/>
      <c r="S712" s="224"/>
      <c r="T712" s="224"/>
      <c r="U712" s="224"/>
      <c r="V712" s="224"/>
      <c r="W712" s="106"/>
    </row>
    <row r="713" spans="1:23" s="101" customFormat="1" x14ac:dyDescent="0.3">
      <c r="A713" s="222"/>
      <c r="B713" s="235"/>
      <c r="C713" s="227"/>
      <c r="D713" s="344"/>
      <c r="E713" s="235"/>
      <c r="F713" s="235"/>
      <c r="G713" s="227"/>
      <c r="H713" s="227"/>
      <c r="I713" s="350"/>
      <c r="J713" s="227"/>
      <c r="K713" s="227"/>
      <c r="L713" s="224"/>
      <c r="M713" s="224"/>
      <c r="N713" s="224"/>
      <c r="O713" s="224"/>
      <c r="P713" s="224"/>
      <c r="Q713" s="224"/>
      <c r="R713" s="224"/>
      <c r="S713" s="224"/>
      <c r="T713" s="224"/>
      <c r="U713" s="224"/>
      <c r="V713" s="224"/>
      <c r="W713" s="106"/>
    </row>
    <row r="714" spans="1:23" s="101" customFormat="1" x14ac:dyDescent="0.3">
      <c r="A714" s="222"/>
      <c r="B714" s="235"/>
      <c r="C714" s="227"/>
      <c r="D714" s="344"/>
      <c r="E714" s="235"/>
      <c r="F714" s="235"/>
      <c r="G714" s="227"/>
      <c r="H714" s="227"/>
      <c r="I714" s="350"/>
      <c r="J714" s="227"/>
      <c r="K714" s="227"/>
      <c r="L714" s="224"/>
      <c r="M714" s="224"/>
      <c r="N714" s="224"/>
      <c r="O714" s="224"/>
      <c r="P714" s="224"/>
      <c r="Q714" s="224"/>
      <c r="R714" s="224"/>
      <c r="S714" s="224"/>
      <c r="T714" s="224"/>
      <c r="U714" s="224"/>
      <c r="V714" s="224"/>
      <c r="W714" s="106"/>
    </row>
    <row r="715" spans="1:23" s="101" customFormat="1" x14ac:dyDescent="0.3">
      <c r="A715" s="222"/>
      <c r="B715" s="235"/>
      <c r="C715" s="227"/>
      <c r="D715" s="344"/>
      <c r="E715" s="235"/>
      <c r="F715" s="235"/>
      <c r="G715" s="227"/>
      <c r="H715" s="227"/>
      <c r="I715" s="350"/>
      <c r="J715" s="227"/>
      <c r="K715" s="227"/>
      <c r="L715" s="224"/>
      <c r="M715" s="224"/>
      <c r="N715" s="224"/>
      <c r="O715" s="224"/>
      <c r="P715" s="224"/>
      <c r="Q715" s="224"/>
      <c r="R715" s="224"/>
      <c r="S715" s="224"/>
      <c r="T715" s="224"/>
      <c r="U715" s="224"/>
      <c r="V715" s="224"/>
      <c r="W715" s="106"/>
    </row>
    <row r="716" spans="1:23" s="101" customFormat="1" x14ac:dyDescent="0.3">
      <c r="A716" s="222"/>
      <c r="B716" s="235"/>
      <c r="C716" s="227"/>
      <c r="D716" s="344"/>
      <c r="E716" s="235"/>
      <c r="F716" s="235"/>
      <c r="G716" s="227"/>
      <c r="H716" s="227"/>
      <c r="I716" s="350"/>
      <c r="J716" s="227"/>
      <c r="K716" s="227"/>
      <c r="L716" s="224"/>
      <c r="M716" s="224"/>
      <c r="N716" s="224"/>
      <c r="O716" s="224"/>
      <c r="P716" s="224"/>
      <c r="Q716" s="224"/>
      <c r="R716" s="224"/>
      <c r="S716" s="224"/>
      <c r="T716" s="224"/>
      <c r="U716" s="224"/>
      <c r="V716" s="224"/>
      <c r="W716" s="106"/>
    </row>
    <row r="717" spans="1:23" s="101" customFormat="1" x14ac:dyDescent="0.3">
      <c r="A717" s="222"/>
      <c r="B717" s="235"/>
      <c r="C717" s="227"/>
      <c r="D717" s="344"/>
      <c r="E717" s="235"/>
      <c r="F717" s="235"/>
      <c r="G717" s="227"/>
      <c r="H717" s="227"/>
      <c r="I717" s="350"/>
      <c r="J717" s="227"/>
      <c r="K717" s="227"/>
      <c r="L717" s="224"/>
      <c r="M717" s="224"/>
      <c r="N717" s="224"/>
      <c r="O717" s="224"/>
      <c r="P717" s="224"/>
      <c r="Q717" s="224"/>
      <c r="R717" s="224"/>
      <c r="S717" s="224"/>
      <c r="T717" s="224"/>
      <c r="U717" s="224"/>
      <c r="V717" s="224"/>
      <c r="W717" s="106"/>
    </row>
    <row r="718" spans="1:23" s="101" customFormat="1" x14ac:dyDescent="0.3">
      <c r="A718" s="222"/>
      <c r="B718" s="235"/>
      <c r="C718" s="227"/>
      <c r="D718" s="344"/>
      <c r="E718" s="235"/>
      <c r="F718" s="235"/>
      <c r="G718" s="227"/>
      <c r="H718" s="227"/>
      <c r="I718" s="350"/>
      <c r="J718" s="227"/>
      <c r="K718" s="227"/>
      <c r="L718" s="224"/>
      <c r="M718" s="224"/>
      <c r="N718" s="224"/>
      <c r="O718" s="224"/>
      <c r="P718" s="224"/>
      <c r="Q718" s="224"/>
      <c r="R718" s="224"/>
      <c r="S718" s="224"/>
      <c r="T718" s="224"/>
      <c r="U718" s="224"/>
      <c r="V718" s="224"/>
      <c r="W718" s="106"/>
    </row>
    <row r="719" spans="1:23" s="101" customFormat="1" x14ac:dyDescent="0.3">
      <c r="A719" s="222"/>
      <c r="B719" s="235"/>
      <c r="C719" s="227"/>
      <c r="D719" s="344"/>
      <c r="E719" s="235"/>
      <c r="F719" s="235"/>
      <c r="G719" s="227"/>
      <c r="H719" s="227"/>
      <c r="I719" s="350"/>
      <c r="J719" s="227"/>
      <c r="K719" s="227"/>
      <c r="L719" s="224"/>
      <c r="M719" s="224"/>
      <c r="N719" s="224"/>
      <c r="O719" s="224"/>
      <c r="P719" s="224"/>
      <c r="Q719" s="224"/>
      <c r="R719" s="224"/>
      <c r="S719" s="224"/>
      <c r="T719" s="224"/>
      <c r="U719" s="224"/>
      <c r="V719" s="224"/>
      <c r="W719" s="106"/>
    </row>
    <row r="720" spans="1:23" s="101" customFormat="1" x14ac:dyDescent="0.3">
      <c r="A720" s="222"/>
      <c r="B720" s="235"/>
      <c r="C720" s="227"/>
      <c r="D720" s="344"/>
      <c r="E720" s="235"/>
      <c r="F720" s="235"/>
      <c r="G720" s="227"/>
      <c r="H720" s="227"/>
      <c r="I720" s="350"/>
      <c r="J720" s="227"/>
      <c r="K720" s="227"/>
      <c r="L720" s="224"/>
      <c r="M720" s="224"/>
      <c r="N720" s="224"/>
      <c r="O720" s="224"/>
      <c r="P720" s="224"/>
      <c r="Q720" s="224"/>
      <c r="R720" s="224"/>
      <c r="S720" s="224"/>
      <c r="T720" s="224"/>
      <c r="U720" s="224"/>
      <c r="V720" s="224"/>
      <c r="W720" s="106"/>
    </row>
    <row r="721" spans="1:23" s="101" customFormat="1" x14ac:dyDescent="0.3">
      <c r="A721" s="222"/>
      <c r="B721" s="235"/>
      <c r="C721" s="227"/>
      <c r="D721" s="344"/>
      <c r="E721" s="235"/>
      <c r="F721" s="235"/>
      <c r="G721" s="227"/>
      <c r="H721" s="227"/>
      <c r="I721" s="350"/>
      <c r="J721" s="227"/>
      <c r="K721" s="227"/>
      <c r="L721" s="224"/>
      <c r="M721" s="224"/>
      <c r="N721" s="224"/>
      <c r="O721" s="224"/>
      <c r="P721" s="224"/>
      <c r="Q721" s="224"/>
      <c r="R721" s="224"/>
      <c r="S721" s="224"/>
      <c r="T721" s="224"/>
      <c r="U721" s="224"/>
      <c r="V721" s="224"/>
      <c r="W721" s="106"/>
    </row>
    <row r="722" spans="1:23" s="101" customFormat="1" x14ac:dyDescent="0.3">
      <c r="A722" s="222"/>
      <c r="B722" s="235"/>
      <c r="C722" s="227"/>
      <c r="D722" s="344"/>
      <c r="E722" s="235"/>
      <c r="F722" s="235"/>
      <c r="G722" s="227"/>
      <c r="H722" s="227"/>
      <c r="I722" s="350"/>
      <c r="J722" s="227"/>
      <c r="K722" s="227"/>
      <c r="L722" s="224"/>
      <c r="M722" s="224"/>
      <c r="N722" s="224"/>
      <c r="O722" s="224"/>
      <c r="P722" s="224"/>
      <c r="Q722" s="224"/>
      <c r="R722" s="224"/>
      <c r="S722" s="224"/>
      <c r="T722" s="224"/>
      <c r="U722" s="224"/>
      <c r="V722" s="224"/>
      <c r="W722" s="106"/>
    </row>
    <row r="723" spans="1:23" s="101" customFormat="1" x14ac:dyDescent="0.3">
      <c r="A723" s="222"/>
      <c r="B723" s="235"/>
      <c r="C723" s="227"/>
      <c r="D723" s="344"/>
      <c r="E723" s="235"/>
      <c r="F723" s="235"/>
      <c r="G723" s="227"/>
      <c r="H723" s="227"/>
      <c r="I723" s="350"/>
      <c r="J723" s="227"/>
      <c r="K723" s="227"/>
      <c r="L723" s="224"/>
      <c r="M723" s="224"/>
      <c r="N723" s="224"/>
      <c r="O723" s="224"/>
      <c r="P723" s="224"/>
      <c r="Q723" s="224"/>
      <c r="R723" s="224"/>
      <c r="S723" s="224"/>
      <c r="T723" s="224"/>
      <c r="U723" s="224"/>
      <c r="V723" s="224"/>
      <c r="W723" s="106"/>
    </row>
    <row r="724" spans="1:23" s="101" customFormat="1" x14ac:dyDescent="0.3">
      <c r="A724" s="222"/>
      <c r="B724" s="235"/>
      <c r="C724" s="227"/>
      <c r="D724" s="344"/>
      <c r="E724" s="235"/>
      <c r="F724" s="235"/>
      <c r="G724" s="227"/>
      <c r="H724" s="227"/>
      <c r="I724" s="350"/>
      <c r="J724" s="227"/>
      <c r="K724" s="227"/>
      <c r="L724" s="224"/>
      <c r="M724" s="224"/>
      <c r="N724" s="224"/>
      <c r="O724" s="224"/>
      <c r="P724" s="224"/>
      <c r="Q724" s="224"/>
      <c r="R724" s="224"/>
      <c r="S724" s="224"/>
      <c r="T724" s="224"/>
      <c r="U724" s="224"/>
      <c r="V724" s="224"/>
      <c r="W724" s="106"/>
    </row>
    <row r="725" spans="1:23" s="101" customFormat="1" x14ac:dyDescent="0.3">
      <c r="A725" s="222"/>
      <c r="B725" s="235"/>
      <c r="C725" s="227"/>
      <c r="D725" s="344"/>
      <c r="E725" s="235"/>
      <c r="F725" s="235"/>
      <c r="G725" s="227"/>
      <c r="H725" s="227"/>
      <c r="I725" s="350"/>
      <c r="J725" s="227"/>
      <c r="K725" s="227"/>
      <c r="L725" s="224"/>
      <c r="M725" s="224"/>
      <c r="N725" s="224"/>
      <c r="O725" s="224"/>
      <c r="P725" s="224"/>
      <c r="Q725" s="224"/>
      <c r="R725" s="224"/>
      <c r="S725" s="224"/>
      <c r="T725" s="224"/>
      <c r="U725" s="224"/>
      <c r="V725" s="224"/>
      <c r="W725" s="106"/>
    </row>
    <row r="726" spans="1:23" s="101" customFormat="1" x14ac:dyDescent="0.3">
      <c r="A726" s="222"/>
      <c r="B726" s="235"/>
      <c r="C726" s="227"/>
      <c r="D726" s="344"/>
      <c r="E726" s="235"/>
      <c r="F726" s="235"/>
      <c r="G726" s="227"/>
      <c r="H726" s="227"/>
      <c r="I726" s="350"/>
      <c r="J726" s="227"/>
      <c r="K726" s="227"/>
      <c r="L726" s="224"/>
      <c r="M726" s="224"/>
      <c r="N726" s="224"/>
      <c r="O726" s="224"/>
      <c r="P726" s="224"/>
      <c r="Q726" s="224"/>
      <c r="R726" s="224"/>
      <c r="S726" s="224"/>
      <c r="T726" s="224"/>
      <c r="U726" s="224"/>
      <c r="V726" s="224"/>
      <c r="W726" s="106"/>
    </row>
    <row r="727" spans="1:23" s="101" customFormat="1" x14ac:dyDescent="0.3">
      <c r="A727" s="222"/>
      <c r="B727" s="235"/>
      <c r="C727" s="227"/>
      <c r="D727" s="344"/>
      <c r="E727" s="235"/>
      <c r="F727" s="235"/>
      <c r="G727" s="227"/>
      <c r="H727" s="227"/>
      <c r="I727" s="350"/>
      <c r="J727" s="227"/>
      <c r="K727" s="227"/>
      <c r="L727" s="224"/>
      <c r="M727" s="224"/>
      <c r="N727" s="224"/>
      <c r="O727" s="224"/>
      <c r="P727" s="224"/>
      <c r="Q727" s="224"/>
      <c r="R727" s="224"/>
      <c r="S727" s="224"/>
      <c r="T727" s="224"/>
      <c r="U727" s="224"/>
      <c r="V727" s="224"/>
      <c r="W727" s="106"/>
    </row>
    <row r="728" spans="1:23" s="101" customFormat="1" x14ac:dyDescent="0.3">
      <c r="A728" s="222"/>
      <c r="B728" s="235"/>
      <c r="C728" s="227"/>
      <c r="D728" s="344"/>
      <c r="E728" s="235"/>
      <c r="F728" s="235"/>
      <c r="G728" s="227"/>
      <c r="H728" s="227"/>
      <c r="I728" s="350"/>
      <c r="J728" s="227"/>
      <c r="K728" s="227"/>
      <c r="L728" s="224"/>
      <c r="M728" s="224"/>
      <c r="N728" s="224"/>
      <c r="O728" s="224"/>
      <c r="P728" s="224"/>
      <c r="Q728" s="224"/>
      <c r="R728" s="224"/>
      <c r="S728" s="224"/>
      <c r="T728" s="224"/>
      <c r="U728" s="224"/>
      <c r="V728" s="224"/>
      <c r="W728" s="106"/>
    </row>
    <row r="729" spans="1:23" s="101" customFormat="1" x14ac:dyDescent="0.3">
      <c r="A729" s="222"/>
      <c r="B729" s="235"/>
      <c r="C729" s="227"/>
      <c r="D729" s="344"/>
      <c r="E729" s="235"/>
      <c r="F729" s="235"/>
      <c r="G729" s="227"/>
      <c r="H729" s="227"/>
      <c r="I729" s="350"/>
      <c r="J729" s="227"/>
      <c r="K729" s="227"/>
      <c r="L729" s="224"/>
      <c r="M729" s="224"/>
      <c r="N729" s="224"/>
      <c r="O729" s="224"/>
      <c r="P729" s="224"/>
      <c r="Q729" s="224"/>
      <c r="R729" s="224"/>
      <c r="S729" s="224"/>
      <c r="T729" s="224"/>
      <c r="U729" s="224"/>
      <c r="V729" s="224"/>
      <c r="W729" s="106"/>
    </row>
    <row r="730" spans="1:23" s="101" customFormat="1" x14ac:dyDescent="0.3">
      <c r="A730" s="222"/>
      <c r="B730" s="235"/>
      <c r="C730" s="227"/>
      <c r="D730" s="344"/>
      <c r="E730" s="235"/>
      <c r="F730" s="235"/>
      <c r="G730" s="227"/>
      <c r="H730" s="227"/>
      <c r="I730" s="350"/>
      <c r="J730" s="227"/>
      <c r="K730" s="227"/>
      <c r="L730" s="224"/>
      <c r="M730" s="224"/>
      <c r="N730" s="224"/>
      <c r="O730" s="224"/>
      <c r="P730" s="224"/>
      <c r="Q730" s="224"/>
      <c r="R730" s="224"/>
      <c r="S730" s="224"/>
      <c r="T730" s="224"/>
      <c r="U730" s="224"/>
      <c r="V730" s="224"/>
      <c r="W730" s="106"/>
    </row>
    <row r="731" spans="1:23" s="101" customFormat="1" x14ac:dyDescent="0.3">
      <c r="A731" s="222"/>
      <c r="B731" s="235"/>
      <c r="C731" s="227"/>
      <c r="D731" s="344"/>
      <c r="E731" s="235"/>
      <c r="F731" s="235"/>
      <c r="G731" s="227"/>
      <c r="H731" s="227"/>
      <c r="I731" s="350"/>
      <c r="J731" s="227"/>
      <c r="K731" s="227"/>
      <c r="L731" s="224"/>
      <c r="M731" s="224"/>
      <c r="N731" s="224"/>
      <c r="O731" s="224"/>
      <c r="P731" s="224"/>
      <c r="Q731" s="224"/>
      <c r="R731" s="224"/>
      <c r="S731" s="224"/>
      <c r="T731" s="224"/>
      <c r="U731" s="224"/>
      <c r="V731" s="224"/>
      <c r="W731" s="106"/>
    </row>
    <row r="732" spans="1:23" s="101" customFormat="1" x14ac:dyDescent="0.3">
      <c r="A732" s="222"/>
      <c r="B732" s="235"/>
      <c r="C732" s="227"/>
      <c r="D732" s="344"/>
      <c r="E732" s="235"/>
      <c r="F732" s="235"/>
      <c r="G732" s="227"/>
      <c r="H732" s="227"/>
      <c r="I732" s="350"/>
      <c r="J732" s="227"/>
      <c r="K732" s="227"/>
      <c r="L732" s="224"/>
      <c r="M732" s="224"/>
      <c r="N732" s="224"/>
      <c r="O732" s="224"/>
      <c r="P732" s="224"/>
      <c r="Q732" s="224"/>
      <c r="R732" s="224"/>
      <c r="S732" s="224"/>
      <c r="T732" s="224"/>
      <c r="U732" s="224"/>
      <c r="V732" s="224"/>
      <c r="W732" s="106"/>
    </row>
    <row r="733" spans="1:23" s="101" customFormat="1" x14ac:dyDescent="0.3">
      <c r="A733" s="222"/>
      <c r="B733" s="235"/>
      <c r="C733" s="227"/>
      <c r="D733" s="344"/>
      <c r="E733" s="235"/>
      <c r="F733" s="235"/>
      <c r="G733" s="227"/>
      <c r="H733" s="227"/>
      <c r="I733" s="350"/>
      <c r="J733" s="227"/>
      <c r="K733" s="227"/>
      <c r="L733" s="224"/>
      <c r="M733" s="224"/>
      <c r="N733" s="224"/>
      <c r="O733" s="224"/>
      <c r="P733" s="224"/>
      <c r="Q733" s="224"/>
      <c r="R733" s="224"/>
      <c r="S733" s="224"/>
      <c r="T733" s="224"/>
      <c r="U733" s="224"/>
      <c r="V733" s="224"/>
      <c r="W733" s="106"/>
    </row>
    <row r="734" spans="1:23" s="101" customFormat="1" x14ac:dyDescent="0.3">
      <c r="A734" s="222"/>
      <c r="B734" s="235"/>
      <c r="C734" s="227"/>
      <c r="D734" s="344"/>
      <c r="E734" s="235"/>
      <c r="F734" s="235"/>
      <c r="G734" s="227"/>
      <c r="H734" s="227"/>
      <c r="I734" s="350"/>
      <c r="J734" s="227"/>
      <c r="K734" s="227"/>
      <c r="L734" s="224"/>
      <c r="M734" s="224"/>
      <c r="N734" s="224"/>
      <c r="O734" s="224"/>
      <c r="P734" s="224"/>
      <c r="Q734" s="224"/>
      <c r="R734" s="224"/>
      <c r="S734" s="224"/>
      <c r="T734" s="224"/>
      <c r="U734" s="224"/>
      <c r="V734" s="224"/>
      <c r="W734" s="106"/>
    </row>
    <row r="735" spans="1:23" s="101" customFormat="1" x14ac:dyDescent="0.3">
      <c r="A735" s="222"/>
      <c r="B735" s="235"/>
      <c r="C735" s="227"/>
      <c r="D735" s="344"/>
      <c r="E735" s="235"/>
      <c r="F735" s="235"/>
      <c r="G735" s="227"/>
      <c r="H735" s="227"/>
      <c r="I735" s="350"/>
      <c r="J735" s="227"/>
      <c r="K735" s="227"/>
      <c r="L735" s="224"/>
      <c r="M735" s="224"/>
      <c r="N735" s="224"/>
      <c r="O735" s="224"/>
      <c r="P735" s="224"/>
      <c r="Q735" s="224"/>
      <c r="R735" s="224"/>
      <c r="S735" s="224"/>
      <c r="T735" s="224"/>
      <c r="U735" s="224"/>
      <c r="V735" s="224"/>
      <c r="W735" s="106"/>
    </row>
    <row r="736" spans="1:23" s="101" customFormat="1" x14ac:dyDescent="0.3">
      <c r="A736" s="222"/>
      <c r="B736" s="235"/>
      <c r="C736" s="227"/>
      <c r="D736" s="344"/>
      <c r="E736" s="235"/>
      <c r="F736" s="235"/>
      <c r="G736" s="227"/>
      <c r="H736" s="227"/>
      <c r="I736" s="350"/>
      <c r="J736" s="227"/>
      <c r="K736" s="227"/>
      <c r="L736" s="224"/>
      <c r="M736" s="224"/>
      <c r="N736" s="224"/>
      <c r="O736" s="224"/>
      <c r="P736" s="224"/>
      <c r="Q736" s="224"/>
      <c r="R736" s="224"/>
      <c r="S736" s="224"/>
      <c r="T736" s="224"/>
      <c r="U736" s="224"/>
      <c r="V736" s="224"/>
      <c r="W736" s="106"/>
    </row>
    <row r="737" spans="1:23" s="101" customFormat="1" x14ac:dyDescent="0.3">
      <c r="A737" s="222"/>
      <c r="B737" s="235"/>
      <c r="C737" s="227"/>
      <c r="D737" s="344"/>
      <c r="E737" s="235"/>
      <c r="F737" s="235"/>
      <c r="G737" s="227"/>
      <c r="H737" s="227"/>
      <c r="I737" s="350"/>
      <c r="J737" s="227"/>
      <c r="K737" s="227"/>
      <c r="L737" s="224"/>
      <c r="M737" s="224"/>
      <c r="N737" s="224"/>
      <c r="O737" s="224"/>
      <c r="P737" s="224"/>
      <c r="Q737" s="224"/>
      <c r="R737" s="224"/>
      <c r="S737" s="224"/>
      <c r="T737" s="224"/>
      <c r="U737" s="224"/>
      <c r="V737" s="224"/>
      <c r="W737" s="106"/>
    </row>
    <row r="738" spans="1:23" s="101" customFormat="1" x14ac:dyDescent="0.3">
      <c r="A738" s="222"/>
      <c r="B738" s="235"/>
      <c r="C738" s="227"/>
      <c r="D738" s="344"/>
      <c r="E738" s="235"/>
      <c r="F738" s="235"/>
      <c r="G738" s="227"/>
      <c r="H738" s="227"/>
      <c r="I738" s="350"/>
      <c r="J738" s="227"/>
      <c r="K738" s="227"/>
      <c r="L738" s="224"/>
      <c r="M738" s="224"/>
      <c r="N738" s="224"/>
      <c r="O738" s="224"/>
      <c r="P738" s="224"/>
      <c r="Q738" s="224"/>
      <c r="R738" s="224"/>
      <c r="S738" s="224"/>
      <c r="T738" s="224"/>
      <c r="U738" s="224"/>
      <c r="V738" s="224"/>
      <c r="W738" s="106"/>
    </row>
    <row r="739" spans="1:23" s="101" customFormat="1" x14ac:dyDescent="0.3">
      <c r="A739" s="222"/>
      <c r="B739" s="235"/>
      <c r="C739" s="227"/>
      <c r="D739" s="344"/>
      <c r="E739" s="235"/>
      <c r="F739" s="235"/>
      <c r="G739" s="227"/>
      <c r="H739" s="227"/>
      <c r="I739" s="350"/>
      <c r="J739" s="227"/>
      <c r="K739" s="227"/>
      <c r="L739" s="224"/>
      <c r="M739" s="224"/>
      <c r="N739" s="224"/>
      <c r="O739" s="224"/>
      <c r="P739" s="224"/>
      <c r="Q739" s="224"/>
      <c r="R739" s="224"/>
      <c r="S739" s="224"/>
      <c r="T739" s="224"/>
      <c r="U739" s="224"/>
      <c r="V739" s="224"/>
      <c r="W739" s="106"/>
    </row>
    <row r="740" spans="1:23" s="101" customFormat="1" x14ac:dyDescent="0.3">
      <c r="A740" s="222"/>
      <c r="B740" s="235"/>
      <c r="C740" s="227"/>
      <c r="D740" s="344"/>
      <c r="E740" s="235"/>
      <c r="F740" s="235"/>
      <c r="G740" s="227"/>
      <c r="H740" s="227"/>
      <c r="I740" s="350"/>
      <c r="J740" s="227"/>
      <c r="K740" s="227"/>
      <c r="L740" s="224"/>
      <c r="M740" s="224"/>
      <c r="N740" s="224"/>
      <c r="O740" s="224"/>
      <c r="P740" s="224"/>
      <c r="Q740" s="224"/>
      <c r="R740" s="224"/>
      <c r="S740" s="224"/>
      <c r="T740" s="224"/>
      <c r="U740" s="224"/>
      <c r="V740" s="224"/>
      <c r="W740" s="106"/>
    </row>
    <row r="741" spans="1:23" s="101" customFormat="1" x14ac:dyDescent="0.3">
      <c r="A741" s="222"/>
      <c r="B741" s="235"/>
      <c r="C741" s="227"/>
      <c r="D741" s="344"/>
      <c r="E741" s="235"/>
      <c r="F741" s="235"/>
      <c r="G741" s="227"/>
      <c r="H741" s="227"/>
      <c r="I741" s="350"/>
      <c r="J741" s="227"/>
      <c r="K741" s="227"/>
      <c r="L741" s="224"/>
      <c r="M741" s="224"/>
      <c r="N741" s="224"/>
      <c r="O741" s="224"/>
      <c r="P741" s="224"/>
      <c r="Q741" s="224"/>
      <c r="R741" s="224"/>
      <c r="S741" s="224"/>
      <c r="T741" s="224"/>
      <c r="U741" s="224"/>
      <c r="V741" s="224"/>
      <c r="W741" s="106"/>
    </row>
    <row r="742" spans="1:23" s="101" customFormat="1" x14ac:dyDescent="0.3">
      <c r="A742" s="222"/>
      <c r="B742" s="235"/>
      <c r="C742" s="227"/>
      <c r="D742" s="344"/>
      <c r="E742" s="235"/>
      <c r="F742" s="235"/>
      <c r="G742" s="227"/>
      <c r="H742" s="227"/>
      <c r="I742" s="350"/>
      <c r="J742" s="227"/>
      <c r="K742" s="227"/>
      <c r="L742" s="224"/>
      <c r="M742" s="224"/>
      <c r="N742" s="224"/>
      <c r="O742" s="224"/>
      <c r="P742" s="224"/>
      <c r="Q742" s="224"/>
      <c r="R742" s="224"/>
      <c r="S742" s="224"/>
      <c r="T742" s="224"/>
      <c r="U742" s="224"/>
      <c r="V742" s="224"/>
      <c r="W742" s="106"/>
    </row>
    <row r="743" spans="1:23" s="101" customFormat="1" x14ac:dyDescent="0.3">
      <c r="A743" s="222"/>
      <c r="B743" s="235"/>
      <c r="C743" s="227"/>
      <c r="D743" s="344"/>
      <c r="E743" s="235"/>
      <c r="F743" s="235"/>
      <c r="G743" s="227"/>
      <c r="H743" s="227"/>
      <c r="I743" s="350"/>
      <c r="J743" s="227"/>
      <c r="K743" s="227"/>
      <c r="L743" s="224"/>
      <c r="M743" s="224"/>
      <c r="N743" s="224"/>
      <c r="O743" s="224"/>
      <c r="P743" s="224"/>
      <c r="Q743" s="224"/>
      <c r="R743" s="224"/>
      <c r="S743" s="224"/>
      <c r="T743" s="224"/>
      <c r="U743" s="224"/>
      <c r="V743" s="224"/>
      <c r="W743" s="106"/>
    </row>
    <row r="744" spans="1:23" s="101" customFormat="1" x14ac:dyDescent="0.3">
      <c r="A744" s="222"/>
      <c r="B744" s="235"/>
      <c r="C744" s="227"/>
      <c r="D744" s="344"/>
      <c r="E744" s="235"/>
      <c r="F744" s="235"/>
      <c r="G744" s="227"/>
      <c r="H744" s="227"/>
      <c r="I744" s="350"/>
      <c r="J744" s="227"/>
      <c r="K744" s="227"/>
      <c r="L744" s="224"/>
      <c r="M744" s="224"/>
      <c r="N744" s="224"/>
      <c r="O744" s="224"/>
      <c r="P744" s="224"/>
      <c r="Q744" s="224"/>
      <c r="R744" s="224"/>
      <c r="S744" s="224"/>
      <c r="T744" s="224"/>
      <c r="U744" s="224"/>
      <c r="V744" s="224"/>
      <c r="W744" s="106"/>
    </row>
    <row r="745" spans="1:23" s="101" customFormat="1" x14ac:dyDescent="0.3">
      <c r="A745" s="222"/>
      <c r="B745" s="235"/>
      <c r="C745" s="227"/>
      <c r="D745" s="344"/>
      <c r="E745" s="235"/>
      <c r="F745" s="235"/>
      <c r="G745" s="227"/>
      <c r="H745" s="227"/>
      <c r="I745" s="350"/>
      <c r="J745" s="227"/>
      <c r="K745" s="227"/>
      <c r="L745" s="224"/>
      <c r="M745" s="224"/>
      <c r="N745" s="224"/>
      <c r="O745" s="224"/>
      <c r="P745" s="224"/>
      <c r="Q745" s="224"/>
      <c r="R745" s="224"/>
      <c r="S745" s="224"/>
      <c r="T745" s="224"/>
      <c r="U745" s="224"/>
      <c r="V745" s="224"/>
      <c r="W745" s="106"/>
    </row>
    <row r="746" spans="1:23" s="101" customFormat="1" x14ac:dyDescent="0.3">
      <c r="A746" s="222"/>
      <c r="B746" s="235"/>
      <c r="C746" s="227"/>
      <c r="D746" s="344"/>
      <c r="E746" s="235"/>
      <c r="F746" s="235"/>
      <c r="G746" s="227"/>
      <c r="H746" s="227"/>
      <c r="I746" s="350"/>
      <c r="J746" s="227"/>
      <c r="K746" s="227"/>
      <c r="L746" s="224"/>
      <c r="M746" s="224"/>
      <c r="N746" s="224"/>
      <c r="O746" s="224"/>
      <c r="P746" s="224"/>
      <c r="Q746" s="224"/>
      <c r="R746" s="224"/>
      <c r="S746" s="224"/>
      <c r="T746" s="224"/>
      <c r="U746" s="224"/>
      <c r="V746" s="224"/>
      <c r="W746" s="106"/>
    </row>
    <row r="747" spans="1:23" s="101" customFormat="1" x14ac:dyDescent="0.3">
      <c r="A747" s="222"/>
      <c r="B747" s="235"/>
      <c r="C747" s="227"/>
      <c r="D747" s="344"/>
      <c r="E747" s="235"/>
      <c r="F747" s="235"/>
      <c r="G747" s="227"/>
      <c r="H747" s="227"/>
      <c r="I747" s="350"/>
      <c r="J747" s="227"/>
      <c r="K747" s="227"/>
      <c r="L747" s="224"/>
      <c r="M747" s="224"/>
      <c r="N747" s="224"/>
      <c r="O747" s="224"/>
      <c r="P747" s="224"/>
      <c r="Q747" s="224"/>
      <c r="R747" s="224"/>
      <c r="S747" s="224"/>
      <c r="T747" s="224"/>
      <c r="U747" s="224"/>
      <c r="V747" s="224"/>
      <c r="W747" s="106"/>
    </row>
    <row r="748" spans="1:23" s="101" customFormat="1" x14ac:dyDescent="0.3">
      <c r="A748" s="222"/>
      <c r="B748" s="235"/>
      <c r="C748" s="227"/>
      <c r="D748" s="344"/>
      <c r="E748" s="235"/>
      <c r="F748" s="235"/>
      <c r="G748" s="227"/>
      <c r="H748" s="227"/>
      <c r="I748" s="350"/>
      <c r="J748" s="227"/>
      <c r="K748" s="227"/>
      <c r="L748" s="224"/>
      <c r="M748" s="224"/>
      <c r="N748" s="224"/>
      <c r="O748" s="224"/>
      <c r="P748" s="224"/>
      <c r="Q748" s="224"/>
      <c r="R748" s="224"/>
      <c r="S748" s="224"/>
      <c r="T748" s="224"/>
      <c r="U748" s="224"/>
      <c r="V748" s="224"/>
      <c r="W748" s="106"/>
    </row>
    <row r="749" spans="1:23" s="101" customFormat="1" x14ac:dyDescent="0.3">
      <c r="A749" s="222"/>
      <c r="B749" s="235"/>
      <c r="C749" s="227"/>
      <c r="D749" s="344"/>
      <c r="E749" s="235"/>
      <c r="F749" s="235"/>
      <c r="G749" s="227"/>
      <c r="H749" s="227"/>
      <c r="I749" s="350"/>
      <c r="J749" s="227"/>
      <c r="K749" s="227"/>
      <c r="L749" s="224"/>
      <c r="M749" s="224"/>
      <c r="N749" s="224"/>
      <c r="O749" s="224"/>
      <c r="P749" s="224"/>
      <c r="Q749" s="224"/>
      <c r="R749" s="224"/>
      <c r="S749" s="224"/>
      <c r="T749" s="224"/>
      <c r="U749" s="224"/>
      <c r="V749" s="224"/>
      <c r="W749" s="106"/>
    </row>
    <row r="750" spans="1:23" s="101" customFormat="1" x14ac:dyDescent="0.3">
      <c r="A750" s="222"/>
      <c r="B750" s="235"/>
      <c r="C750" s="227"/>
      <c r="D750" s="344"/>
      <c r="E750" s="235"/>
      <c r="F750" s="235"/>
      <c r="G750" s="227"/>
      <c r="H750" s="227"/>
      <c r="I750" s="350"/>
      <c r="J750" s="227"/>
      <c r="K750" s="227"/>
      <c r="L750" s="224"/>
      <c r="M750" s="224"/>
      <c r="N750" s="224"/>
      <c r="O750" s="224"/>
      <c r="P750" s="224"/>
      <c r="Q750" s="224"/>
      <c r="R750" s="224"/>
      <c r="S750" s="224"/>
      <c r="T750" s="224"/>
      <c r="U750" s="224"/>
      <c r="V750" s="224"/>
      <c r="W750" s="106"/>
    </row>
    <row r="751" spans="1:23" s="101" customFormat="1" x14ac:dyDescent="0.3">
      <c r="A751" s="222"/>
      <c r="B751" s="235"/>
      <c r="C751" s="227"/>
      <c r="D751" s="344"/>
      <c r="E751" s="235"/>
      <c r="F751" s="235"/>
      <c r="G751" s="227"/>
      <c r="H751" s="227"/>
      <c r="I751" s="350"/>
      <c r="J751" s="227"/>
      <c r="K751" s="227"/>
      <c r="L751" s="224"/>
      <c r="M751" s="224"/>
      <c r="N751" s="224"/>
      <c r="O751" s="224"/>
      <c r="P751" s="224"/>
      <c r="Q751" s="224"/>
      <c r="R751" s="224"/>
      <c r="S751" s="224"/>
      <c r="T751" s="224"/>
      <c r="U751" s="224"/>
      <c r="V751" s="224"/>
      <c r="W751" s="106"/>
    </row>
    <row r="752" spans="1:23" s="101" customFormat="1" x14ac:dyDescent="0.3">
      <c r="A752" s="222"/>
      <c r="B752" s="235"/>
      <c r="C752" s="227"/>
      <c r="D752" s="344"/>
      <c r="E752" s="235"/>
      <c r="F752" s="235"/>
      <c r="G752" s="227"/>
      <c r="H752" s="227"/>
      <c r="I752" s="350"/>
      <c r="J752" s="227"/>
      <c r="K752" s="227"/>
      <c r="L752" s="224"/>
      <c r="M752" s="224"/>
      <c r="N752" s="224"/>
      <c r="O752" s="224"/>
      <c r="P752" s="224"/>
      <c r="Q752" s="224"/>
      <c r="R752" s="224"/>
      <c r="S752" s="224"/>
      <c r="T752" s="224"/>
      <c r="U752" s="224"/>
      <c r="V752" s="224"/>
      <c r="W752" s="106"/>
    </row>
    <row r="753" spans="1:23" s="101" customFormat="1" x14ac:dyDescent="0.3">
      <c r="A753" s="222"/>
      <c r="B753" s="235"/>
      <c r="C753" s="227"/>
      <c r="D753" s="344"/>
      <c r="E753" s="235"/>
      <c r="F753" s="235"/>
      <c r="G753" s="227"/>
      <c r="H753" s="227"/>
      <c r="I753" s="350"/>
      <c r="J753" s="227"/>
      <c r="K753" s="227"/>
      <c r="L753" s="224"/>
      <c r="M753" s="224"/>
      <c r="N753" s="224"/>
      <c r="O753" s="224"/>
      <c r="P753" s="224"/>
      <c r="Q753" s="224"/>
      <c r="R753" s="224"/>
      <c r="S753" s="224"/>
      <c r="T753" s="224"/>
      <c r="U753" s="224"/>
      <c r="V753" s="224"/>
      <c r="W753" s="106"/>
    </row>
    <row r="754" spans="1:23" s="101" customFormat="1" x14ac:dyDescent="0.3">
      <c r="A754" s="222"/>
      <c r="B754" s="235"/>
      <c r="C754" s="227"/>
      <c r="D754" s="344"/>
      <c r="E754" s="235"/>
      <c r="F754" s="235"/>
      <c r="G754" s="227"/>
      <c r="H754" s="227"/>
      <c r="I754" s="350"/>
      <c r="J754" s="227"/>
      <c r="K754" s="227"/>
      <c r="L754" s="224"/>
      <c r="M754" s="224"/>
      <c r="N754" s="224"/>
      <c r="O754" s="224"/>
      <c r="P754" s="224"/>
      <c r="Q754" s="224"/>
      <c r="R754" s="224"/>
      <c r="S754" s="224"/>
      <c r="T754" s="224"/>
      <c r="U754" s="224"/>
      <c r="V754" s="224"/>
      <c r="W754" s="106"/>
    </row>
    <row r="755" spans="1:23" s="101" customFormat="1" x14ac:dyDescent="0.3">
      <c r="A755" s="222"/>
      <c r="B755" s="235"/>
      <c r="C755" s="227"/>
      <c r="D755" s="344"/>
      <c r="E755" s="235"/>
      <c r="F755" s="235"/>
      <c r="G755" s="227"/>
      <c r="H755" s="227"/>
      <c r="I755" s="350"/>
      <c r="J755" s="227"/>
      <c r="K755" s="227"/>
      <c r="L755" s="224"/>
      <c r="M755" s="224"/>
      <c r="N755" s="224"/>
      <c r="O755" s="224"/>
      <c r="P755" s="224"/>
      <c r="Q755" s="224"/>
      <c r="R755" s="224"/>
      <c r="S755" s="224"/>
      <c r="T755" s="224"/>
      <c r="U755" s="224"/>
      <c r="V755" s="224"/>
      <c r="W755" s="106"/>
    </row>
    <row r="756" spans="1:23" s="101" customFormat="1" x14ac:dyDescent="0.3">
      <c r="A756" s="222"/>
      <c r="B756" s="235"/>
      <c r="C756" s="227"/>
      <c r="D756" s="344"/>
      <c r="E756" s="235"/>
      <c r="F756" s="235"/>
      <c r="G756" s="227"/>
      <c r="H756" s="227"/>
      <c r="I756" s="350"/>
      <c r="J756" s="227"/>
      <c r="K756" s="227"/>
      <c r="L756" s="224"/>
      <c r="M756" s="224"/>
      <c r="N756" s="224"/>
      <c r="O756" s="224"/>
      <c r="P756" s="224"/>
      <c r="Q756" s="224"/>
      <c r="R756" s="224"/>
      <c r="S756" s="224"/>
      <c r="T756" s="224"/>
      <c r="U756" s="224"/>
      <c r="V756" s="224"/>
      <c r="W756" s="106"/>
    </row>
    <row r="757" spans="1:23" s="101" customFormat="1" x14ac:dyDescent="0.3">
      <c r="A757" s="222"/>
      <c r="B757" s="235"/>
      <c r="C757" s="227"/>
      <c r="D757" s="344"/>
      <c r="E757" s="235"/>
      <c r="F757" s="235"/>
      <c r="G757" s="227"/>
      <c r="H757" s="227"/>
      <c r="I757" s="350"/>
      <c r="J757" s="227"/>
      <c r="K757" s="227"/>
      <c r="L757" s="224"/>
      <c r="M757" s="224"/>
      <c r="N757" s="224"/>
      <c r="O757" s="224"/>
      <c r="P757" s="224"/>
      <c r="Q757" s="224"/>
      <c r="R757" s="224"/>
      <c r="S757" s="224"/>
      <c r="T757" s="224"/>
      <c r="U757" s="224"/>
      <c r="V757" s="224"/>
      <c r="W757" s="106"/>
    </row>
    <row r="758" spans="1:23" s="101" customFormat="1" x14ac:dyDescent="0.3">
      <c r="A758" s="222"/>
      <c r="B758" s="235"/>
      <c r="C758" s="227"/>
      <c r="D758" s="344"/>
      <c r="E758" s="235"/>
      <c r="F758" s="235"/>
      <c r="G758" s="227"/>
      <c r="H758" s="227"/>
      <c r="I758" s="350"/>
      <c r="J758" s="227"/>
      <c r="K758" s="227"/>
      <c r="L758" s="224"/>
      <c r="M758" s="224"/>
      <c r="N758" s="224"/>
      <c r="O758" s="224"/>
      <c r="P758" s="224"/>
      <c r="Q758" s="224"/>
      <c r="R758" s="224"/>
      <c r="S758" s="224"/>
      <c r="T758" s="224"/>
      <c r="U758" s="224"/>
      <c r="V758" s="224"/>
      <c r="W758" s="106"/>
    </row>
    <row r="759" spans="1:23" s="101" customFormat="1" x14ac:dyDescent="0.3">
      <c r="A759" s="222"/>
      <c r="B759" s="235"/>
      <c r="C759" s="227"/>
      <c r="D759" s="344"/>
      <c r="E759" s="235"/>
      <c r="F759" s="235"/>
      <c r="G759" s="227"/>
      <c r="H759" s="227"/>
      <c r="I759" s="350"/>
      <c r="J759" s="227"/>
      <c r="K759" s="227"/>
      <c r="L759" s="224"/>
      <c r="M759" s="224"/>
      <c r="N759" s="224"/>
      <c r="O759" s="224"/>
      <c r="P759" s="224"/>
      <c r="Q759" s="224"/>
      <c r="R759" s="224"/>
      <c r="S759" s="224"/>
      <c r="T759" s="224"/>
      <c r="U759" s="224"/>
      <c r="V759" s="224"/>
      <c r="W759" s="106"/>
    </row>
    <row r="760" spans="1:23" s="101" customFormat="1" x14ac:dyDescent="0.3">
      <c r="A760" s="222"/>
      <c r="B760" s="235"/>
      <c r="C760" s="227"/>
      <c r="D760" s="344"/>
      <c r="E760" s="235"/>
      <c r="F760" s="235"/>
      <c r="G760" s="227"/>
      <c r="H760" s="227"/>
      <c r="I760" s="350"/>
      <c r="J760" s="227"/>
      <c r="K760" s="227"/>
      <c r="L760" s="224"/>
      <c r="M760" s="224"/>
      <c r="N760" s="224"/>
      <c r="O760" s="224"/>
      <c r="P760" s="224"/>
      <c r="Q760" s="224"/>
      <c r="R760" s="224"/>
      <c r="S760" s="224"/>
      <c r="T760" s="224"/>
      <c r="U760" s="224"/>
      <c r="V760" s="224"/>
      <c r="W760" s="106"/>
    </row>
    <row r="761" spans="1:23" s="101" customFormat="1" x14ac:dyDescent="0.3">
      <c r="A761" s="222"/>
      <c r="B761" s="235"/>
      <c r="C761" s="227"/>
      <c r="D761" s="344"/>
      <c r="E761" s="235"/>
      <c r="F761" s="235"/>
      <c r="G761" s="227"/>
      <c r="H761" s="227"/>
      <c r="I761" s="350"/>
      <c r="J761" s="227"/>
      <c r="K761" s="227"/>
      <c r="L761" s="224"/>
      <c r="M761" s="224"/>
      <c r="N761" s="224"/>
      <c r="O761" s="224"/>
      <c r="P761" s="224"/>
      <c r="Q761" s="224"/>
      <c r="R761" s="224"/>
      <c r="S761" s="224"/>
      <c r="T761" s="224"/>
      <c r="U761" s="224"/>
      <c r="V761" s="224"/>
      <c r="W761" s="106"/>
    </row>
    <row r="762" spans="1:23" s="101" customFormat="1" x14ac:dyDescent="0.3">
      <c r="A762" s="222"/>
      <c r="B762" s="235"/>
      <c r="C762" s="227"/>
      <c r="D762" s="344"/>
      <c r="E762" s="235"/>
      <c r="F762" s="235"/>
      <c r="G762" s="227"/>
      <c r="H762" s="227"/>
      <c r="I762" s="350"/>
      <c r="J762" s="227"/>
      <c r="K762" s="227"/>
      <c r="L762" s="224"/>
      <c r="M762" s="224"/>
      <c r="N762" s="224"/>
      <c r="O762" s="224"/>
      <c r="P762" s="224"/>
      <c r="Q762" s="224"/>
      <c r="R762" s="224"/>
      <c r="S762" s="224"/>
      <c r="T762" s="224"/>
      <c r="U762" s="224"/>
      <c r="V762" s="224"/>
      <c r="W762" s="106"/>
    </row>
    <row r="763" spans="1:23" s="101" customFormat="1" x14ac:dyDescent="0.3">
      <c r="A763" s="222"/>
      <c r="B763" s="235"/>
      <c r="C763" s="227"/>
      <c r="D763" s="344"/>
      <c r="E763" s="235"/>
      <c r="F763" s="235"/>
      <c r="G763" s="227"/>
      <c r="H763" s="227"/>
      <c r="I763" s="350"/>
      <c r="J763" s="227"/>
      <c r="K763" s="227"/>
      <c r="L763" s="224"/>
      <c r="M763" s="224"/>
      <c r="N763" s="224"/>
      <c r="O763" s="224"/>
      <c r="P763" s="224"/>
      <c r="Q763" s="224"/>
      <c r="R763" s="224"/>
      <c r="S763" s="224"/>
      <c r="T763" s="224"/>
      <c r="U763" s="224"/>
      <c r="V763" s="224"/>
      <c r="W763" s="106"/>
    </row>
    <row r="764" spans="1:23" s="101" customFormat="1" x14ac:dyDescent="0.3">
      <c r="A764" s="222"/>
      <c r="B764" s="235"/>
      <c r="C764" s="227"/>
      <c r="D764" s="344"/>
      <c r="E764" s="235"/>
      <c r="F764" s="235"/>
      <c r="G764" s="227"/>
      <c r="H764" s="227"/>
      <c r="I764" s="350"/>
      <c r="J764" s="227"/>
      <c r="K764" s="227"/>
      <c r="L764" s="224"/>
      <c r="M764" s="224"/>
      <c r="N764" s="224"/>
      <c r="O764" s="224"/>
      <c r="P764" s="224"/>
      <c r="Q764" s="224"/>
      <c r="R764" s="224"/>
      <c r="S764" s="224"/>
      <c r="T764" s="224"/>
      <c r="U764" s="224"/>
      <c r="V764" s="224"/>
      <c r="W764" s="106"/>
    </row>
    <row r="765" spans="1:23" s="101" customFormat="1" x14ac:dyDescent="0.3">
      <c r="A765" s="222"/>
      <c r="B765" s="235"/>
      <c r="C765" s="227"/>
      <c r="D765" s="344"/>
      <c r="E765" s="235"/>
      <c r="F765" s="235"/>
      <c r="G765" s="227"/>
      <c r="H765" s="227"/>
      <c r="I765" s="350"/>
      <c r="J765" s="227"/>
      <c r="K765" s="227"/>
      <c r="L765" s="224"/>
      <c r="M765" s="224"/>
      <c r="N765" s="224"/>
      <c r="O765" s="224"/>
      <c r="P765" s="224"/>
      <c r="Q765" s="224"/>
      <c r="R765" s="224"/>
      <c r="S765" s="224"/>
      <c r="T765" s="224"/>
      <c r="U765" s="224"/>
      <c r="V765" s="224"/>
      <c r="W765" s="106"/>
    </row>
    <row r="766" spans="1:23" s="101" customFormat="1" x14ac:dyDescent="0.3">
      <c r="A766" s="222"/>
      <c r="B766" s="235"/>
      <c r="C766" s="227"/>
      <c r="D766" s="344"/>
      <c r="E766" s="235"/>
      <c r="F766" s="235"/>
      <c r="G766" s="227"/>
      <c r="H766" s="227"/>
      <c r="I766" s="350"/>
      <c r="J766" s="227"/>
      <c r="K766" s="227"/>
      <c r="L766" s="224"/>
      <c r="M766" s="224"/>
      <c r="N766" s="224"/>
      <c r="O766" s="224"/>
      <c r="P766" s="224"/>
      <c r="Q766" s="224"/>
      <c r="R766" s="224"/>
      <c r="S766" s="224"/>
      <c r="T766" s="224"/>
      <c r="U766" s="224"/>
      <c r="V766" s="224"/>
      <c r="W766" s="106"/>
    </row>
    <row r="767" spans="1:23" s="101" customFormat="1" x14ac:dyDescent="0.3">
      <c r="A767" s="222"/>
      <c r="B767" s="235"/>
      <c r="C767" s="227"/>
      <c r="D767" s="344"/>
      <c r="E767" s="235"/>
      <c r="F767" s="235"/>
      <c r="G767" s="227"/>
      <c r="H767" s="227"/>
      <c r="I767" s="350"/>
      <c r="J767" s="227"/>
      <c r="K767" s="227"/>
      <c r="L767" s="224"/>
      <c r="M767" s="224"/>
      <c r="N767" s="224"/>
      <c r="O767" s="224"/>
      <c r="P767" s="224"/>
      <c r="Q767" s="224"/>
      <c r="R767" s="224"/>
      <c r="S767" s="224"/>
      <c r="T767" s="224"/>
      <c r="U767" s="224"/>
      <c r="V767" s="224"/>
      <c r="W767" s="106"/>
    </row>
    <row r="768" spans="1:23" s="101" customFormat="1" x14ac:dyDescent="0.3">
      <c r="A768" s="222"/>
      <c r="B768" s="235"/>
      <c r="C768" s="227"/>
      <c r="D768" s="344"/>
      <c r="E768" s="235"/>
      <c r="F768" s="235"/>
      <c r="G768" s="227"/>
      <c r="H768" s="227"/>
      <c r="I768" s="350"/>
      <c r="J768" s="227"/>
      <c r="K768" s="227"/>
      <c r="L768" s="224"/>
      <c r="M768" s="224"/>
      <c r="N768" s="224"/>
      <c r="O768" s="224"/>
      <c r="P768" s="224"/>
      <c r="Q768" s="224"/>
      <c r="R768" s="224"/>
      <c r="S768" s="224"/>
      <c r="T768" s="224"/>
      <c r="U768" s="224"/>
      <c r="V768" s="224"/>
      <c r="W768" s="106"/>
    </row>
    <row r="769" spans="1:23" s="101" customFormat="1" x14ac:dyDescent="0.3">
      <c r="A769" s="222"/>
      <c r="B769" s="235"/>
      <c r="C769" s="227"/>
      <c r="D769" s="344"/>
      <c r="E769" s="235"/>
      <c r="F769" s="235"/>
      <c r="G769" s="227"/>
      <c r="H769" s="227"/>
      <c r="I769" s="350"/>
      <c r="J769" s="227"/>
      <c r="K769" s="227"/>
      <c r="L769" s="224"/>
      <c r="M769" s="224"/>
      <c r="N769" s="224"/>
      <c r="O769" s="224"/>
      <c r="P769" s="224"/>
      <c r="Q769" s="224"/>
      <c r="R769" s="224"/>
      <c r="S769" s="224"/>
      <c r="T769" s="224"/>
      <c r="U769" s="224"/>
      <c r="V769" s="224"/>
      <c r="W769" s="106"/>
    </row>
    <row r="770" spans="1:23" s="101" customFormat="1" x14ac:dyDescent="0.3">
      <c r="A770" s="222"/>
      <c r="B770" s="235"/>
      <c r="C770" s="227"/>
      <c r="D770" s="344"/>
      <c r="E770" s="235"/>
      <c r="F770" s="235"/>
      <c r="G770" s="227"/>
      <c r="H770" s="227"/>
      <c r="I770" s="350"/>
      <c r="J770" s="227"/>
      <c r="K770" s="227"/>
      <c r="L770" s="224"/>
      <c r="M770" s="224"/>
      <c r="N770" s="224"/>
      <c r="O770" s="224"/>
      <c r="P770" s="224"/>
      <c r="Q770" s="224"/>
      <c r="R770" s="224"/>
      <c r="S770" s="224"/>
      <c r="T770" s="224"/>
      <c r="U770" s="224"/>
      <c r="V770" s="224"/>
      <c r="W770" s="106"/>
    </row>
    <row r="771" spans="1:23" s="101" customFormat="1" x14ac:dyDescent="0.3">
      <c r="A771" s="222"/>
      <c r="B771" s="235"/>
      <c r="C771" s="227"/>
      <c r="D771" s="344"/>
      <c r="E771" s="235"/>
      <c r="F771" s="235"/>
      <c r="G771" s="227"/>
      <c r="H771" s="227"/>
      <c r="I771" s="350"/>
      <c r="J771" s="227"/>
      <c r="K771" s="227"/>
      <c r="L771" s="224"/>
      <c r="M771" s="224"/>
      <c r="N771" s="224"/>
      <c r="O771" s="224"/>
      <c r="P771" s="224"/>
      <c r="Q771" s="224"/>
      <c r="R771" s="224"/>
      <c r="S771" s="224"/>
      <c r="T771" s="224"/>
      <c r="U771" s="224"/>
      <c r="V771" s="224"/>
      <c r="W771" s="106"/>
    </row>
    <row r="772" spans="1:23" s="101" customFormat="1" x14ac:dyDescent="0.3">
      <c r="A772" s="222"/>
      <c r="B772" s="235"/>
      <c r="C772" s="227"/>
      <c r="D772" s="344"/>
      <c r="E772" s="235"/>
      <c r="F772" s="235"/>
      <c r="G772" s="227"/>
      <c r="H772" s="227"/>
      <c r="I772" s="350"/>
      <c r="J772" s="227"/>
      <c r="K772" s="227"/>
      <c r="L772" s="224"/>
      <c r="M772" s="224"/>
      <c r="N772" s="224"/>
      <c r="O772" s="224"/>
      <c r="P772" s="224"/>
      <c r="Q772" s="224"/>
      <c r="R772" s="224"/>
      <c r="S772" s="224"/>
      <c r="T772" s="224"/>
      <c r="U772" s="224"/>
      <c r="V772" s="224"/>
      <c r="W772" s="106"/>
    </row>
    <row r="773" spans="1:23" s="101" customFormat="1" x14ac:dyDescent="0.3">
      <c r="A773" s="222"/>
      <c r="B773" s="235"/>
      <c r="C773" s="227"/>
      <c r="D773" s="344"/>
      <c r="E773" s="235"/>
      <c r="F773" s="235"/>
      <c r="G773" s="227"/>
      <c r="H773" s="227"/>
      <c r="I773" s="350"/>
      <c r="J773" s="227"/>
      <c r="K773" s="227"/>
      <c r="L773" s="224"/>
      <c r="M773" s="224"/>
      <c r="N773" s="224"/>
      <c r="O773" s="224"/>
      <c r="P773" s="224"/>
      <c r="Q773" s="224"/>
      <c r="R773" s="224"/>
      <c r="S773" s="224"/>
      <c r="T773" s="224"/>
      <c r="U773" s="224"/>
      <c r="V773" s="224"/>
      <c r="W773" s="106"/>
    </row>
    <row r="774" spans="1:23" s="101" customFormat="1" x14ac:dyDescent="0.3">
      <c r="A774" s="222"/>
      <c r="B774" s="235"/>
      <c r="C774" s="227"/>
      <c r="D774" s="344"/>
      <c r="E774" s="235"/>
      <c r="F774" s="235"/>
      <c r="G774" s="227"/>
      <c r="H774" s="227"/>
      <c r="I774" s="350"/>
      <c r="J774" s="227"/>
      <c r="K774" s="227"/>
      <c r="L774" s="224"/>
      <c r="M774" s="224"/>
      <c r="N774" s="224"/>
      <c r="O774" s="224"/>
      <c r="P774" s="224"/>
      <c r="Q774" s="224"/>
      <c r="R774" s="224"/>
      <c r="S774" s="224"/>
      <c r="T774" s="224"/>
      <c r="U774" s="224"/>
      <c r="V774" s="224"/>
      <c r="W774" s="106"/>
    </row>
    <row r="775" spans="1:23" s="101" customFormat="1" x14ac:dyDescent="0.3">
      <c r="A775" s="222"/>
      <c r="B775" s="235"/>
      <c r="C775" s="227"/>
      <c r="D775" s="344"/>
      <c r="E775" s="235"/>
      <c r="F775" s="235"/>
      <c r="G775" s="227"/>
      <c r="H775" s="227"/>
      <c r="I775" s="350"/>
      <c r="J775" s="227"/>
      <c r="K775" s="227"/>
      <c r="L775" s="224"/>
      <c r="M775" s="224"/>
      <c r="N775" s="224"/>
      <c r="O775" s="224"/>
      <c r="P775" s="224"/>
      <c r="Q775" s="224"/>
      <c r="R775" s="224"/>
      <c r="S775" s="224"/>
      <c r="T775" s="224"/>
      <c r="U775" s="224"/>
      <c r="V775" s="224"/>
      <c r="W775" s="106"/>
    </row>
    <row r="776" spans="1:23" s="101" customFormat="1" x14ac:dyDescent="0.3">
      <c r="A776" s="222"/>
      <c r="B776" s="235"/>
      <c r="C776" s="227"/>
      <c r="D776" s="344"/>
      <c r="E776" s="235"/>
      <c r="F776" s="235"/>
      <c r="G776" s="227"/>
      <c r="H776" s="227"/>
      <c r="I776" s="350"/>
      <c r="J776" s="227"/>
      <c r="K776" s="227"/>
      <c r="L776" s="224"/>
      <c r="M776" s="224"/>
      <c r="N776" s="224"/>
      <c r="O776" s="224"/>
      <c r="P776" s="224"/>
      <c r="Q776" s="224"/>
      <c r="R776" s="224"/>
      <c r="S776" s="224"/>
      <c r="T776" s="224"/>
      <c r="U776" s="224"/>
      <c r="V776" s="224"/>
      <c r="W776" s="106"/>
    </row>
    <row r="777" spans="1:23" s="101" customFormat="1" x14ac:dyDescent="0.3">
      <c r="A777" s="222"/>
      <c r="B777" s="235"/>
      <c r="C777" s="227"/>
      <c r="D777" s="344"/>
      <c r="E777" s="235"/>
      <c r="F777" s="235"/>
      <c r="G777" s="227"/>
      <c r="H777" s="227"/>
      <c r="I777" s="350"/>
      <c r="J777" s="227"/>
      <c r="K777" s="227"/>
      <c r="L777" s="224"/>
      <c r="M777" s="224"/>
      <c r="N777" s="224"/>
      <c r="O777" s="224"/>
      <c r="P777" s="224"/>
      <c r="Q777" s="224"/>
      <c r="R777" s="224"/>
      <c r="S777" s="224"/>
      <c r="T777" s="224"/>
      <c r="U777" s="224"/>
      <c r="V777" s="224"/>
      <c r="W777" s="106"/>
    </row>
    <row r="778" spans="1:23" s="101" customFormat="1" x14ac:dyDescent="0.3">
      <c r="A778" s="222"/>
      <c r="B778" s="235"/>
      <c r="C778" s="227"/>
      <c r="D778" s="344"/>
      <c r="E778" s="235"/>
      <c r="F778" s="235"/>
      <c r="G778" s="227"/>
      <c r="H778" s="227"/>
      <c r="I778" s="350"/>
      <c r="J778" s="227"/>
      <c r="K778" s="227"/>
      <c r="L778" s="224"/>
      <c r="M778" s="224"/>
      <c r="N778" s="224"/>
      <c r="O778" s="224"/>
      <c r="P778" s="224"/>
      <c r="Q778" s="224"/>
      <c r="R778" s="224"/>
      <c r="S778" s="224"/>
      <c r="T778" s="224"/>
      <c r="U778" s="224"/>
      <c r="V778" s="224"/>
      <c r="W778" s="106"/>
    </row>
    <row r="779" spans="1:23" s="101" customFormat="1" x14ac:dyDescent="0.3">
      <c r="A779" s="222"/>
      <c r="B779" s="235"/>
      <c r="C779" s="227"/>
      <c r="D779" s="344"/>
      <c r="E779" s="235"/>
      <c r="F779" s="235"/>
      <c r="G779" s="227"/>
      <c r="H779" s="227"/>
      <c r="I779" s="350"/>
      <c r="J779" s="227"/>
      <c r="K779" s="227"/>
      <c r="L779" s="224"/>
      <c r="M779" s="224"/>
      <c r="N779" s="224"/>
      <c r="O779" s="224"/>
      <c r="P779" s="224"/>
      <c r="Q779" s="224"/>
      <c r="R779" s="224"/>
      <c r="S779" s="224"/>
      <c r="T779" s="224"/>
      <c r="U779" s="224"/>
      <c r="V779" s="224"/>
      <c r="W779" s="106"/>
    </row>
    <row r="780" spans="1:23" s="101" customFormat="1" x14ac:dyDescent="0.3">
      <c r="A780" s="222"/>
      <c r="B780" s="235"/>
      <c r="C780" s="227"/>
      <c r="D780" s="344"/>
      <c r="E780" s="235"/>
      <c r="F780" s="235"/>
      <c r="G780" s="227"/>
      <c r="H780" s="227"/>
      <c r="I780" s="350"/>
      <c r="J780" s="227"/>
      <c r="K780" s="227"/>
      <c r="L780" s="224"/>
      <c r="M780" s="224"/>
      <c r="N780" s="224"/>
      <c r="O780" s="224"/>
      <c r="P780" s="224"/>
      <c r="Q780" s="224"/>
      <c r="R780" s="224"/>
      <c r="S780" s="224"/>
      <c r="T780" s="224"/>
      <c r="U780" s="224"/>
      <c r="V780" s="224"/>
      <c r="W780" s="106"/>
    </row>
    <row r="781" spans="1:23" s="101" customFormat="1" x14ac:dyDescent="0.3">
      <c r="A781" s="222"/>
      <c r="B781" s="235"/>
      <c r="C781" s="227"/>
      <c r="D781" s="344"/>
      <c r="E781" s="235"/>
      <c r="F781" s="235"/>
      <c r="G781" s="227"/>
      <c r="H781" s="227"/>
      <c r="I781" s="350"/>
      <c r="J781" s="227"/>
      <c r="K781" s="227"/>
      <c r="L781" s="224"/>
      <c r="M781" s="224"/>
      <c r="N781" s="224"/>
      <c r="O781" s="224"/>
      <c r="P781" s="224"/>
      <c r="Q781" s="224"/>
      <c r="R781" s="224"/>
      <c r="S781" s="224"/>
      <c r="T781" s="224"/>
      <c r="U781" s="224"/>
      <c r="V781" s="224"/>
      <c r="W781" s="106"/>
    </row>
    <row r="782" spans="1:23" s="101" customFormat="1" x14ac:dyDescent="0.3">
      <c r="A782" s="222"/>
      <c r="B782" s="235"/>
      <c r="C782" s="227"/>
      <c r="D782" s="344"/>
      <c r="E782" s="235"/>
      <c r="F782" s="235"/>
      <c r="G782" s="227"/>
      <c r="H782" s="227"/>
      <c r="I782" s="350"/>
      <c r="J782" s="227"/>
      <c r="K782" s="227"/>
      <c r="L782" s="224"/>
      <c r="M782" s="224"/>
      <c r="N782" s="224"/>
      <c r="O782" s="224"/>
      <c r="P782" s="224"/>
      <c r="Q782" s="224"/>
      <c r="R782" s="224"/>
      <c r="S782" s="224"/>
      <c r="T782" s="224"/>
      <c r="U782" s="224"/>
      <c r="V782" s="224"/>
      <c r="W782" s="106"/>
    </row>
    <row r="783" spans="1:23" s="101" customFormat="1" x14ac:dyDescent="0.3">
      <c r="A783" s="222"/>
      <c r="B783" s="235"/>
      <c r="C783" s="227"/>
      <c r="D783" s="344"/>
      <c r="E783" s="235"/>
      <c r="F783" s="235"/>
      <c r="G783" s="227"/>
      <c r="H783" s="227"/>
      <c r="I783" s="350"/>
      <c r="J783" s="227"/>
      <c r="K783" s="227"/>
      <c r="L783" s="224"/>
      <c r="M783" s="224"/>
      <c r="N783" s="224"/>
      <c r="O783" s="224"/>
      <c r="P783" s="224"/>
      <c r="Q783" s="224"/>
      <c r="R783" s="224"/>
      <c r="S783" s="224"/>
      <c r="T783" s="224"/>
      <c r="U783" s="224"/>
      <c r="V783" s="224"/>
      <c r="W783" s="106"/>
    </row>
    <row r="784" spans="1:23" s="101" customFormat="1" x14ac:dyDescent="0.3">
      <c r="A784" s="222"/>
      <c r="B784" s="235"/>
      <c r="C784" s="227"/>
      <c r="D784" s="344"/>
      <c r="E784" s="235"/>
      <c r="F784" s="235"/>
      <c r="G784" s="227"/>
      <c r="H784" s="227"/>
      <c r="I784" s="350"/>
      <c r="J784" s="227"/>
      <c r="K784" s="227"/>
      <c r="L784" s="224"/>
      <c r="M784" s="224"/>
      <c r="N784" s="224"/>
      <c r="O784" s="224"/>
      <c r="P784" s="224"/>
      <c r="Q784" s="224"/>
      <c r="R784" s="224"/>
      <c r="S784" s="224"/>
      <c r="T784" s="224"/>
      <c r="U784" s="224"/>
      <c r="V784" s="224"/>
      <c r="W784" s="106"/>
    </row>
    <row r="785" spans="1:23" s="101" customFormat="1" x14ac:dyDescent="0.3">
      <c r="A785" s="222"/>
      <c r="B785" s="235"/>
      <c r="C785" s="227"/>
      <c r="D785" s="344"/>
      <c r="E785" s="235"/>
      <c r="F785" s="235"/>
      <c r="G785" s="227"/>
      <c r="H785" s="227"/>
      <c r="I785" s="350"/>
      <c r="J785" s="227"/>
      <c r="K785" s="227"/>
      <c r="L785" s="224"/>
      <c r="M785" s="224"/>
      <c r="N785" s="224"/>
      <c r="O785" s="224"/>
      <c r="P785" s="224"/>
      <c r="Q785" s="224"/>
      <c r="R785" s="224"/>
      <c r="S785" s="224"/>
      <c r="T785" s="224"/>
      <c r="U785" s="224"/>
      <c r="V785" s="224"/>
      <c r="W785" s="106"/>
    </row>
    <row r="786" spans="1:23" s="101" customFormat="1" x14ac:dyDescent="0.3">
      <c r="A786" s="222"/>
      <c r="B786" s="235"/>
      <c r="C786" s="227"/>
      <c r="D786" s="344"/>
      <c r="E786" s="235"/>
      <c r="F786" s="235"/>
      <c r="G786" s="227"/>
      <c r="H786" s="227"/>
      <c r="I786" s="350"/>
      <c r="J786" s="227"/>
      <c r="K786" s="227"/>
      <c r="L786" s="224"/>
      <c r="M786" s="224"/>
      <c r="N786" s="224"/>
      <c r="O786" s="224"/>
      <c r="P786" s="224"/>
      <c r="Q786" s="224"/>
      <c r="R786" s="224"/>
      <c r="S786" s="224"/>
      <c r="T786" s="224"/>
      <c r="U786" s="224"/>
      <c r="V786" s="224"/>
      <c r="W786" s="106"/>
    </row>
    <row r="787" spans="1:23" s="101" customFormat="1" x14ac:dyDescent="0.3">
      <c r="A787" s="222"/>
      <c r="B787" s="235"/>
      <c r="C787" s="227"/>
      <c r="D787" s="344"/>
      <c r="E787" s="235"/>
      <c r="F787" s="235"/>
      <c r="G787" s="227"/>
      <c r="H787" s="227"/>
      <c r="I787" s="350"/>
      <c r="J787" s="227"/>
      <c r="K787" s="227"/>
      <c r="L787" s="224"/>
      <c r="M787" s="224"/>
      <c r="N787" s="224"/>
      <c r="O787" s="224"/>
      <c r="P787" s="224"/>
      <c r="Q787" s="224"/>
      <c r="R787" s="224"/>
      <c r="S787" s="224"/>
      <c r="T787" s="224"/>
      <c r="U787" s="224"/>
      <c r="V787" s="224"/>
      <c r="W787" s="106"/>
    </row>
    <row r="788" spans="1:23" s="101" customFormat="1" x14ac:dyDescent="0.3">
      <c r="A788" s="222"/>
      <c r="B788" s="235"/>
      <c r="C788" s="227"/>
      <c r="D788" s="344"/>
      <c r="E788" s="235"/>
      <c r="F788" s="235"/>
      <c r="G788" s="227"/>
      <c r="H788" s="227"/>
      <c r="I788" s="350"/>
      <c r="J788" s="227"/>
      <c r="K788" s="227"/>
      <c r="L788" s="224"/>
      <c r="M788" s="224"/>
      <c r="N788" s="224"/>
      <c r="O788" s="224"/>
      <c r="P788" s="224"/>
      <c r="Q788" s="224"/>
      <c r="R788" s="224"/>
      <c r="S788" s="224"/>
      <c r="T788" s="224"/>
      <c r="U788" s="224"/>
      <c r="V788" s="224"/>
      <c r="W788" s="106"/>
    </row>
    <row r="789" spans="1:23" s="101" customFormat="1" x14ac:dyDescent="0.3">
      <c r="A789" s="222"/>
      <c r="B789" s="235"/>
      <c r="C789" s="227"/>
      <c r="D789" s="344"/>
      <c r="E789" s="235"/>
      <c r="F789" s="235"/>
      <c r="G789" s="227"/>
      <c r="H789" s="227"/>
      <c r="I789" s="350"/>
      <c r="J789" s="227"/>
      <c r="K789" s="227"/>
      <c r="L789" s="224"/>
      <c r="M789" s="224"/>
      <c r="N789" s="224"/>
      <c r="O789" s="224"/>
      <c r="P789" s="224"/>
      <c r="Q789" s="224"/>
      <c r="R789" s="224"/>
      <c r="S789" s="224"/>
      <c r="T789" s="224"/>
      <c r="U789" s="224"/>
      <c r="V789" s="224"/>
      <c r="W789" s="106"/>
    </row>
    <row r="790" spans="1:23" s="101" customFormat="1" x14ac:dyDescent="0.3">
      <c r="A790" s="222"/>
      <c r="B790" s="235"/>
      <c r="C790" s="227"/>
      <c r="D790" s="344"/>
      <c r="E790" s="235"/>
      <c r="F790" s="235"/>
      <c r="G790" s="227"/>
      <c r="H790" s="227"/>
      <c r="I790" s="350"/>
      <c r="J790" s="227"/>
      <c r="K790" s="227"/>
      <c r="L790" s="224"/>
      <c r="M790" s="224"/>
      <c r="N790" s="224"/>
      <c r="O790" s="224"/>
      <c r="P790" s="224"/>
      <c r="Q790" s="224"/>
      <c r="R790" s="224"/>
      <c r="S790" s="224"/>
      <c r="T790" s="224"/>
      <c r="U790" s="224"/>
      <c r="V790" s="224"/>
      <c r="W790" s="106"/>
    </row>
    <row r="791" spans="1:23" s="101" customFormat="1" x14ac:dyDescent="0.3">
      <c r="A791" s="222"/>
      <c r="B791" s="235"/>
      <c r="C791" s="227"/>
      <c r="D791" s="344"/>
      <c r="E791" s="235"/>
      <c r="F791" s="235"/>
      <c r="G791" s="227"/>
      <c r="H791" s="227"/>
      <c r="I791" s="350"/>
      <c r="J791" s="227"/>
      <c r="K791" s="227"/>
      <c r="L791" s="224"/>
      <c r="M791" s="224"/>
      <c r="N791" s="224"/>
      <c r="O791" s="224"/>
      <c r="P791" s="224"/>
      <c r="Q791" s="224"/>
      <c r="R791" s="224"/>
      <c r="S791" s="224"/>
      <c r="T791" s="224"/>
      <c r="U791" s="224"/>
      <c r="V791" s="224"/>
      <c r="W791" s="106"/>
    </row>
    <row r="792" spans="1:23" s="101" customFormat="1" x14ac:dyDescent="0.3">
      <c r="A792" s="222"/>
      <c r="B792" s="235"/>
      <c r="C792" s="227"/>
      <c r="D792" s="344"/>
      <c r="E792" s="235"/>
      <c r="F792" s="235"/>
      <c r="G792" s="227"/>
      <c r="H792" s="227"/>
      <c r="I792" s="350"/>
      <c r="J792" s="227"/>
      <c r="K792" s="227"/>
      <c r="L792" s="224"/>
      <c r="M792" s="224"/>
      <c r="N792" s="224"/>
      <c r="O792" s="224"/>
      <c r="P792" s="224"/>
      <c r="Q792" s="224"/>
      <c r="R792" s="224"/>
      <c r="S792" s="224"/>
      <c r="T792" s="224"/>
      <c r="U792" s="224"/>
      <c r="V792" s="224"/>
      <c r="W792" s="106"/>
    </row>
    <row r="793" spans="1:23" s="101" customFormat="1" x14ac:dyDescent="0.3">
      <c r="A793" s="222"/>
      <c r="B793" s="235"/>
      <c r="C793" s="227"/>
      <c r="D793" s="344"/>
      <c r="E793" s="235"/>
      <c r="F793" s="235"/>
      <c r="G793" s="227"/>
      <c r="H793" s="227"/>
      <c r="I793" s="350"/>
      <c r="J793" s="227"/>
      <c r="K793" s="227"/>
      <c r="L793" s="224"/>
      <c r="M793" s="224"/>
      <c r="N793" s="224"/>
      <c r="O793" s="224"/>
      <c r="P793" s="224"/>
      <c r="Q793" s="224"/>
      <c r="R793" s="224"/>
      <c r="S793" s="224"/>
      <c r="T793" s="224"/>
      <c r="U793" s="224"/>
      <c r="V793" s="224"/>
      <c r="W793" s="106"/>
    </row>
    <row r="794" spans="1:23" s="101" customFormat="1" x14ac:dyDescent="0.3">
      <c r="A794" s="222"/>
      <c r="B794" s="235"/>
      <c r="C794" s="227"/>
      <c r="D794" s="344"/>
      <c r="E794" s="235"/>
      <c r="F794" s="235"/>
      <c r="G794" s="227"/>
      <c r="H794" s="227"/>
      <c r="I794" s="350"/>
      <c r="J794" s="227"/>
      <c r="K794" s="227"/>
      <c r="L794" s="224"/>
      <c r="M794" s="224"/>
      <c r="N794" s="224"/>
      <c r="O794" s="224"/>
      <c r="P794" s="224"/>
      <c r="Q794" s="224"/>
      <c r="R794" s="224"/>
      <c r="S794" s="224"/>
      <c r="T794" s="224"/>
      <c r="U794" s="224"/>
      <c r="V794" s="224"/>
      <c r="W794" s="106"/>
    </row>
    <row r="795" spans="1:23" s="101" customFormat="1" x14ac:dyDescent="0.3">
      <c r="A795" s="222"/>
      <c r="B795" s="235"/>
      <c r="C795" s="227"/>
      <c r="D795" s="344"/>
      <c r="E795" s="235"/>
      <c r="F795" s="235"/>
      <c r="G795" s="227"/>
      <c r="H795" s="227"/>
      <c r="I795" s="350"/>
      <c r="J795" s="227"/>
      <c r="K795" s="227"/>
      <c r="L795" s="224"/>
      <c r="M795" s="224"/>
      <c r="N795" s="224"/>
      <c r="O795" s="224"/>
      <c r="P795" s="224"/>
      <c r="Q795" s="224"/>
      <c r="R795" s="224"/>
      <c r="S795" s="224"/>
      <c r="T795" s="224"/>
      <c r="U795" s="224"/>
      <c r="V795" s="224"/>
      <c r="W795" s="106"/>
    </row>
    <row r="796" spans="1:23" s="101" customFormat="1" x14ac:dyDescent="0.3">
      <c r="A796" s="222"/>
      <c r="B796" s="235"/>
      <c r="C796" s="227"/>
      <c r="D796" s="344"/>
      <c r="E796" s="235"/>
      <c r="F796" s="235"/>
      <c r="G796" s="227"/>
      <c r="H796" s="227"/>
      <c r="I796" s="350"/>
      <c r="J796" s="227"/>
      <c r="K796" s="227"/>
      <c r="L796" s="224"/>
      <c r="M796" s="224"/>
      <c r="N796" s="224"/>
      <c r="O796" s="224"/>
      <c r="P796" s="224"/>
      <c r="Q796" s="224"/>
      <c r="R796" s="224"/>
      <c r="S796" s="224"/>
      <c r="T796" s="224"/>
      <c r="U796" s="224"/>
      <c r="V796" s="224"/>
      <c r="W796" s="106"/>
    </row>
    <row r="797" spans="1:23" s="101" customFormat="1" x14ac:dyDescent="0.3">
      <c r="A797" s="222"/>
      <c r="B797" s="235"/>
      <c r="C797" s="227"/>
      <c r="D797" s="344"/>
      <c r="E797" s="235"/>
      <c r="F797" s="235"/>
      <c r="G797" s="227"/>
      <c r="H797" s="227"/>
      <c r="I797" s="350"/>
      <c r="J797" s="227"/>
      <c r="K797" s="227"/>
      <c r="L797" s="224"/>
      <c r="M797" s="224"/>
      <c r="N797" s="224"/>
      <c r="O797" s="224"/>
      <c r="P797" s="224"/>
      <c r="Q797" s="224"/>
      <c r="R797" s="224"/>
      <c r="S797" s="224"/>
      <c r="T797" s="224"/>
      <c r="U797" s="224"/>
      <c r="V797" s="224"/>
      <c r="W797" s="106"/>
    </row>
    <row r="798" spans="1:23" s="101" customFormat="1" x14ac:dyDescent="0.3">
      <c r="A798" s="222"/>
      <c r="B798" s="235"/>
      <c r="C798" s="227"/>
      <c r="D798" s="344"/>
      <c r="E798" s="235"/>
      <c r="F798" s="235"/>
      <c r="G798" s="227"/>
      <c r="H798" s="227"/>
      <c r="I798" s="350"/>
      <c r="J798" s="227"/>
      <c r="K798" s="227"/>
      <c r="L798" s="224"/>
      <c r="M798" s="224"/>
      <c r="N798" s="224"/>
      <c r="O798" s="224"/>
      <c r="P798" s="224"/>
      <c r="Q798" s="224"/>
      <c r="R798" s="224"/>
      <c r="S798" s="224"/>
      <c r="T798" s="224"/>
      <c r="U798" s="224"/>
      <c r="V798" s="224"/>
      <c r="W798" s="106"/>
    </row>
    <row r="799" spans="1:23" s="101" customFormat="1" x14ac:dyDescent="0.3">
      <c r="A799" s="222"/>
      <c r="B799" s="235"/>
      <c r="C799" s="227"/>
      <c r="D799" s="344"/>
      <c r="E799" s="235"/>
      <c r="F799" s="235"/>
      <c r="G799" s="227"/>
      <c r="H799" s="227"/>
      <c r="I799" s="350"/>
      <c r="J799" s="227"/>
      <c r="K799" s="227"/>
      <c r="L799" s="224"/>
      <c r="M799" s="224"/>
      <c r="N799" s="224"/>
      <c r="O799" s="224"/>
      <c r="P799" s="224"/>
      <c r="Q799" s="224"/>
      <c r="R799" s="224"/>
      <c r="S799" s="224"/>
      <c r="T799" s="224"/>
      <c r="U799" s="224"/>
      <c r="V799" s="224"/>
      <c r="W799" s="106"/>
    </row>
    <row r="800" spans="1:23" s="101" customFormat="1" x14ac:dyDescent="0.3">
      <c r="A800" s="222"/>
      <c r="B800" s="235"/>
      <c r="C800" s="227"/>
      <c r="D800" s="344"/>
      <c r="E800" s="235"/>
      <c r="F800" s="235"/>
      <c r="G800" s="227"/>
      <c r="H800" s="227"/>
      <c r="I800" s="350"/>
      <c r="J800" s="227"/>
      <c r="K800" s="227"/>
      <c r="L800" s="224"/>
      <c r="M800" s="224"/>
      <c r="N800" s="224"/>
      <c r="O800" s="224"/>
      <c r="P800" s="224"/>
      <c r="Q800" s="224"/>
      <c r="R800" s="224"/>
      <c r="S800" s="224"/>
      <c r="T800" s="224"/>
      <c r="U800" s="224"/>
      <c r="V800" s="224"/>
      <c r="W800" s="106"/>
    </row>
    <row r="801" spans="1:23" s="101" customFormat="1" x14ac:dyDescent="0.3">
      <c r="A801" s="222"/>
      <c r="B801" s="235"/>
      <c r="C801" s="227"/>
      <c r="D801" s="344"/>
      <c r="E801" s="235"/>
      <c r="F801" s="235"/>
      <c r="G801" s="227"/>
      <c r="H801" s="227"/>
      <c r="I801" s="350"/>
      <c r="J801" s="227"/>
      <c r="K801" s="227"/>
      <c r="L801" s="224"/>
      <c r="M801" s="224"/>
      <c r="N801" s="224"/>
      <c r="O801" s="224"/>
      <c r="P801" s="224"/>
      <c r="Q801" s="224"/>
      <c r="R801" s="224"/>
      <c r="S801" s="224"/>
      <c r="T801" s="224"/>
      <c r="U801" s="224"/>
      <c r="V801" s="224"/>
      <c r="W801" s="106"/>
    </row>
    <row r="802" spans="1:23" s="101" customFormat="1" x14ac:dyDescent="0.3">
      <c r="A802" s="222"/>
      <c r="B802" s="235"/>
      <c r="C802" s="227"/>
      <c r="D802" s="344"/>
      <c r="E802" s="235"/>
      <c r="F802" s="235"/>
      <c r="G802" s="227"/>
      <c r="H802" s="227"/>
      <c r="I802" s="350"/>
      <c r="J802" s="227"/>
      <c r="K802" s="227"/>
      <c r="L802" s="224"/>
      <c r="M802" s="224"/>
      <c r="N802" s="224"/>
      <c r="O802" s="224"/>
      <c r="P802" s="224"/>
      <c r="Q802" s="224"/>
      <c r="R802" s="224"/>
      <c r="S802" s="224"/>
      <c r="T802" s="224"/>
      <c r="U802" s="224"/>
      <c r="V802" s="224"/>
      <c r="W802" s="106"/>
    </row>
    <row r="803" spans="1:23" s="101" customFormat="1" x14ac:dyDescent="0.3">
      <c r="A803" s="222"/>
      <c r="B803" s="235"/>
      <c r="C803" s="227"/>
      <c r="D803" s="344"/>
      <c r="E803" s="235"/>
      <c r="F803" s="235"/>
      <c r="G803" s="227"/>
      <c r="H803" s="227"/>
      <c r="I803" s="350"/>
      <c r="J803" s="227"/>
      <c r="K803" s="227"/>
      <c r="L803" s="224"/>
      <c r="M803" s="224"/>
      <c r="N803" s="224"/>
      <c r="O803" s="224"/>
      <c r="P803" s="224"/>
      <c r="Q803" s="224"/>
      <c r="R803" s="224"/>
      <c r="S803" s="224"/>
      <c r="T803" s="224"/>
      <c r="U803" s="224"/>
      <c r="V803" s="224"/>
      <c r="W803" s="106"/>
    </row>
    <row r="804" spans="1:23" s="101" customFormat="1" x14ac:dyDescent="0.3">
      <c r="A804" s="222"/>
      <c r="B804" s="235"/>
      <c r="C804" s="227"/>
      <c r="D804" s="344"/>
      <c r="E804" s="235"/>
      <c r="F804" s="235"/>
      <c r="G804" s="227"/>
      <c r="H804" s="227"/>
      <c r="I804" s="350"/>
      <c r="J804" s="227"/>
      <c r="K804" s="227"/>
      <c r="L804" s="224"/>
      <c r="M804" s="224"/>
      <c r="N804" s="224"/>
      <c r="O804" s="224"/>
      <c r="P804" s="224"/>
      <c r="Q804" s="224"/>
      <c r="R804" s="224"/>
      <c r="S804" s="224"/>
      <c r="T804" s="224"/>
      <c r="U804" s="224"/>
      <c r="V804" s="224"/>
      <c r="W804" s="106"/>
    </row>
    <row r="805" spans="1:23" s="101" customFormat="1" x14ac:dyDescent="0.3">
      <c r="A805" s="222"/>
      <c r="B805" s="235"/>
      <c r="C805" s="227"/>
      <c r="D805" s="344"/>
      <c r="E805" s="235"/>
      <c r="F805" s="235"/>
      <c r="G805" s="227"/>
      <c r="H805" s="227"/>
      <c r="I805" s="350"/>
      <c r="J805" s="227"/>
      <c r="K805" s="227"/>
      <c r="L805" s="224"/>
      <c r="M805" s="224"/>
      <c r="N805" s="224"/>
      <c r="O805" s="224"/>
      <c r="P805" s="224"/>
      <c r="Q805" s="224"/>
      <c r="R805" s="224"/>
      <c r="S805" s="224"/>
      <c r="T805" s="224"/>
      <c r="U805" s="224"/>
      <c r="V805" s="224"/>
      <c r="W805" s="106"/>
    </row>
    <row r="806" spans="1:23" s="101" customFormat="1" x14ac:dyDescent="0.3">
      <c r="A806" s="222"/>
      <c r="B806" s="235"/>
      <c r="C806" s="227"/>
      <c r="D806" s="344"/>
      <c r="E806" s="235"/>
      <c r="F806" s="235"/>
      <c r="G806" s="227"/>
      <c r="H806" s="227"/>
      <c r="I806" s="350"/>
      <c r="J806" s="227"/>
      <c r="K806" s="227"/>
      <c r="L806" s="224"/>
      <c r="M806" s="224"/>
      <c r="N806" s="224"/>
      <c r="O806" s="224"/>
      <c r="P806" s="224"/>
      <c r="Q806" s="224"/>
      <c r="R806" s="224"/>
      <c r="S806" s="224"/>
      <c r="T806" s="224"/>
      <c r="U806" s="224"/>
      <c r="V806" s="224"/>
      <c r="W806" s="106"/>
    </row>
    <row r="807" spans="1:23" s="101" customFormat="1" x14ac:dyDescent="0.3">
      <c r="A807" s="222"/>
      <c r="B807" s="235"/>
      <c r="C807" s="227"/>
      <c r="D807" s="344"/>
      <c r="E807" s="235"/>
      <c r="F807" s="235"/>
      <c r="G807" s="227"/>
      <c r="H807" s="227"/>
      <c r="I807" s="350"/>
      <c r="J807" s="227"/>
      <c r="K807" s="227"/>
      <c r="L807" s="224"/>
      <c r="M807" s="224"/>
      <c r="N807" s="224"/>
      <c r="O807" s="224"/>
      <c r="P807" s="224"/>
      <c r="Q807" s="224"/>
      <c r="R807" s="224"/>
      <c r="S807" s="224"/>
      <c r="T807" s="224"/>
      <c r="U807" s="224"/>
      <c r="V807" s="224"/>
      <c r="W807" s="106"/>
    </row>
    <row r="808" spans="1:23" s="101" customFormat="1" x14ac:dyDescent="0.3">
      <c r="A808" s="222"/>
      <c r="B808" s="235"/>
      <c r="C808" s="227"/>
      <c r="D808" s="344"/>
      <c r="E808" s="235"/>
      <c r="F808" s="235"/>
      <c r="G808" s="227"/>
      <c r="H808" s="227"/>
      <c r="I808" s="350"/>
      <c r="J808" s="227"/>
      <c r="K808" s="227"/>
      <c r="L808" s="224"/>
      <c r="M808" s="224"/>
      <c r="N808" s="224"/>
      <c r="O808" s="224"/>
      <c r="P808" s="224"/>
      <c r="Q808" s="224"/>
      <c r="R808" s="224"/>
      <c r="S808" s="224"/>
      <c r="T808" s="224"/>
      <c r="U808" s="224"/>
      <c r="V808" s="224"/>
      <c r="W808" s="106"/>
    </row>
    <row r="809" spans="1:23" s="101" customFormat="1" x14ac:dyDescent="0.3">
      <c r="A809" s="222"/>
      <c r="B809" s="235"/>
      <c r="C809" s="227"/>
      <c r="D809" s="344"/>
      <c r="E809" s="235"/>
      <c r="F809" s="235"/>
      <c r="G809" s="227"/>
      <c r="H809" s="227"/>
      <c r="I809" s="350"/>
      <c r="J809" s="227"/>
      <c r="K809" s="227"/>
      <c r="L809" s="224"/>
      <c r="M809" s="224"/>
      <c r="N809" s="224"/>
      <c r="O809" s="224"/>
      <c r="P809" s="224"/>
      <c r="Q809" s="224"/>
      <c r="R809" s="224"/>
      <c r="S809" s="224"/>
      <c r="T809" s="224"/>
      <c r="U809" s="224"/>
      <c r="V809" s="224"/>
      <c r="W809" s="106"/>
    </row>
    <row r="810" spans="1:23" s="101" customFormat="1" x14ac:dyDescent="0.3">
      <c r="A810" s="222"/>
      <c r="B810" s="235"/>
      <c r="C810" s="227"/>
      <c r="D810" s="344"/>
      <c r="E810" s="235"/>
      <c r="F810" s="235"/>
      <c r="G810" s="227"/>
      <c r="H810" s="227"/>
      <c r="I810" s="350"/>
      <c r="J810" s="227"/>
      <c r="K810" s="227"/>
      <c r="L810" s="224"/>
      <c r="M810" s="224"/>
      <c r="N810" s="224"/>
      <c r="O810" s="224"/>
      <c r="P810" s="224"/>
      <c r="Q810" s="224"/>
      <c r="R810" s="224"/>
      <c r="S810" s="224"/>
      <c r="T810" s="224"/>
      <c r="U810" s="224"/>
      <c r="V810" s="224"/>
      <c r="W810" s="106"/>
    </row>
    <row r="811" spans="1:23" s="101" customFormat="1" x14ac:dyDescent="0.3">
      <c r="A811" s="222"/>
      <c r="B811" s="235"/>
      <c r="C811" s="227"/>
      <c r="D811" s="344"/>
      <c r="E811" s="235"/>
      <c r="F811" s="235"/>
      <c r="G811" s="227"/>
      <c r="H811" s="227"/>
      <c r="I811" s="350"/>
      <c r="J811" s="227"/>
      <c r="K811" s="227"/>
      <c r="L811" s="224"/>
      <c r="M811" s="224"/>
      <c r="N811" s="224"/>
      <c r="O811" s="224"/>
      <c r="P811" s="224"/>
      <c r="Q811" s="224"/>
      <c r="R811" s="224"/>
      <c r="S811" s="224"/>
      <c r="T811" s="224"/>
      <c r="U811" s="224"/>
      <c r="V811" s="224"/>
      <c r="W811" s="106"/>
    </row>
    <row r="812" spans="1:23" s="101" customFormat="1" x14ac:dyDescent="0.3">
      <c r="A812" s="222"/>
      <c r="B812" s="235"/>
      <c r="C812" s="227"/>
      <c r="D812" s="344"/>
      <c r="E812" s="235"/>
      <c r="F812" s="235"/>
      <c r="G812" s="227"/>
      <c r="H812" s="227"/>
      <c r="I812" s="350"/>
      <c r="J812" s="227"/>
      <c r="K812" s="227"/>
      <c r="L812" s="224"/>
      <c r="M812" s="224"/>
      <c r="N812" s="224"/>
      <c r="O812" s="224"/>
      <c r="P812" s="224"/>
      <c r="Q812" s="224"/>
      <c r="R812" s="224"/>
      <c r="S812" s="224"/>
      <c r="T812" s="224"/>
      <c r="U812" s="224"/>
      <c r="V812" s="224"/>
      <c r="W812" s="106"/>
    </row>
    <row r="813" spans="1:23" s="101" customFormat="1" x14ac:dyDescent="0.3">
      <c r="A813" s="222"/>
      <c r="B813" s="235"/>
      <c r="C813" s="227"/>
      <c r="D813" s="344"/>
      <c r="E813" s="235"/>
      <c r="F813" s="235"/>
      <c r="G813" s="227"/>
      <c r="H813" s="227"/>
      <c r="I813" s="350"/>
      <c r="J813" s="227"/>
      <c r="K813" s="227"/>
      <c r="L813" s="224"/>
      <c r="M813" s="224"/>
      <c r="N813" s="224"/>
      <c r="O813" s="224"/>
      <c r="P813" s="224"/>
      <c r="Q813" s="224"/>
      <c r="R813" s="224"/>
      <c r="S813" s="224"/>
      <c r="T813" s="224"/>
      <c r="U813" s="224"/>
      <c r="V813" s="224"/>
      <c r="W813" s="106"/>
    </row>
    <row r="814" spans="1:23" s="101" customFormat="1" x14ac:dyDescent="0.3">
      <c r="A814" s="222"/>
      <c r="B814" s="235"/>
      <c r="C814" s="227"/>
      <c r="D814" s="344"/>
      <c r="E814" s="235"/>
      <c r="F814" s="235"/>
      <c r="G814" s="227"/>
      <c r="H814" s="227"/>
      <c r="I814" s="350"/>
      <c r="J814" s="227"/>
      <c r="K814" s="227"/>
      <c r="L814" s="224"/>
      <c r="M814" s="224"/>
      <c r="N814" s="224"/>
      <c r="O814" s="224"/>
      <c r="P814" s="224"/>
      <c r="Q814" s="224"/>
      <c r="R814" s="224"/>
      <c r="S814" s="224"/>
      <c r="T814" s="224"/>
      <c r="U814" s="224"/>
      <c r="V814" s="224"/>
      <c r="W814" s="106"/>
    </row>
    <row r="815" spans="1:23" s="101" customFormat="1" x14ac:dyDescent="0.3">
      <c r="A815" s="222"/>
      <c r="B815" s="235"/>
      <c r="C815" s="227"/>
      <c r="D815" s="344"/>
      <c r="E815" s="235"/>
      <c r="F815" s="235"/>
      <c r="G815" s="227"/>
      <c r="H815" s="227"/>
      <c r="I815" s="350"/>
      <c r="J815" s="227"/>
      <c r="K815" s="227"/>
      <c r="L815" s="224"/>
      <c r="M815" s="224"/>
      <c r="N815" s="224"/>
      <c r="O815" s="224"/>
      <c r="P815" s="224"/>
      <c r="Q815" s="224"/>
      <c r="R815" s="224"/>
      <c r="S815" s="224"/>
      <c r="T815" s="224"/>
      <c r="U815" s="224"/>
      <c r="V815" s="224"/>
      <c r="W815" s="106"/>
    </row>
    <row r="816" spans="1:23" s="101" customFormat="1" x14ac:dyDescent="0.3">
      <c r="A816" s="222"/>
      <c r="B816" s="235"/>
      <c r="C816" s="227"/>
      <c r="D816" s="344"/>
      <c r="E816" s="235"/>
      <c r="F816" s="235"/>
      <c r="G816" s="227"/>
      <c r="H816" s="227"/>
      <c r="I816" s="350"/>
      <c r="J816" s="227"/>
      <c r="K816" s="227"/>
      <c r="L816" s="224"/>
      <c r="M816" s="224"/>
      <c r="N816" s="224"/>
      <c r="O816" s="224"/>
      <c r="P816" s="224"/>
      <c r="Q816" s="224"/>
      <c r="R816" s="224"/>
      <c r="S816" s="224"/>
      <c r="T816" s="224"/>
      <c r="U816" s="224"/>
      <c r="V816" s="224"/>
      <c r="W816" s="106"/>
    </row>
    <row r="817" spans="1:23" s="101" customFormat="1" x14ac:dyDescent="0.3">
      <c r="A817" s="222"/>
      <c r="B817" s="235"/>
      <c r="C817" s="227"/>
      <c r="D817" s="344"/>
      <c r="E817" s="235"/>
      <c r="F817" s="235"/>
      <c r="G817" s="227"/>
      <c r="H817" s="227"/>
      <c r="I817" s="350"/>
      <c r="J817" s="227"/>
      <c r="K817" s="227"/>
      <c r="L817" s="224"/>
      <c r="M817" s="224"/>
      <c r="N817" s="224"/>
      <c r="O817" s="224"/>
      <c r="P817" s="224"/>
      <c r="Q817" s="224"/>
      <c r="R817" s="224"/>
      <c r="S817" s="224"/>
      <c r="T817" s="224"/>
      <c r="U817" s="224"/>
      <c r="V817" s="224"/>
      <c r="W817" s="106"/>
    </row>
    <row r="818" spans="1:23" s="101" customFormat="1" x14ac:dyDescent="0.3">
      <c r="A818" s="222"/>
      <c r="B818" s="235"/>
      <c r="C818" s="227"/>
      <c r="D818" s="344"/>
      <c r="E818" s="235"/>
      <c r="F818" s="235"/>
      <c r="G818" s="227"/>
      <c r="H818" s="227"/>
      <c r="I818" s="350"/>
      <c r="J818" s="227"/>
      <c r="K818" s="227"/>
      <c r="L818" s="224"/>
      <c r="M818" s="224"/>
      <c r="N818" s="224"/>
      <c r="O818" s="224"/>
      <c r="P818" s="224"/>
      <c r="Q818" s="224"/>
      <c r="R818" s="224"/>
      <c r="S818" s="224"/>
      <c r="T818" s="224"/>
      <c r="U818" s="224"/>
      <c r="V818" s="224"/>
      <c r="W818" s="106"/>
    </row>
    <row r="819" spans="1:23" s="101" customFormat="1" x14ac:dyDescent="0.3">
      <c r="A819" s="222"/>
      <c r="B819" s="235"/>
      <c r="C819" s="227"/>
      <c r="D819" s="344"/>
      <c r="E819" s="235"/>
      <c r="F819" s="235"/>
      <c r="G819" s="227"/>
      <c r="H819" s="227"/>
      <c r="I819" s="350"/>
      <c r="J819" s="227"/>
      <c r="K819" s="227"/>
      <c r="L819" s="224"/>
      <c r="M819" s="224"/>
      <c r="N819" s="224"/>
      <c r="O819" s="224"/>
      <c r="P819" s="224"/>
      <c r="Q819" s="224"/>
      <c r="R819" s="224"/>
      <c r="S819" s="224"/>
      <c r="T819" s="224"/>
      <c r="U819" s="224"/>
      <c r="V819" s="224"/>
      <c r="W819" s="106"/>
    </row>
    <row r="820" spans="1:23" s="101" customFormat="1" x14ac:dyDescent="0.3">
      <c r="A820" s="222"/>
      <c r="B820" s="235"/>
      <c r="C820" s="227"/>
      <c r="D820" s="344"/>
      <c r="E820" s="235"/>
      <c r="F820" s="235"/>
      <c r="G820" s="227"/>
      <c r="H820" s="227"/>
      <c r="I820" s="350"/>
      <c r="J820" s="227"/>
      <c r="K820" s="227"/>
      <c r="L820" s="224"/>
      <c r="M820" s="224"/>
      <c r="N820" s="224"/>
      <c r="O820" s="224"/>
      <c r="P820" s="224"/>
      <c r="Q820" s="224"/>
      <c r="R820" s="224"/>
      <c r="S820" s="224"/>
      <c r="T820" s="224"/>
      <c r="U820" s="224"/>
      <c r="V820" s="224"/>
      <c r="W820" s="106"/>
    </row>
    <row r="821" spans="1:23" s="101" customFormat="1" x14ac:dyDescent="0.3">
      <c r="A821" s="222"/>
      <c r="B821" s="235"/>
      <c r="C821" s="227"/>
      <c r="D821" s="344"/>
      <c r="E821" s="235"/>
      <c r="F821" s="235"/>
      <c r="G821" s="227"/>
      <c r="H821" s="227"/>
      <c r="I821" s="350"/>
      <c r="J821" s="227"/>
      <c r="K821" s="227"/>
      <c r="L821" s="224"/>
      <c r="M821" s="224"/>
      <c r="N821" s="224"/>
      <c r="O821" s="224"/>
      <c r="P821" s="224"/>
      <c r="Q821" s="224"/>
      <c r="R821" s="224"/>
      <c r="S821" s="224"/>
      <c r="T821" s="224"/>
      <c r="U821" s="224"/>
      <c r="V821" s="224"/>
      <c r="W821" s="106"/>
    </row>
    <row r="822" spans="1:23" s="101" customFormat="1" x14ac:dyDescent="0.3">
      <c r="A822" s="222"/>
      <c r="B822" s="235"/>
      <c r="C822" s="227"/>
      <c r="D822" s="344"/>
      <c r="E822" s="235"/>
      <c r="F822" s="235"/>
      <c r="G822" s="227"/>
      <c r="H822" s="227"/>
      <c r="I822" s="350"/>
      <c r="J822" s="227"/>
      <c r="K822" s="227"/>
      <c r="L822" s="224"/>
      <c r="M822" s="224"/>
      <c r="N822" s="224"/>
      <c r="O822" s="224"/>
      <c r="P822" s="224"/>
      <c r="Q822" s="224"/>
      <c r="R822" s="224"/>
      <c r="S822" s="224"/>
      <c r="T822" s="224"/>
      <c r="U822" s="224"/>
      <c r="V822" s="224"/>
      <c r="W822" s="106"/>
    </row>
    <row r="823" spans="1:23" s="101" customFormat="1" x14ac:dyDescent="0.3">
      <c r="A823" s="222"/>
      <c r="B823" s="235"/>
      <c r="C823" s="227"/>
      <c r="D823" s="344"/>
      <c r="E823" s="235"/>
      <c r="F823" s="235"/>
      <c r="G823" s="227"/>
      <c r="H823" s="227"/>
      <c r="I823" s="350"/>
      <c r="J823" s="227"/>
      <c r="K823" s="227"/>
      <c r="L823" s="224"/>
      <c r="M823" s="224"/>
      <c r="N823" s="224"/>
      <c r="O823" s="224"/>
      <c r="P823" s="224"/>
      <c r="Q823" s="224"/>
      <c r="R823" s="224"/>
      <c r="S823" s="224"/>
      <c r="T823" s="224"/>
      <c r="U823" s="224"/>
      <c r="V823" s="224"/>
      <c r="W823" s="106"/>
    </row>
    <row r="824" spans="1:23" s="101" customFormat="1" x14ac:dyDescent="0.3">
      <c r="A824" s="222"/>
      <c r="B824" s="235"/>
      <c r="C824" s="227"/>
      <c r="D824" s="344"/>
      <c r="E824" s="235"/>
      <c r="F824" s="235"/>
      <c r="G824" s="227"/>
      <c r="H824" s="227"/>
      <c r="I824" s="350"/>
      <c r="J824" s="227"/>
      <c r="K824" s="227"/>
      <c r="L824" s="224"/>
      <c r="M824" s="224"/>
      <c r="N824" s="224"/>
      <c r="O824" s="224"/>
      <c r="P824" s="224"/>
      <c r="Q824" s="224"/>
      <c r="R824" s="224"/>
      <c r="S824" s="224"/>
      <c r="T824" s="224"/>
      <c r="U824" s="224"/>
      <c r="V824" s="224"/>
      <c r="W824" s="106"/>
    </row>
    <row r="825" spans="1:23" s="101" customFormat="1" x14ac:dyDescent="0.3">
      <c r="A825" s="222"/>
      <c r="B825" s="235"/>
      <c r="C825" s="227"/>
      <c r="D825" s="344"/>
      <c r="E825" s="235"/>
      <c r="F825" s="235"/>
      <c r="G825" s="227"/>
      <c r="H825" s="227"/>
      <c r="I825" s="350"/>
      <c r="J825" s="227"/>
      <c r="K825" s="227"/>
      <c r="L825" s="224"/>
      <c r="M825" s="224"/>
      <c r="N825" s="224"/>
      <c r="O825" s="224"/>
      <c r="P825" s="224"/>
      <c r="Q825" s="224"/>
      <c r="R825" s="224"/>
      <c r="S825" s="224"/>
      <c r="T825" s="224"/>
      <c r="U825" s="224"/>
      <c r="V825" s="224"/>
      <c r="W825" s="106"/>
    </row>
    <row r="826" spans="1:23" s="101" customFormat="1" x14ac:dyDescent="0.3">
      <c r="A826" s="222"/>
      <c r="B826" s="235"/>
      <c r="C826" s="227"/>
      <c r="D826" s="344"/>
      <c r="E826" s="235"/>
      <c r="F826" s="235"/>
      <c r="G826" s="227"/>
      <c r="H826" s="227"/>
      <c r="I826" s="350"/>
      <c r="J826" s="227"/>
      <c r="K826" s="227"/>
      <c r="L826" s="224"/>
      <c r="M826" s="224"/>
      <c r="N826" s="224"/>
      <c r="O826" s="224"/>
      <c r="P826" s="224"/>
      <c r="Q826" s="224"/>
      <c r="R826" s="224"/>
      <c r="S826" s="224"/>
      <c r="T826" s="224"/>
      <c r="U826" s="224"/>
      <c r="V826" s="224"/>
      <c r="W826" s="106"/>
    </row>
    <row r="827" spans="1:23" s="101" customFormat="1" x14ac:dyDescent="0.3">
      <c r="A827" s="222"/>
      <c r="B827" s="235"/>
      <c r="C827" s="227"/>
      <c r="D827" s="344"/>
      <c r="E827" s="235"/>
      <c r="F827" s="235"/>
      <c r="G827" s="227"/>
      <c r="H827" s="227"/>
      <c r="I827" s="350"/>
      <c r="J827" s="227"/>
      <c r="K827" s="227"/>
      <c r="L827" s="224"/>
      <c r="M827" s="224"/>
      <c r="N827" s="224"/>
      <c r="O827" s="224"/>
      <c r="P827" s="224"/>
      <c r="Q827" s="224"/>
      <c r="R827" s="224"/>
      <c r="S827" s="224"/>
      <c r="T827" s="224"/>
      <c r="U827" s="224"/>
      <c r="V827" s="224"/>
      <c r="W827" s="106"/>
    </row>
    <row r="828" spans="1:23" s="101" customFormat="1" x14ac:dyDescent="0.3">
      <c r="A828" s="222"/>
      <c r="B828" s="235"/>
      <c r="C828" s="227"/>
      <c r="D828" s="344"/>
      <c r="E828" s="235"/>
      <c r="F828" s="235"/>
      <c r="G828" s="227"/>
      <c r="H828" s="227"/>
      <c r="I828" s="350"/>
      <c r="J828" s="227"/>
      <c r="K828" s="227"/>
      <c r="L828" s="224"/>
      <c r="M828" s="224"/>
      <c r="N828" s="224"/>
      <c r="O828" s="224"/>
      <c r="P828" s="224"/>
      <c r="Q828" s="224"/>
      <c r="R828" s="224"/>
      <c r="S828" s="224"/>
      <c r="T828" s="224"/>
      <c r="U828" s="224"/>
      <c r="V828" s="224"/>
      <c r="W828" s="106"/>
    </row>
    <row r="829" spans="1:23" s="101" customFormat="1" x14ac:dyDescent="0.3">
      <c r="A829" s="222"/>
      <c r="B829" s="235"/>
      <c r="C829" s="227"/>
      <c r="D829" s="344"/>
      <c r="E829" s="235"/>
      <c r="F829" s="235"/>
      <c r="G829" s="227"/>
      <c r="H829" s="227"/>
      <c r="I829" s="350"/>
      <c r="J829" s="227"/>
      <c r="K829" s="227"/>
      <c r="L829" s="224"/>
      <c r="M829" s="224"/>
      <c r="N829" s="224"/>
      <c r="O829" s="224"/>
      <c r="P829" s="224"/>
      <c r="Q829" s="224"/>
      <c r="R829" s="224"/>
      <c r="S829" s="224"/>
      <c r="T829" s="224"/>
      <c r="U829" s="224"/>
      <c r="V829" s="224"/>
      <c r="W829" s="106"/>
    </row>
    <row r="830" spans="1:23" s="101" customFormat="1" x14ac:dyDescent="0.3">
      <c r="A830" s="222"/>
      <c r="B830" s="235"/>
      <c r="C830" s="227"/>
      <c r="D830" s="344"/>
      <c r="E830" s="235"/>
      <c r="F830" s="235"/>
      <c r="G830" s="227"/>
      <c r="H830" s="227"/>
      <c r="I830" s="350"/>
      <c r="J830" s="227"/>
      <c r="K830" s="227"/>
      <c r="L830" s="224"/>
      <c r="M830" s="224"/>
      <c r="N830" s="224"/>
      <c r="O830" s="224"/>
      <c r="P830" s="224"/>
      <c r="Q830" s="224"/>
      <c r="R830" s="224"/>
      <c r="S830" s="224"/>
      <c r="T830" s="224"/>
      <c r="U830" s="224"/>
      <c r="V830" s="224"/>
      <c r="W830" s="106"/>
    </row>
    <row r="831" spans="1:23" s="101" customFormat="1" x14ac:dyDescent="0.3">
      <c r="A831" s="222"/>
      <c r="B831" s="235"/>
      <c r="C831" s="227"/>
      <c r="D831" s="344"/>
      <c r="E831" s="235"/>
      <c r="F831" s="235"/>
      <c r="G831" s="227"/>
      <c r="H831" s="227"/>
      <c r="I831" s="350"/>
      <c r="J831" s="227"/>
      <c r="K831" s="227"/>
      <c r="L831" s="224"/>
      <c r="M831" s="224"/>
      <c r="N831" s="224"/>
      <c r="O831" s="224"/>
      <c r="P831" s="224"/>
      <c r="Q831" s="224"/>
      <c r="R831" s="224"/>
      <c r="S831" s="224"/>
      <c r="T831" s="224"/>
      <c r="U831" s="224"/>
      <c r="V831" s="224"/>
      <c r="W831" s="106"/>
    </row>
    <row r="832" spans="1:23" s="101" customFormat="1" x14ac:dyDescent="0.3">
      <c r="A832" s="222"/>
      <c r="B832" s="235"/>
      <c r="C832" s="227"/>
      <c r="D832" s="344"/>
      <c r="E832" s="235"/>
      <c r="F832" s="235"/>
      <c r="G832" s="227"/>
      <c r="H832" s="227"/>
      <c r="I832" s="350"/>
      <c r="J832" s="227"/>
      <c r="K832" s="227"/>
      <c r="L832" s="224"/>
      <c r="M832" s="224"/>
      <c r="N832" s="224"/>
      <c r="O832" s="224"/>
      <c r="P832" s="224"/>
      <c r="Q832" s="224"/>
      <c r="R832" s="224"/>
      <c r="S832" s="224"/>
      <c r="T832" s="224"/>
      <c r="U832" s="224"/>
      <c r="V832" s="224"/>
      <c r="W832" s="106"/>
    </row>
    <row r="833" spans="1:23" s="101" customFormat="1" x14ac:dyDescent="0.3">
      <c r="A833" s="222"/>
      <c r="B833" s="235"/>
      <c r="C833" s="227"/>
      <c r="D833" s="344"/>
      <c r="E833" s="235"/>
      <c r="F833" s="235"/>
      <c r="G833" s="227"/>
      <c r="H833" s="227"/>
      <c r="I833" s="350"/>
      <c r="J833" s="227"/>
      <c r="K833" s="227"/>
      <c r="L833" s="224"/>
      <c r="M833" s="224"/>
      <c r="N833" s="224"/>
      <c r="O833" s="224"/>
      <c r="P833" s="224"/>
      <c r="Q833" s="224"/>
      <c r="R833" s="224"/>
      <c r="S833" s="224"/>
      <c r="T833" s="224"/>
      <c r="U833" s="224"/>
      <c r="V833" s="224"/>
      <c r="W833" s="106"/>
    </row>
    <row r="834" spans="1:23" s="101" customFormat="1" x14ac:dyDescent="0.3">
      <c r="A834" s="222"/>
      <c r="B834" s="235"/>
      <c r="C834" s="227"/>
      <c r="D834" s="344"/>
      <c r="E834" s="235"/>
      <c r="F834" s="235"/>
      <c r="G834" s="227"/>
      <c r="H834" s="227"/>
      <c r="I834" s="350"/>
      <c r="J834" s="227"/>
      <c r="K834" s="227"/>
      <c r="L834" s="224"/>
      <c r="M834" s="224"/>
      <c r="N834" s="224"/>
      <c r="O834" s="224"/>
      <c r="P834" s="224"/>
      <c r="Q834" s="224"/>
      <c r="R834" s="224"/>
      <c r="S834" s="224"/>
      <c r="T834" s="224"/>
      <c r="U834" s="224"/>
      <c r="V834" s="224"/>
      <c r="W834" s="106"/>
    </row>
    <row r="835" spans="1:23" s="101" customFormat="1" x14ac:dyDescent="0.3">
      <c r="A835" s="222"/>
      <c r="B835" s="235"/>
      <c r="C835" s="227"/>
      <c r="D835" s="344"/>
      <c r="E835" s="235"/>
      <c r="F835" s="235"/>
      <c r="G835" s="227"/>
      <c r="H835" s="227"/>
      <c r="I835" s="350"/>
      <c r="J835" s="227"/>
      <c r="K835" s="227"/>
      <c r="L835" s="224"/>
      <c r="M835" s="224"/>
      <c r="N835" s="224"/>
      <c r="O835" s="224"/>
      <c r="P835" s="224"/>
      <c r="Q835" s="224"/>
      <c r="R835" s="224"/>
      <c r="S835" s="224"/>
      <c r="T835" s="224"/>
      <c r="U835" s="224"/>
      <c r="V835" s="224"/>
      <c r="W835" s="106"/>
    </row>
    <row r="836" spans="1:23" s="101" customFormat="1" x14ac:dyDescent="0.3">
      <c r="A836" s="222"/>
      <c r="B836" s="235"/>
      <c r="C836" s="227"/>
      <c r="D836" s="344"/>
      <c r="E836" s="235"/>
      <c r="F836" s="235"/>
      <c r="G836" s="227"/>
      <c r="H836" s="227"/>
      <c r="I836" s="350"/>
      <c r="J836" s="227"/>
      <c r="K836" s="227"/>
      <c r="L836" s="224"/>
      <c r="M836" s="224"/>
      <c r="N836" s="224"/>
      <c r="O836" s="224"/>
      <c r="P836" s="224"/>
      <c r="Q836" s="224"/>
      <c r="R836" s="224"/>
      <c r="S836" s="224"/>
      <c r="T836" s="224"/>
      <c r="U836" s="224"/>
      <c r="V836" s="224"/>
      <c r="W836" s="106"/>
    </row>
    <row r="837" spans="1:23" s="101" customFormat="1" x14ac:dyDescent="0.3">
      <c r="A837" s="222"/>
      <c r="B837" s="235"/>
      <c r="C837" s="227"/>
      <c r="D837" s="344"/>
      <c r="E837" s="235"/>
      <c r="F837" s="235"/>
      <c r="G837" s="227"/>
      <c r="H837" s="227"/>
      <c r="I837" s="350"/>
      <c r="J837" s="227"/>
      <c r="K837" s="227"/>
      <c r="L837" s="224"/>
      <c r="M837" s="224"/>
      <c r="N837" s="224"/>
      <c r="O837" s="224"/>
      <c r="P837" s="224"/>
      <c r="Q837" s="224"/>
      <c r="R837" s="224"/>
      <c r="S837" s="224"/>
      <c r="T837" s="224"/>
      <c r="U837" s="224"/>
      <c r="V837" s="224"/>
      <c r="W837" s="106"/>
    </row>
    <row r="838" spans="1:23" s="101" customFormat="1" x14ac:dyDescent="0.3">
      <c r="A838" s="222"/>
      <c r="B838" s="235"/>
      <c r="C838" s="227"/>
      <c r="D838" s="344"/>
      <c r="E838" s="235"/>
      <c r="F838" s="235"/>
      <c r="G838" s="227"/>
      <c r="H838" s="227"/>
      <c r="I838" s="350"/>
      <c r="J838" s="227"/>
      <c r="K838" s="227"/>
      <c r="L838" s="224"/>
      <c r="M838" s="224"/>
      <c r="N838" s="224"/>
      <c r="O838" s="224"/>
      <c r="P838" s="224"/>
      <c r="Q838" s="224"/>
      <c r="R838" s="224"/>
      <c r="S838" s="224"/>
      <c r="T838" s="224"/>
      <c r="U838" s="224"/>
      <c r="V838" s="224"/>
      <c r="W838" s="106"/>
    </row>
    <row r="839" spans="1:23" s="101" customFormat="1" x14ac:dyDescent="0.3">
      <c r="A839" s="222"/>
      <c r="B839" s="235"/>
      <c r="C839" s="227"/>
      <c r="D839" s="344"/>
      <c r="E839" s="235"/>
      <c r="F839" s="235"/>
      <c r="G839" s="227"/>
      <c r="H839" s="227"/>
      <c r="I839" s="350"/>
      <c r="J839" s="227"/>
      <c r="K839" s="227"/>
      <c r="L839" s="224"/>
      <c r="M839" s="224"/>
      <c r="N839" s="224"/>
      <c r="O839" s="224"/>
      <c r="P839" s="224"/>
      <c r="Q839" s="224"/>
      <c r="R839" s="224"/>
      <c r="S839" s="224"/>
      <c r="T839" s="224"/>
      <c r="U839" s="224"/>
      <c r="V839" s="224"/>
      <c r="W839" s="106"/>
    </row>
    <row r="840" spans="1:23" s="101" customFormat="1" x14ac:dyDescent="0.3">
      <c r="A840" s="222"/>
      <c r="B840" s="235"/>
      <c r="C840" s="227"/>
      <c r="D840" s="344"/>
      <c r="E840" s="235"/>
      <c r="F840" s="235"/>
      <c r="G840" s="227"/>
      <c r="H840" s="227"/>
      <c r="I840" s="350"/>
      <c r="J840" s="227"/>
      <c r="K840" s="227"/>
      <c r="L840" s="224"/>
      <c r="M840" s="224"/>
      <c r="N840" s="224"/>
      <c r="O840" s="224"/>
      <c r="P840" s="224"/>
      <c r="Q840" s="224"/>
      <c r="R840" s="224"/>
      <c r="S840" s="224"/>
      <c r="T840" s="224"/>
      <c r="U840" s="224"/>
      <c r="V840" s="224"/>
      <c r="W840" s="106"/>
    </row>
    <row r="841" spans="1:23" s="101" customFormat="1" x14ac:dyDescent="0.3">
      <c r="A841" s="222"/>
      <c r="B841" s="235"/>
      <c r="C841" s="227"/>
      <c r="D841" s="344"/>
      <c r="E841" s="235"/>
      <c r="F841" s="235"/>
      <c r="G841" s="227"/>
      <c r="H841" s="227"/>
      <c r="I841" s="350"/>
      <c r="J841" s="227"/>
      <c r="K841" s="227"/>
      <c r="L841" s="224"/>
      <c r="M841" s="224"/>
      <c r="N841" s="224"/>
      <c r="O841" s="224"/>
      <c r="P841" s="224"/>
      <c r="Q841" s="224"/>
      <c r="R841" s="224"/>
      <c r="S841" s="224"/>
      <c r="T841" s="224"/>
      <c r="U841" s="224"/>
      <c r="V841" s="224"/>
      <c r="W841" s="106"/>
    </row>
    <row r="842" spans="1:23" s="101" customFormat="1" x14ac:dyDescent="0.3">
      <c r="A842" s="222"/>
      <c r="B842" s="235"/>
      <c r="C842" s="227"/>
      <c r="D842" s="344"/>
      <c r="E842" s="235"/>
      <c r="F842" s="235"/>
      <c r="G842" s="227"/>
      <c r="H842" s="227"/>
      <c r="I842" s="350"/>
      <c r="J842" s="227"/>
      <c r="K842" s="227"/>
      <c r="L842" s="224"/>
      <c r="M842" s="224"/>
      <c r="N842" s="224"/>
      <c r="O842" s="224"/>
      <c r="P842" s="224"/>
      <c r="Q842" s="224"/>
      <c r="R842" s="224"/>
      <c r="S842" s="224"/>
      <c r="T842" s="224"/>
      <c r="U842" s="224"/>
      <c r="V842" s="224"/>
      <c r="W842" s="106"/>
    </row>
    <row r="843" spans="1:23" s="101" customFormat="1" x14ac:dyDescent="0.3">
      <c r="A843" s="222"/>
      <c r="B843" s="235"/>
      <c r="C843" s="227"/>
      <c r="D843" s="344"/>
      <c r="E843" s="235"/>
      <c r="F843" s="235"/>
      <c r="G843" s="227"/>
      <c r="H843" s="227"/>
      <c r="I843" s="350"/>
      <c r="J843" s="227"/>
      <c r="K843" s="227"/>
      <c r="L843" s="224"/>
      <c r="M843" s="224"/>
      <c r="N843" s="224"/>
      <c r="O843" s="224"/>
      <c r="P843" s="224"/>
      <c r="Q843" s="224"/>
      <c r="R843" s="224"/>
      <c r="S843" s="224"/>
      <c r="T843" s="224"/>
      <c r="U843" s="224"/>
      <c r="V843" s="224"/>
      <c r="W843" s="106"/>
    </row>
    <row r="844" spans="1:23" s="101" customFormat="1" x14ac:dyDescent="0.3">
      <c r="A844" s="222"/>
      <c r="B844" s="235"/>
      <c r="C844" s="227"/>
      <c r="D844" s="344"/>
      <c r="E844" s="235"/>
      <c r="F844" s="235"/>
      <c r="G844" s="227"/>
      <c r="H844" s="227"/>
      <c r="I844" s="350"/>
      <c r="J844" s="227"/>
      <c r="K844" s="227"/>
      <c r="L844" s="224"/>
      <c r="M844" s="224"/>
      <c r="N844" s="224"/>
      <c r="O844" s="224"/>
      <c r="P844" s="224"/>
      <c r="Q844" s="224"/>
      <c r="R844" s="224"/>
      <c r="S844" s="224"/>
      <c r="T844" s="224"/>
      <c r="U844" s="224"/>
      <c r="V844" s="224"/>
      <c r="W844" s="106"/>
    </row>
    <row r="845" spans="1:23" s="101" customFormat="1" x14ac:dyDescent="0.3">
      <c r="A845" s="222"/>
      <c r="B845" s="235"/>
      <c r="C845" s="227"/>
      <c r="D845" s="344"/>
      <c r="E845" s="235"/>
      <c r="F845" s="235"/>
      <c r="G845" s="227"/>
      <c r="H845" s="227"/>
      <c r="I845" s="350"/>
      <c r="J845" s="227"/>
      <c r="K845" s="227"/>
      <c r="L845" s="224"/>
      <c r="M845" s="224"/>
      <c r="N845" s="224"/>
      <c r="O845" s="224"/>
      <c r="P845" s="224"/>
      <c r="Q845" s="224"/>
      <c r="R845" s="224"/>
      <c r="S845" s="224"/>
      <c r="T845" s="224"/>
      <c r="U845" s="224"/>
      <c r="V845" s="224"/>
      <c r="W845" s="106"/>
    </row>
    <row r="846" spans="1:23" s="101" customFormat="1" x14ac:dyDescent="0.3">
      <c r="A846" s="222"/>
      <c r="B846" s="235"/>
      <c r="C846" s="227"/>
      <c r="D846" s="344"/>
      <c r="E846" s="235"/>
      <c r="F846" s="235"/>
      <c r="G846" s="227"/>
      <c r="H846" s="227"/>
      <c r="I846" s="350"/>
      <c r="J846" s="227"/>
      <c r="K846" s="227"/>
      <c r="L846" s="224"/>
      <c r="M846" s="224"/>
      <c r="N846" s="224"/>
      <c r="O846" s="224"/>
      <c r="P846" s="224"/>
      <c r="Q846" s="224"/>
      <c r="R846" s="224"/>
      <c r="S846" s="224"/>
      <c r="T846" s="224"/>
      <c r="U846" s="224"/>
      <c r="V846" s="224"/>
      <c r="W846" s="106"/>
    </row>
    <row r="847" spans="1:23" s="101" customFormat="1" x14ac:dyDescent="0.3">
      <c r="A847" s="222"/>
      <c r="B847" s="235"/>
      <c r="C847" s="227"/>
      <c r="D847" s="344"/>
      <c r="E847" s="235"/>
      <c r="F847" s="235"/>
      <c r="G847" s="227"/>
      <c r="H847" s="227"/>
      <c r="I847" s="350"/>
      <c r="J847" s="227"/>
      <c r="K847" s="227"/>
      <c r="L847" s="224"/>
      <c r="M847" s="224"/>
      <c r="N847" s="224"/>
      <c r="O847" s="224"/>
      <c r="P847" s="224"/>
      <c r="Q847" s="224"/>
      <c r="R847" s="224"/>
      <c r="S847" s="224"/>
      <c r="T847" s="224"/>
      <c r="U847" s="224"/>
      <c r="V847" s="224"/>
      <c r="W847" s="106"/>
    </row>
    <row r="848" spans="1:23" s="101" customFormat="1" x14ac:dyDescent="0.3">
      <c r="A848" s="222"/>
      <c r="B848" s="235"/>
      <c r="C848" s="227"/>
      <c r="D848" s="344"/>
      <c r="E848" s="235"/>
      <c r="F848" s="235"/>
      <c r="G848" s="227"/>
      <c r="H848" s="227"/>
      <c r="I848" s="350"/>
      <c r="J848" s="227"/>
      <c r="K848" s="227"/>
      <c r="L848" s="224"/>
      <c r="M848" s="224"/>
      <c r="N848" s="224"/>
      <c r="O848" s="224"/>
      <c r="P848" s="224"/>
      <c r="Q848" s="224"/>
      <c r="R848" s="224"/>
      <c r="S848" s="224"/>
      <c r="T848" s="224"/>
      <c r="U848" s="224"/>
      <c r="V848" s="224"/>
      <c r="W848" s="106"/>
    </row>
    <row r="849" spans="1:23" s="101" customFormat="1" x14ac:dyDescent="0.3">
      <c r="A849" s="222"/>
      <c r="B849" s="235"/>
      <c r="C849" s="227"/>
      <c r="D849" s="344"/>
      <c r="E849" s="235"/>
      <c r="F849" s="235"/>
      <c r="G849" s="227"/>
      <c r="H849" s="227"/>
      <c r="I849" s="350"/>
      <c r="J849" s="227"/>
      <c r="K849" s="227"/>
      <c r="L849" s="224"/>
      <c r="M849" s="224"/>
      <c r="N849" s="224"/>
      <c r="O849" s="224"/>
      <c r="P849" s="224"/>
      <c r="Q849" s="224"/>
      <c r="R849" s="224"/>
      <c r="S849" s="224"/>
      <c r="T849" s="224"/>
      <c r="U849" s="224"/>
      <c r="V849" s="224"/>
      <c r="W849" s="106"/>
    </row>
    <row r="850" spans="1:23" s="101" customFormat="1" x14ac:dyDescent="0.3">
      <c r="A850" s="222"/>
      <c r="B850" s="235"/>
      <c r="C850" s="227"/>
      <c r="D850" s="344"/>
      <c r="E850" s="235"/>
      <c r="F850" s="235"/>
      <c r="G850" s="227"/>
      <c r="H850" s="227"/>
      <c r="I850" s="350"/>
      <c r="J850" s="227"/>
      <c r="K850" s="227"/>
      <c r="L850" s="224"/>
      <c r="M850" s="224"/>
      <c r="N850" s="224"/>
      <c r="O850" s="224"/>
      <c r="P850" s="224"/>
      <c r="Q850" s="224"/>
      <c r="R850" s="224"/>
      <c r="S850" s="224"/>
      <c r="T850" s="224"/>
      <c r="U850" s="224"/>
      <c r="V850" s="224"/>
      <c r="W850" s="106"/>
    </row>
    <row r="851" spans="1:23" s="101" customFormat="1" x14ac:dyDescent="0.3">
      <c r="A851" s="222"/>
      <c r="B851" s="235"/>
      <c r="C851" s="227"/>
      <c r="D851" s="344"/>
      <c r="E851" s="235"/>
      <c r="F851" s="235"/>
      <c r="G851" s="227"/>
      <c r="H851" s="227"/>
      <c r="I851" s="350"/>
      <c r="J851" s="227"/>
      <c r="K851" s="227"/>
      <c r="L851" s="224"/>
      <c r="M851" s="224"/>
      <c r="N851" s="224"/>
      <c r="O851" s="224"/>
      <c r="P851" s="224"/>
      <c r="Q851" s="224"/>
      <c r="R851" s="224"/>
      <c r="S851" s="224"/>
      <c r="T851" s="224"/>
      <c r="U851" s="224"/>
      <c r="V851" s="224"/>
      <c r="W851" s="106"/>
    </row>
    <row r="852" spans="1:23" s="101" customFormat="1" x14ac:dyDescent="0.3">
      <c r="A852" s="222"/>
      <c r="B852" s="235"/>
      <c r="C852" s="227"/>
      <c r="D852" s="344"/>
      <c r="E852" s="235"/>
      <c r="F852" s="235"/>
      <c r="G852" s="227"/>
      <c r="H852" s="227"/>
      <c r="I852" s="350"/>
      <c r="J852" s="227"/>
      <c r="K852" s="227"/>
      <c r="L852" s="224"/>
      <c r="M852" s="224"/>
      <c r="N852" s="224"/>
      <c r="O852" s="224"/>
      <c r="P852" s="224"/>
      <c r="Q852" s="224"/>
      <c r="R852" s="224"/>
      <c r="S852" s="224"/>
      <c r="T852" s="224"/>
      <c r="U852" s="224"/>
      <c r="V852" s="224"/>
      <c r="W852" s="106"/>
    </row>
    <row r="853" spans="1:23" s="101" customFormat="1" x14ac:dyDescent="0.3">
      <c r="A853" s="222"/>
      <c r="B853" s="235"/>
      <c r="C853" s="227"/>
      <c r="D853" s="344"/>
      <c r="E853" s="235"/>
      <c r="F853" s="235"/>
      <c r="G853" s="227"/>
      <c r="H853" s="227"/>
      <c r="I853" s="350"/>
      <c r="J853" s="227"/>
      <c r="K853" s="227"/>
      <c r="L853" s="224"/>
      <c r="M853" s="224"/>
      <c r="N853" s="224"/>
      <c r="O853" s="224"/>
      <c r="P853" s="224"/>
      <c r="Q853" s="224"/>
      <c r="R853" s="224"/>
      <c r="S853" s="224"/>
      <c r="T853" s="224"/>
      <c r="U853" s="224"/>
      <c r="V853" s="224"/>
      <c r="W853" s="106"/>
    </row>
    <row r="854" spans="1:23" s="101" customFormat="1" x14ac:dyDescent="0.3">
      <c r="A854" s="222"/>
      <c r="B854" s="235"/>
      <c r="C854" s="227"/>
      <c r="D854" s="344"/>
      <c r="E854" s="235"/>
      <c r="F854" s="235"/>
      <c r="G854" s="227"/>
      <c r="H854" s="227"/>
      <c r="I854" s="350"/>
      <c r="J854" s="227"/>
      <c r="K854" s="227"/>
      <c r="L854" s="224"/>
      <c r="M854" s="224"/>
      <c r="N854" s="224"/>
      <c r="O854" s="224"/>
      <c r="P854" s="224"/>
      <c r="Q854" s="224"/>
      <c r="R854" s="224"/>
      <c r="S854" s="224"/>
      <c r="T854" s="224"/>
      <c r="U854" s="224"/>
      <c r="V854" s="224"/>
      <c r="W854" s="106"/>
    </row>
    <row r="855" spans="1:23" s="101" customFormat="1" x14ac:dyDescent="0.3">
      <c r="A855" s="222"/>
      <c r="B855" s="235"/>
      <c r="C855" s="227"/>
      <c r="D855" s="344"/>
      <c r="E855" s="235"/>
      <c r="F855" s="235"/>
      <c r="G855" s="227"/>
      <c r="H855" s="227"/>
      <c r="I855" s="350"/>
      <c r="J855" s="227"/>
      <c r="K855" s="227"/>
      <c r="L855" s="224"/>
      <c r="M855" s="224"/>
      <c r="N855" s="224"/>
      <c r="O855" s="224"/>
      <c r="P855" s="224"/>
      <c r="Q855" s="224"/>
      <c r="R855" s="224"/>
      <c r="S855" s="224"/>
      <c r="T855" s="224"/>
      <c r="U855" s="224"/>
      <c r="V855" s="224"/>
      <c r="W855" s="106"/>
    </row>
    <row r="856" spans="1:23" s="101" customFormat="1" x14ac:dyDescent="0.3">
      <c r="A856" s="222"/>
      <c r="B856" s="235"/>
      <c r="C856" s="227"/>
      <c r="D856" s="344"/>
      <c r="E856" s="235"/>
      <c r="F856" s="235"/>
      <c r="G856" s="227"/>
      <c r="H856" s="227"/>
      <c r="I856" s="350"/>
      <c r="J856" s="227"/>
      <c r="K856" s="227"/>
      <c r="L856" s="224"/>
      <c r="M856" s="224"/>
      <c r="N856" s="224"/>
      <c r="O856" s="224"/>
      <c r="P856" s="224"/>
      <c r="Q856" s="224"/>
      <c r="R856" s="224"/>
      <c r="S856" s="224"/>
      <c r="T856" s="224"/>
      <c r="U856" s="224"/>
      <c r="V856" s="224"/>
      <c r="W856" s="106"/>
    </row>
    <row r="857" spans="1:23" s="101" customFormat="1" x14ac:dyDescent="0.3">
      <c r="A857" s="222"/>
      <c r="B857" s="235"/>
      <c r="C857" s="227"/>
      <c r="D857" s="344"/>
      <c r="E857" s="235"/>
      <c r="F857" s="235"/>
      <c r="G857" s="227"/>
      <c r="H857" s="227"/>
      <c r="I857" s="350"/>
      <c r="J857" s="227"/>
      <c r="K857" s="227"/>
      <c r="L857" s="224"/>
      <c r="M857" s="224"/>
      <c r="N857" s="224"/>
      <c r="O857" s="224"/>
      <c r="P857" s="224"/>
      <c r="Q857" s="224"/>
      <c r="R857" s="224"/>
      <c r="S857" s="224"/>
      <c r="T857" s="224"/>
      <c r="U857" s="224"/>
      <c r="V857" s="224"/>
      <c r="W857" s="106"/>
    </row>
    <row r="858" spans="1:23" s="101" customFormat="1" x14ac:dyDescent="0.3">
      <c r="A858" s="222"/>
      <c r="B858" s="235"/>
      <c r="C858" s="227"/>
      <c r="D858" s="344"/>
      <c r="E858" s="235"/>
      <c r="F858" s="235"/>
      <c r="G858" s="227"/>
      <c r="H858" s="227"/>
      <c r="I858" s="350"/>
      <c r="J858" s="227"/>
      <c r="K858" s="227"/>
      <c r="L858" s="224"/>
      <c r="M858" s="224"/>
      <c r="N858" s="224"/>
      <c r="O858" s="224"/>
      <c r="P858" s="224"/>
      <c r="Q858" s="224"/>
      <c r="R858" s="224"/>
      <c r="S858" s="224"/>
      <c r="T858" s="224"/>
      <c r="U858" s="224"/>
      <c r="V858" s="224"/>
      <c r="W858" s="106"/>
    </row>
    <row r="859" spans="1:23" s="101" customFormat="1" x14ac:dyDescent="0.3">
      <c r="A859" s="222"/>
      <c r="B859" s="235"/>
      <c r="C859" s="227"/>
      <c r="D859" s="344"/>
      <c r="E859" s="235"/>
      <c r="F859" s="235"/>
      <c r="G859" s="227"/>
      <c r="H859" s="227"/>
      <c r="I859" s="350"/>
      <c r="J859" s="227"/>
      <c r="K859" s="227"/>
      <c r="L859" s="224"/>
      <c r="M859" s="224"/>
      <c r="N859" s="224"/>
      <c r="O859" s="224"/>
      <c r="P859" s="224"/>
      <c r="Q859" s="224"/>
      <c r="R859" s="224"/>
      <c r="S859" s="224"/>
      <c r="T859" s="224"/>
      <c r="U859" s="224"/>
      <c r="V859" s="224"/>
      <c r="W859" s="106"/>
    </row>
    <row r="860" spans="1:23" s="101" customFormat="1" x14ac:dyDescent="0.3">
      <c r="A860" s="222"/>
      <c r="B860" s="235"/>
      <c r="C860" s="227"/>
      <c r="D860" s="344"/>
      <c r="E860" s="235"/>
      <c r="F860" s="235"/>
      <c r="G860" s="227"/>
      <c r="H860" s="227"/>
      <c r="I860" s="350"/>
      <c r="J860" s="227"/>
      <c r="K860" s="227"/>
      <c r="L860" s="224"/>
      <c r="M860" s="224"/>
      <c r="N860" s="224"/>
      <c r="O860" s="224"/>
      <c r="P860" s="224"/>
      <c r="Q860" s="224"/>
      <c r="R860" s="224"/>
      <c r="S860" s="224"/>
      <c r="T860" s="224"/>
      <c r="U860" s="224"/>
      <c r="V860" s="224"/>
      <c r="W860" s="106"/>
    </row>
    <row r="861" spans="1:23" s="101" customFormat="1" x14ac:dyDescent="0.3">
      <c r="A861" s="222"/>
      <c r="B861" s="235"/>
      <c r="C861" s="227"/>
      <c r="D861" s="344"/>
      <c r="E861" s="235"/>
      <c r="F861" s="235"/>
      <c r="G861" s="227"/>
      <c r="H861" s="227"/>
      <c r="I861" s="350"/>
      <c r="J861" s="227"/>
      <c r="K861" s="227"/>
      <c r="L861" s="224"/>
      <c r="M861" s="224"/>
      <c r="N861" s="224"/>
      <c r="O861" s="224"/>
      <c r="P861" s="224"/>
      <c r="Q861" s="224"/>
      <c r="R861" s="224"/>
      <c r="S861" s="224"/>
      <c r="T861" s="224"/>
      <c r="U861" s="224"/>
      <c r="V861" s="224"/>
      <c r="W861" s="106"/>
    </row>
    <row r="862" spans="1:23" s="101" customFormat="1" x14ac:dyDescent="0.3">
      <c r="A862" s="222"/>
      <c r="B862" s="235"/>
      <c r="C862" s="227"/>
      <c r="D862" s="344"/>
      <c r="E862" s="235"/>
      <c r="F862" s="235"/>
      <c r="G862" s="227"/>
      <c r="H862" s="227"/>
      <c r="I862" s="350"/>
      <c r="J862" s="227"/>
      <c r="K862" s="227"/>
      <c r="L862" s="224"/>
      <c r="M862" s="224"/>
      <c r="N862" s="224"/>
      <c r="O862" s="224"/>
      <c r="P862" s="224"/>
      <c r="Q862" s="224"/>
      <c r="R862" s="224"/>
      <c r="S862" s="224"/>
      <c r="T862" s="224"/>
      <c r="U862" s="224"/>
      <c r="V862" s="224"/>
      <c r="W862" s="106"/>
    </row>
    <row r="863" spans="1:23" s="101" customFormat="1" x14ac:dyDescent="0.3">
      <c r="A863" s="222"/>
      <c r="B863" s="235"/>
      <c r="C863" s="227"/>
      <c r="D863" s="344"/>
      <c r="E863" s="235"/>
      <c r="F863" s="235"/>
      <c r="G863" s="227"/>
      <c r="H863" s="227"/>
      <c r="I863" s="350"/>
      <c r="J863" s="227"/>
      <c r="K863" s="227"/>
      <c r="L863" s="224"/>
      <c r="M863" s="224"/>
      <c r="N863" s="224"/>
      <c r="O863" s="224"/>
      <c r="P863" s="224"/>
      <c r="Q863" s="224"/>
      <c r="R863" s="224"/>
      <c r="S863" s="224"/>
      <c r="T863" s="224"/>
      <c r="U863" s="224"/>
      <c r="V863" s="224"/>
      <c r="W863" s="106"/>
    </row>
    <row r="864" spans="1:23" s="101" customFormat="1" x14ac:dyDescent="0.3">
      <c r="A864" s="222"/>
      <c r="B864" s="235"/>
      <c r="C864" s="227"/>
      <c r="D864" s="344"/>
      <c r="E864" s="235"/>
      <c r="F864" s="235"/>
      <c r="G864" s="227"/>
      <c r="H864" s="227"/>
      <c r="I864" s="350"/>
      <c r="J864" s="227"/>
      <c r="K864" s="227"/>
      <c r="L864" s="224"/>
      <c r="M864" s="224"/>
      <c r="N864" s="224"/>
      <c r="O864" s="224"/>
      <c r="P864" s="224"/>
      <c r="Q864" s="224"/>
      <c r="R864" s="224"/>
      <c r="S864" s="224"/>
      <c r="T864" s="224"/>
      <c r="U864" s="224"/>
      <c r="V864" s="224"/>
      <c r="W864" s="106"/>
    </row>
    <row r="865" spans="1:23" s="101" customFormat="1" x14ac:dyDescent="0.3">
      <c r="A865" s="222"/>
      <c r="B865" s="235"/>
      <c r="C865" s="227"/>
      <c r="D865" s="344"/>
      <c r="E865" s="235"/>
      <c r="F865" s="235"/>
      <c r="G865" s="227"/>
      <c r="H865" s="227"/>
      <c r="I865" s="350"/>
      <c r="J865" s="227"/>
      <c r="K865" s="227"/>
      <c r="L865" s="224"/>
      <c r="M865" s="224"/>
      <c r="N865" s="224"/>
      <c r="O865" s="224"/>
      <c r="P865" s="224"/>
      <c r="Q865" s="224"/>
      <c r="R865" s="224"/>
      <c r="S865" s="224"/>
      <c r="T865" s="224"/>
      <c r="U865" s="224"/>
      <c r="V865" s="224"/>
      <c r="W865" s="106"/>
    </row>
    <row r="866" spans="1:23" s="101" customFormat="1" x14ac:dyDescent="0.3">
      <c r="A866" s="222"/>
      <c r="B866" s="235"/>
      <c r="C866" s="227"/>
      <c r="D866" s="344"/>
      <c r="E866" s="235"/>
      <c r="F866" s="235"/>
      <c r="G866" s="227"/>
      <c r="H866" s="227"/>
      <c r="I866" s="350"/>
      <c r="J866" s="227"/>
      <c r="K866" s="227"/>
      <c r="L866" s="224"/>
      <c r="M866" s="224"/>
      <c r="N866" s="224"/>
      <c r="O866" s="224"/>
      <c r="P866" s="224"/>
      <c r="Q866" s="224"/>
      <c r="R866" s="224"/>
      <c r="S866" s="224"/>
      <c r="T866" s="224"/>
      <c r="U866" s="224"/>
      <c r="V866" s="224"/>
      <c r="W866" s="106"/>
    </row>
    <row r="867" spans="1:23" s="101" customFormat="1" x14ac:dyDescent="0.3">
      <c r="A867" s="222"/>
      <c r="B867" s="235"/>
      <c r="C867" s="227"/>
      <c r="D867" s="344"/>
      <c r="E867" s="235"/>
      <c r="F867" s="235"/>
      <c r="G867" s="227"/>
      <c r="H867" s="227"/>
      <c r="I867" s="350"/>
      <c r="J867" s="227"/>
      <c r="K867" s="227"/>
      <c r="L867" s="224"/>
      <c r="M867" s="224"/>
      <c r="N867" s="224"/>
      <c r="O867" s="224"/>
      <c r="P867" s="224"/>
      <c r="Q867" s="224"/>
      <c r="R867" s="224"/>
      <c r="S867" s="224"/>
      <c r="T867" s="224"/>
      <c r="U867" s="224"/>
      <c r="V867" s="224"/>
      <c r="W867" s="106"/>
    </row>
    <row r="868" spans="1:23" s="101" customFormat="1" x14ac:dyDescent="0.3">
      <c r="A868" s="222"/>
      <c r="B868" s="235"/>
      <c r="C868" s="227"/>
      <c r="D868" s="344"/>
      <c r="E868" s="235"/>
      <c r="F868" s="235"/>
      <c r="G868" s="227"/>
      <c r="H868" s="227"/>
      <c r="I868" s="350"/>
      <c r="J868" s="227"/>
      <c r="K868" s="227"/>
      <c r="L868" s="224"/>
      <c r="M868" s="224"/>
      <c r="N868" s="224"/>
      <c r="O868" s="224"/>
      <c r="P868" s="224"/>
      <c r="Q868" s="224"/>
      <c r="R868" s="224"/>
      <c r="S868" s="224"/>
      <c r="T868" s="224"/>
      <c r="U868" s="224"/>
      <c r="V868" s="224"/>
      <c r="W868" s="106"/>
    </row>
    <row r="869" spans="1:23" s="101" customFormat="1" x14ac:dyDescent="0.3">
      <c r="A869" s="222"/>
      <c r="B869" s="235"/>
      <c r="C869" s="227"/>
      <c r="D869" s="344"/>
      <c r="E869" s="235"/>
      <c r="F869" s="235"/>
      <c r="G869" s="227"/>
      <c r="H869" s="227"/>
      <c r="I869" s="350"/>
      <c r="J869" s="227"/>
      <c r="K869" s="227"/>
      <c r="L869" s="224"/>
      <c r="M869" s="224"/>
      <c r="N869" s="224"/>
      <c r="O869" s="224"/>
      <c r="P869" s="224"/>
      <c r="Q869" s="224"/>
      <c r="R869" s="224"/>
      <c r="S869" s="224"/>
      <c r="T869" s="224"/>
      <c r="U869" s="224"/>
      <c r="V869" s="224"/>
      <c r="W869" s="106"/>
    </row>
    <row r="870" spans="1:23" s="101" customFormat="1" x14ac:dyDescent="0.3">
      <c r="A870" s="222"/>
      <c r="B870" s="235"/>
      <c r="C870" s="227"/>
      <c r="D870" s="344"/>
      <c r="E870" s="235"/>
      <c r="F870" s="235"/>
      <c r="G870" s="227"/>
      <c r="H870" s="227"/>
      <c r="I870" s="350"/>
      <c r="J870" s="227"/>
      <c r="K870" s="227"/>
      <c r="L870" s="224"/>
      <c r="M870" s="224"/>
      <c r="N870" s="224"/>
      <c r="O870" s="224"/>
      <c r="P870" s="224"/>
      <c r="Q870" s="224"/>
      <c r="R870" s="224"/>
      <c r="S870" s="224"/>
      <c r="T870" s="224"/>
      <c r="U870" s="224"/>
      <c r="V870" s="224"/>
      <c r="W870" s="106"/>
    </row>
    <row r="871" spans="1:23" s="101" customFormat="1" x14ac:dyDescent="0.3">
      <c r="A871" s="222"/>
      <c r="B871" s="235"/>
      <c r="C871" s="227"/>
      <c r="D871" s="344"/>
      <c r="E871" s="235"/>
      <c r="F871" s="235"/>
      <c r="G871" s="227"/>
      <c r="H871" s="227"/>
      <c r="I871" s="350"/>
      <c r="J871" s="227"/>
      <c r="K871" s="227"/>
      <c r="L871" s="224"/>
      <c r="M871" s="224"/>
      <c r="N871" s="224"/>
      <c r="O871" s="224"/>
      <c r="P871" s="224"/>
      <c r="Q871" s="224"/>
      <c r="R871" s="224"/>
      <c r="S871" s="224"/>
      <c r="T871" s="224"/>
      <c r="U871" s="224"/>
      <c r="V871" s="224"/>
      <c r="W871" s="106"/>
    </row>
    <row r="872" spans="1:23" s="101" customFormat="1" x14ac:dyDescent="0.3">
      <c r="A872" s="222"/>
      <c r="B872" s="235"/>
      <c r="C872" s="227"/>
      <c r="D872" s="344"/>
      <c r="E872" s="235"/>
      <c r="F872" s="235"/>
      <c r="G872" s="227"/>
      <c r="H872" s="227"/>
      <c r="I872" s="350"/>
      <c r="J872" s="227"/>
      <c r="K872" s="227"/>
      <c r="L872" s="224"/>
      <c r="M872" s="224"/>
      <c r="N872" s="224"/>
      <c r="O872" s="224"/>
      <c r="P872" s="224"/>
      <c r="Q872" s="224"/>
      <c r="R872" s="224"/>
      <c r="S872" s="224"/>
      <c r="T872" s="224"/>
      <c r="U872" s="224"/>
      <c r="V872" s="224"/>
      <c r="W872" s="106"/>
    </row>
    <row r="873" spans="1:23" s="101" customFormat="1" x14ac:dyDescent="0.3">
      <c r="A873" s="222"/>
      <c r="B873" s="235"/>
      <c r="C873" s="227"/>
      <c r="D873" s="344"/>
      <c r="E873" s="235"/>
      <c r="F873" s="235"/>
      <c r="G873" s="227"/>
      <c r="H873" s="227"/>
      <c r="I873" s="350"/>
      <c r="J873" s="227"/>
      <c r="K873" s="227"/>
      <c r="L873" s="224"/>
      <c r="M873" s="224"/>
      <c r="N873" s="224"/>
      <c r="O873" s="224"/>
      <c r="P873" s="224"/>
      <c r="Q873" s="224"/>
      <c r="R873" s="224"/>
      <c r="S873" s="224"/>
      <c r="T873" s="224"/>
      <c r="U873" s="224"/>
      <c r="V873" s="224"/>
      <c r="W873" s="106"/>
    </row>
    <row r="874" spans="1:23" s="101" customFormat="1" x14ac:dyDescent="0.3">
      <c r="A874" s="222"/>
      <c r="B874" s="235"/>
      <c r="C874" s="227"/>
      <c r="D874" s="344"/>
      <c r="E874" s="235"/>
      <c r="F874" s="235"/>
      <c r="G874" s="227"/>
      <c r="H874" s="227"/>
      <c r="I874" s="350"/>
      <c r="J874" s="227"/>
      <c r="K874" s="227"/>
      <c r="L874" s="224"/>
      <c r="M874" s="224"/>
      <c r="N874" s="224"/>
      <c r="O874" s="224"/>
      <c r="P874" s="224"/>
      <c r="Q874" s="224"/>
      <c r="R874" s="224"/>
      <c r="S874" s="224"/>
      <c r="T874" s="224"/>
      <c r="U874" s="224"/>
      <c r="V874" s="224"/>
      <c r="W874" s="106"/>
    </row>
    <row r="875" spans="1:23" s="101" customFormat="1" x14ac:dyDescent="0.3">
      <c r="A875" s="222"/>
      <c r="B875" s="235"/>
      <c r="C875" s="227"/>
      <c r="D875" s="344"/>
      <c r="E875" s="235"/>
      <c r="F875" s="235"/>
      <c r="G875" s="227"/>
      <c r="H875" s="227"/>
      <c r="I875" s="350"/>
      <c r="J875" s="227"/>
      <c r="K875" s="227"/>
      <c r="L875" s="224"/>
      <c r="M875" s="224"/>
      <c r="N875" s="224"/>
      <c r="O875" s="224"/>
      <c r="P875" s="224"/>
      <c r="Q875" s="224"/>
      <c r="R875" s="224"/>
      <c r="S875" s="224"/>
      <c r="T875" s="224"/>
      <c r="U875" s="224"/>
      <c r="V875" s="224"/>
      <c r="W875" s="106"/>
    </row>
    <row r="876" spans="1:23" s="101" customFormat="1" x14ac:dyDescent="0.3">
      <c r="A876" s="222"/>
      <c r="B876" s="235"/>
      <c r="C876" s="227"/>
      <c r="D876" s="344"/>
      <c r="E876" s="235"/>
      <c r="F876" s="235"/>
      <c r="G876" s="227"/>
      <c r="H876" s="227"/>
      <c r="I876" s="350"/>
      <c r="J876" s="227"/>
      <c r="K876" s="227"/>
      <c r="L876" s="224"/>
      <c r="M876" s="224"/>
      <c r="N876" s="224"/>
      <c r="O876" s="224"/>
      <c r="P876" s="224"/>
      <c r="Q876" s="224"/>
      <c r="R876" s="224"/>
      <c r="S876" s="224"/>
      <c r="T876" s="224"/>
      <c r="U876" s="224"/>
      <c r="V876" s="224"/>
      <c r="W876" s="106"/>
    </row>
    <row r="877" spans="1:23" s="101" customFormat="1" x14ac:dyDescent="0.3">
      <c r="A877" s="222"/>
      <c r="B877" s="235"/>
      <c r="C877" s="227"/>
      <c r="D877" s="344"/>
      <c r="E877" s="235"/>
      <c r="F877" s="235"/>
      <c r="G877" s="227"/>
      <c r="H877" s="227"/>
      <c r="I877" s="350"/>
      <c r="J877" s="227"/>
      <c r="K877" s="227"/>
      <c r="L877" s="224"/>
      <c r="M877" s="224"/>
      <c r="N877" s="224"/>
      <c r="O877" s="224"/>
      <c r="P877" s="224"/>
      <c r="Q877" s="224"/>
      <c r="R877" s="224"/>
      <c r="S877" s="224"/>
      <c r="T877" s="224"/>
      <c r="U877" s="224"/>
      <c r="V877" s="224"/>
      <c r="W877" s="106"/>
    </row>
    <row r="878" spans="1:23" s="101" customFormat="1" x14ac:dyDescent="0.3">
      <c r="A878" s="222"/>
      <c r="B878" s="235"/>
      <c r="C878" s="227"/>
      <c r="D878" s="344"/>
      <c r="E878" s="235"/>
      <c r="F878" s="235"/>
      <c r="G878" s="227"/>
      <c r="H878" s="227"/>
      <c r="I878" s="350"/>
      <c r="J878" s="227"/>
      <c r="K878" s="227"/>
      <c r="L878" s="224"/>
      <c r="M878" s="224"/>
      <c r="N878" s="224"/>
      <c r="O878" s="224"/>
      <c r="P878" s="224"/>
      <c r="Q878" s="224"/>
      <c r="R878" s="224"/>
      <c r="S878" s="224"/>
      <c r="T878" s="224"/>
      <c r="U878" s="224"/>
      <c r="V878" s="224"/>
      <c r="W878" s="106"/>
    </row>
    <row r="879" spans="1:23" s="101" customFormat="1" x14ac:dyDescent="0.3">
      <c r="A879" s="222"/>
      <c r="B879" s="235"/>
      <c r="C879" s="227"/>
      <c r="D879" s="344"/>
      <c r="E879" s="235"/>
      <c r="F879" s="235"/>
      <c r="G879" s="227"/>
      <c r="H879" s="227"/>
      <c r="I879" s="350"/>
      <c r="J879" s="227"/>
      <c r="K879" s="227"/>
      <c r="L879" s="224"/>
      <c r="M879" s="224"/>
      <c r="N879" s="224"/>
      <c r="O879" s="224"/>
      <c r="P879" s="224"/>
      <c r="Q879" s="224"/>
      <c r="R879" s="224"/>
      <c r="S879" s="224"/>
      <c r="T879" s="224"/>
      <c r="U879" s="224"/>
      <c r="V879" s="224"/>
      <c r="W879" s="106"/>
    </row>
    <row r="880" spans="1:23" s="101" customFormat="1" x14ac:dyDescent="0.3">
      <c r="A880" s="222"/>
      <c r="B880" s="235"/>
      <c r="C880" s="227"/>
      <c r="D880" s="344"/>
      <c r="E880" s="235"/>
      <c r="F880" s="235"/>
      <c r="G880" s="227"/>
      <c r="H880" s="227"/>
      <c r="I880" s="350"/>
      <c r="J880" s="227"/>
      <c r="K880" s="227"/>
      <c r="L880" s="224"/>
      <c r="M880" s="224"/>
      <c r="N880" s="224"/>
      <c r="O880" s="224"/>
      <c r="P880" s="224"/>
      <c r="Q880" s="224"/>
      <c r="R880" s="224"/>
      <c r="S880" s="224"/>
      <c r="T880" s="224"/>
      <c r="U880" s="224"/>
      <c r="V880" s="224"/>
      <c r="W880" s="106"/>
    </row>
    <row r="881" spans="1:23" s="101" customFormat="1" x14ac:dyDescent="0.3">
      <c r="A881" s="222"/>
      <c r="B881" s="235"/>
      <c r="C881" s="227"/>
      <c r="D881" s="344"/>
      <c r="E881" s="235"/>
      <c r="F881" s="235"/>
      <c r="G881" s="227"/>
      <c r="H881" s="227"/>
      <c r="I881" s="350"/>
      <c r="J881" s="227"/>
      <c r="K881" s="227"/>
      <c r="L881" s="224"/>
      <c r="M881" s="224"/>
      <c r="N881" s="224"/>
      <c r="O881" s="224"/>
      <c r="P881" s="224"/>
      <c r="Q881" s="224"/>
      <c r="R881" s="224"/>
      <c r="S881" s="224"/>
      <c r="T881" s="224"/>
      <c r="U881" s="224"/>
      <c r="V881" s="224"/>
      <c r="W881" s="106"/>
    </row>
    <row r="882" spans="1:23" s="101" customFormat="1" x14ac:dyDescent="0.3">
      <c r="A882" s="222"/>
      <c r="B882" s="235"/>
      <c r="C882" s="227"/>
      <c r="D882" s="344"/>
      <c r="E882" s="235"/>
      <c r="F882" s="235"/>
      <c r="G882" s="227"/>
      <c r="H882" s="227"/>
      <c r="I882" s="350"/>
      <c r="J882" s="227"/>
      <c r="K882" s="227"/>
      <c r="L882" s="224"/>
      <c r="M882" s="224"/>
      <c r="N882" s="224"/>
      <c r="O882" s="224"/>
      <c r="P882" s="224"/>
      <c r="Q882" s="224"/>
      <c r="R882" s="224"/>
      <c r="S882" s="224"/>
      <c r="T882" s="224"/>
      <c r="U882" s="224"/>
      <c r="V882" s="224"/>
      <c r="W882" s="106"/>
    </row>
    <row r="883" spans="1:23" s="101" customFormat="1" x14ac:dyDescent="0.3">
      <c r="A883" s="222"/>
      <c r="B883" s="235"/>
      <c r="C883" s="227"/>
      <c r="D883" s="344"/>
      <c r="E883" s="235"/>
      <c r="F883" s="235"/>
      <c r="G883" s="227"/>
      <c r="H883" s="227"/>
      <c r="I883" s="350"/>
      <c r="J883" s="227"/>
      <c r="K883" s="227"/>
      <c r="L883" s="224"/>
      <c r="M883" s="224"/>
      <c r="N883" s="224"/>
      <c r="O883" s="224"/>
      <c r="P883" s="224"/>
      <c r="Q883" s="224"/>
      <c r="R883" s="224"/>
      <c r="S883" s="224"/>
      <c r="T883" s="224"/>
      <c r="U883" s="224"/>
      <c r="V883" s="224"/>
      <c r="W883" s="106"/>
    </row>
    <row r="884" spans="1:23" s="101" customFormat="1" x14ac:dyDescent="0.3">
      <c r="A884" s="222"/>
      <c r="B884" s="235"/>
      <c r="C884" s="227"/>
      <c r="D884" s="344"/>
      <c r="E884" s="235"/>
      <c r="F884" s="235"/>
      <c r="G884" s="227"/>
      <c r="H884" s="227"/>
      <c r="I884" s="350"/>
      <c r="J884" s="227"/>
      <c r="K884" s="227"/>
      <c r="L884" s="224"/>
      <c r="M884" s="224"/>
      <c r="N884" s="224"/>
      <c r="O884" s="224"/>
      <c r="P884" s="224"/>
      <c r="Q884" s="224"/>
      <c r="R884" s="224"/>
      <c r="S884" s="224"/>
      <c r="T884" s="224"/>
      <c r="U884" s="224"/>
      <c r="V884" s="224"/>
      <c r="W884" s="106"/>
    </row>
    <row r="885" spans="1:23" s="101" customFormat="1" x14ac:dyDescent="0.3">
      <c r="A885" s="222"/>
      <c r="B885" s="235"/>
      <c r="C885" s="227"/>
      <c r="D885" s="344"/>
      <c r="E885" s="235"/>
      <c r="F885" s="235"/>
      <c r="G885" s="227"/>
      <c r="H885" s="227"/>
      <c r="I885" s="350"/>
      <c r="J885" s="227"/>
      <c r="K885" s="227"/>
      <c r="L885" s="224"/>
      <c r="M885" s="224"/>
      <c r="N885" s="224"/>
      <c r="O885" s="224"/>
      <c r="P885" s="224"/>
      <c r="Q885" s="224"/>
      <c r="R885" s="224"/>
      <c r="S885" s="224"/>
      <c r="T885" s="224"/>
      <c r="U885" s="224"/>
      <c r="V885" s="224"/>
      <c r="W885" s="106"/>
    </row>
    <row r="886" spans="1:23" s="101" customFormat="1" x14ac:dyDescent="0.3">
      <c r="A886" s="222"/>
      <c r="B886" s="235"/>
      <c r="C886" s="227"/>
      <c r="D886" s="344"/>
      <c r="E886" s="235"/>
      <c r="F886" s="235"/>
      <c r="G886" s="227"/>
      <c r="H886" s="227"/>
      <c r="I886" s="350"/>
      <c r="J886" s="227"/>
      <c r="K886" s="227"/>
      <c r="L886" s="224"/>
      <c r="M886" s="224"/>
      <c r="N886" s="224"/>
      <c r="O886" s="224"/>
      <c r="P886" s="224"/>
      <c r="Q886" s="224"/>
      <c r="R886" s="224"/>
      <c r="S886" s="224"/>
      <c r="T886" s="224"/>
      <c r="U886" s="224"/>
      <c r="V886" s="224"/>
      <c r="W886" s="106"/>
    </row>
    <row r="887" spans="1:23" s="101" customFormat="1" x14ac:dyDescent="0.3">
      <c r="A887" s="222"/>
      <c r="B887" s="235"/>
      <c r="C887" s="227"/>
      <c r="D887" s="344"/>
      <c r="E887" s="235"/>
      <c r="F887" s="235"/>
      <c r="G887" s="227"/>
      <c r="H887" s="227"/>
      <c r="I887" s="350"/>
      <c r="J887" s="227"/>
      <c r="K887" s="227"/>
      <c r="L887" s="224"/>
      <c r="M887" s="224"/>
      <c r="N887" s="224"/>
      <c r="O887" s="224"/>
      <c r="P887" s="224"/>
      <c r="Q887" s="224"/>
      <c r="R887" s="224"/>
      <c r="S887" s="224"/>
      <c r="T887" s="224"/>
      <c r="U887" s="224"/>
      <c r="V887" s="224"/>
      <c r="W887" s="106"/>
    </row>
    <row r="888" spans="1:23" s="101" customFormat="1" x14ac:dyDescent="0.3">
      <c r="A888" s="222"/>
      <c r="B888" s="235"/>
      <c r="C888" s="227"/>
      <c r="D888" s="344"/>
      <c r="E888" s="235"/>
      <c r="F888" s="235"/>
      <c r="G888" s="227"/>
      <c r="H888" s="227"/>
      <c r="I888" s="350"/>
      <c r="J888" s="227"/>
      <c r="K888" s="227"/>
      <c r="L888" s="224"/>
      <c r="M888" s="224"/>
      <c r="N888" s="224"/>
      <c r="O888" s="224"/>
      <c r="P888" s="224"/>
      <c r="Q888" s="224"/>
      <c r="R888" s="224"/>
      <c r="S888" s="224"/>
      <c r="T888" s="224"/>
      <c r="U888" s="224"/>
      <c r="V888" s="224"/>
      <c r="W888" s="106"/>
    </row>
    <row r="889" spans="1:23" s="101" customFormat="1" x14ac:dyDescent="0.3">
      <c r="A889" s="222"/>
      <c r="B889" s="235"/>
      <c r="C889" s="227"/>
      <c r="D889" s="344"/>
      <c r="E889" s="235"/>
      <c r="F889" s="235"/>
      <c r="G889" s="227"/>
      <c r="H889" s="227"/>
      <c r="I889" s="350"/>
      <c r="J889" s="227"/>
      <c r="K889" s="227"/>
      <c r="L889" s="224"/>
      <c r="M889" s="224"/>
      <c r="N889" s="224"/>
      <c r="O889" s="224"/>
      <c r="P889" s="224"/>
      <c r="Q889" s="224"/>
      <c r="R889" s="224"/>
      <c r="S889" s="224"/>
      <c r="T889" s="224"/>
      <c r="U889" s="224"/>
      <c r="V889" s="224"/>
      <c r="W889" s="106"/>
    </row>
    <row r="890" spans="1:23" s="101" customFormat="1" x14ac:dyDescent="0.3">
      <c r="A890" s="222"/>
      <c r="B890" s="235"/>
      <c r="C890" s="227"/>
      <c r="D890" s="344"/>
      <c r="E890" s="235"/>
      <c r="F890" s="235"/>
      <c r="G890" s="227"/>
      <c r="H890" s="227"/>
      <c r="I890" s="350"/>
      <c r="J890" s="227"/>
      <c r="K890" s="227"/>
      <c r="L890" s="224"/>
      <c r="M890" s="224"/>
      <c r="N890" s="224"/>
      <c r="O890" s="224"/>
      <c r="P890" s="224"/>
      <c r="Q890" s="224"/>
      <c r="R890" s="224"/>
      <c r="S890" s="224"/>
      <c r="T890" s="224"/>
      <c r="U890" s="224"/>
      <c r="V890" s="224"/>
      <c r="W890" s="106"/>
    </row>
    <row r="891" spans="1:23" s="101" customFormat="1" x14ac:dyDescent="0.3">
      <c r="A891" s="222"/>
      <c r="B891" s="235"/>
      <c r="C891" s="227"/>
      <c r="D891" s="344"/>
      <c r="E891" s="235"/>
      <c r="F891" s="235"/>
      <c r="G891" s="227"/>
      <c r="H891" s="227"/>
      <c r="I891" s="350"/>
      <c r="J891" s="227"/>
      <c r="K891" s="227"/>
      <c r="L891" s="224"/>
      <c r="M891" s="224"/>
      <c r="N891" s="224"/>
      <c r="O891" s="224"/>
      <c r="P891" s="224"/>
      <c r="Q891" s="224"/>
      <c r="R891" s="224"/>
      <c r="S891" s="224"/>
      <c r="T891" s="224"/>
      <c r="U891" s="224"/>
      <c r="V891" s="224"/>
      <c r="W891" s="106"/>
    </row>
    <row r="892" spans="1:23" s="101" customFormat="1" x14ac:dyDescent="0.3">
      <c r="A892" s="222"/>
      <c r="B892" s="235"/>
      <c r="C892" s="227"/>
      <c r="D892" s="344"/>
      <c r="E892" s="235"/>
      <c r="F892" s="235"/>
      <c r="G892" s="227"/>
      <c r="H892" s="227"/>
      <c r="I892" s="350"/>
      <c r="J892" s="227"/>
      <c r="K892" s="227"/>
      <c r="L892" s="224"/>
      <c r="M892" s="224"/>
      <c r="N892" s="224"/>
      <c r="O892" s="224"/>
      <c r="P892" s="224"/>
      <c r="Q892" s="224"/>
      <c r="R892" s="224"/>
      <c r="S892" s="224"/>
      <c r="T892" s="224"/>
      <c r="U892" s="224"/>
      <c r="V892" s="224"/>
      <c r="W892" s="106"/>
    </row>
    <row r="893" spans="1:23" s="101" customFormat="1" x14ac:dyDescent="0.3">
      <c r="A893" s="222"/>
      <c r="B893" s="235"/>
      <c r="C893" s="227"/>
      <c r="D893" s="344"/>
      <c r="E893" s="235"/>
      <c r="F893" s="235"/>
      <c r="G893" s="227"/>
      <c r="H893" s="227"/>
      <c r="I893" s="350"/>
      <c r="J893" s="227"/>
      <c r="K893" s="227"/>
      <c r="L893" s="224"/>
      <c r="M893" s="224"/>
      <c r="N893" s="224"/>
      <c r="O893" s="224"/>
      <c r="P893" s="224"/>
      <c r="Q893" s="224"/>
      <c r="R893" s="224"/>
      <c r="S893" s="224"/>
      <c r="T893" s="224"/>
      <c r="U893" s="224"/>
      <c r="V893" s="224"/>
      <c r="W893" s="106"/>
    </row>
    <row r="894" spans="1:23" s="101" customFormat="1" x14ac:dyDescent="0.3">
      <c r="A894" s="222"/>
      <c r="B894" s="235"/>
      <c r="C894" s="227"/>
      <c r="D894" s="344"/>
      <c r="E894" s="235"/>
      <c r="F894" s="235"/>
      <c r="G894" s="227"/>
      <c r="H894" s="227"/>
      <c r="I894" s="350"/>
      <c r="J894" s="227"/>
      <c r="K894" s="227"/>
      <c r="L894" s="224"/>
      <c r="M894" s="224"/>
      <c r="N894" s="224"/>
      <c r="O894" s="224"/>
      <c r="P894" s="224"/>
      <c r="Q894" s="224"/>
      <c r="R894" s="224"/>
      <c r="S894" s="224"/>
      <c r="T894" s="224"/>
      <c r="U894" s="224"/>
      <c r="V894" s="224"/>
      <c r="W894" s="106"/>
    </row>
    <row r="895" spans="1:23" s="101" customFormat="1" x14ac:dyDescent="0.3">
      <c r="A895" s="222"/>
      <c r="B895" s="235"/>
      <c r="C895" s="227"/>
      <c r="D895" s="344"/>
      <c r="E895" s="235"/>
      <c r="F895" s="235"/>
      <c r="G895" s="227"/>
      <c r="H895" s="227"/>
      <c r="I895" s="350"/>
      <c r="J895" s="227"/>
      <c r="K895" s="227"/>
      <c r="L895" s="224"/>
      <c r="M895" s="224"/>
      <c r="N895" s="224"/>
      <c r="O895" s="224"/>
      <c r="P895" s="224"/>
      <c r="Q895" s="224"/>
      <c r="R895" s="224"/>
      <c r="S895" s="224"/>
      <c r="T895" s="224"/>
      <c r="U895" s="224"/>
      <c r="V895" s="224"/>
      <c r="W895" s="106"/>
    </row>
    <row r="896" spans="1:23" s="101" customFormat="1" x14ac:dyDescent="0.3">
      <c r="A896" s="222"/>
      <c r="B896" s="235"/>
      <c r="C896" s="227"/>
      <c r="D896" s="344"/>
      <c r="E896" s="235"/>
      <c r="F896" s="235"/>
      <c r="G896" s="227"/>
      <c r="H896" s="227"/>
      <c r="I896" s="350"/>
      <c r="J896" s="227"/>
      <c r="K896" s="227"/>
      <c r="L896" s="224"/>
      <c r="M896" s="224"/>
      <c r="N896" s="224"/>
      <c r="O896" s="224"/>
      <c r="P896" s="224"/>
      <c r="Q896" s="224"/>
      <c r="R896" s="224"/>
      <c r="S896" s="224"/>
      <c r="T896" s="224"/>
      <c r="U896" s="224"/>
      <c r="V896" s="224"/>
      <c r="W896" s="106"/>
    </row>
    <row r="897" spans="1:23" s="101" customFormat="1" x14ac:dyDescent="0.3">
      <c r="A897" s="222"/>
      <c r="B897" s="235"/>
      <c r="C897" s="227"/>
      <c r="D897" s="344"/>
      <c r="E897" s="235"/>
      <c r="F897" s="235"/>
      <c r="G897" s="227"/>
      <c r="H897" s="227"/>
      <c r="I897" s="350"/>
      <c r="J897" s="227"/>
      <c r="K897" s="227"/>
      <c r="L897" s="224"/>
      <c r="M897" s="224"/>
      <c r="N897" s="224"/>
      <c r="O897" s="224"/>
      <c r="P897" s="224"/>
      <c r="Q897" s="224"/>
      <c r="R897" s="224"/>
      <c r="S897" s="224"/>
      <c r="T897" s="224"/>
      <c r="U897" s="224"/>
      <c r="V897" s="224"/>
      <c r="W897" s="106"/>
    </row>
    <row r="898" spans="1:23" s="101" customFormat="1" x14ac:dyDescent="0.3">
      <c r="A898" s="222"/>
      <c r="B898" s="235"/>
      <c r="C898" s="227"/>
      <c r="D898" s="344"/>
      <c r="E898" s="235"/>
      <c r="F898" s="235"/>
      <c r="G898" s="227"/>
      <c r="H898" s="227"/>
      <c r="I898" s="350"/>
      <c r="J898" s="227"/>
      <c r="K898" s="227"/>
      <c r="L898" s="224"/>
      <c r="M898" s="224"/>
      <c r="N898" s="224"/>
      <c r="O898" s="224"/>
      <c r="P898" s="224"/>
      <c r="Q898" s="224"/>
      <c r="R898" s="224"/>
      <c r="S898" s="224"/>
      <c r="T898" s="224"/>
      <c r="U898" s="224"/>
      <c r="V898" s="224"/>
      <c r="W898" s="106"/>
    </row>
    <row r="899" spans="1:23" s="101" customFormat="1" x14ac:dyDescent="0.3">
      <c r="A899" s="222"/>
      <c r="B899" s="235"/>
      <c r="C899" s="227"/>
      <c r="D899" s="344"/>
      <c r="E899" s="235"/>
      <c r="F899" s="235"/>
      <c r="G899" s="227"/>
      <c r="H899" s="227"/>
      <c r="I899" s="350"/>
      <c r="J899" s="227"/>
      <c r="K899" s="227"/>
      <c r="L899" s="224"/>
      <c r="M899" s="224"/>
      <c r="N899" s="224"/>
      <c r="O899" s="224"/>
      <c r="P899" s="224"/>
      <c r="Q899" s="224"/>
      <c r="R899" s="224"/>
      <c r="S899" s="224"/>
      <c r="T899" s="224"/>
      <c r="U899" s="224"/>
      <c r="V899" s="224"/>
      <c r="W899" s="106"/>
    </row>
    <row r="900" spans="1:23" s="101" customFormat="1" x14ac:dyDescent="0.3">
      <c r="A900" s="222"/>
      <c r="B900" s="235"/>
      <c r="C900" s="227"/>
      <c r="D900" s="344"/>
      <c r="E900" s="235"/>
      <c r="F900" s="235"/>
      <c r="G900" s="227"/>
      <c r="H900" s="227"/>
      <c r="I900" s="350"/>
      <c r="J900" s="227"/>
      <c r="K900" s="227"/>
      <c r="L900" s="224"/>
      <c r="M900" s="224"/>
      <c r="N900" s="224"/>
      <c r="O900" s="224"/>
      <c r="P900" s="224"/>
      <c r="Q900" s="224"/>
      <c r="R900" s="224"/>
      <c r="S900" s="224"/>
      <c r="T900" s="224"/>
      <c r="U900" s="224"/>
      <c r="V900" s="224"/>
      <c r="W900" s="106"/>
    </row>
    <row r="901" spans="1:23" s="101" customFormat="1" x14ac:dyDescent="0.3">
      <c r="A901" s="222"/>
      <c r="B901" s="235"/>
      <c r="C901" s="227"/>
      <c r="D901" s="344"/>
      <c r="E901" s="235"/>
      <c r="F901" s="235"/>
      <c r="G901" s="227"/>
      <c r="H901" s="227"/>
      <c r="I901" s="350"/>
      <c r="J901" s="227"/>
      <c r="K901" s="227"/>
      <c r="L901" s="224"/>
      <c r="M901" s="224"/>
      <c r="N901" s="224"/>
      <c r="O901" s="224"/>
      <c r="P901" s="224"/>
      <c r="Q901" s="224"/>
      <c r="R901" s="224"/>
      <c r="S901" s="224"/>
      <c r="T901" s="224"/>
      <c r="U901" s="224"/>
      <c r="V901" s="224"/>
      <c r="W901" s="106"/>
    </row>
    <row r="902" spans="1:23" s="101" customFormat="1" x14ac:dyDescent="0.3">
      <c r="A902" s="222"/>
      <c r="B902" s="235"/>
      <c r="C902" s="227"/>
      <c r="D902" s="344"/>
      <c r="E902" s="235"/>
      <c r="F902" s="235"/>
      <c r="G902" s="227"/>
      <c r="H902" s="227"/>
      <c r="I902" s="350"/>
      <c r="J902" s="227"/>
      <c r="K902" s="227"/>
      <c r="L902" s="224"/>
      <c r="M902" s="224"/>
      <c r="N902" s="224"/>
      <c r="O902" s="224"/>
      <c r="P902" s="224"/>
      <c r="Q902" s="224"/>
      <c r="R902" s="224"/>
      <c r="S902" s="224"/>
      <c r="T902" s="224"/>
      <c r="U902" s="224"/>
      <c r="V902" s="224"/>
      <c r="W902" s="106"/>
    </row>
    <row r="903" spans="1:23" s="101" customFormat="1" x14ac:dyDescent="0.3">
      <c r="A903" s="222"/>
      <c r="B903" s="235"/>
      <c r="C903" s="227"/>
      <c r="D903" s="344"/>
      <c r="E903" s="235"/>
      <c r="F903" s="235"/>
      <c r="G903" s="227"/>
      <c r="H903" s="227"/>
      <c r="I903" s="350"/>
      <c r="J903" s="227"/>
      <c r="K903" s="227"/>
      <c r="L903" s="224"/>
      <c r="M903" s="224"/>
      <c r="N903" s="224"/>
      <c r="O903" s="224"/>
      <c r="P903" s="224"/>
      <c r="Q903" s="224"/>
      <c r="R903" s="224"/>
      <c r="S903" s="224"/>
      <c r="T903" s="224"/>
      <c r="U903" s="224"/>
      <c r="V903" s="224"/>
      <c r="W903" s="106"/>
    </row>
    <row r="904" spans="1:23" s="101" customFormat="1" x14ac:dyDescent="0.3">
      <c r="A904" s="222"/>
      <c r="B904" s="235"/>
      <c r="C904" s="227"/>
      <c r="D904" s="344"/>
      <c r="E904" s="235"/>
      <c r="F904" s="235"/>
      <c r="G904" s="227"/>
      <c r="H904" s="227"/>
      <c r="I904" s="350"/>
      <c r="J904" s="227"/>
      <c r="K904" s="227"/>
      <c r="L904" s="224"/>
      <c r="M904" s="224"/>
      <c r="N904" s="224"/>
      <c r="O904" s="224"/>
      <c r="P904" s="224"/>
      <c r="Q904" s="224"/>
      <c r="R904" s="224"/>
      <c r="S904" s="224"/>
      <c r="T904" s="224"/>
      <c r="U904" s="224"/>
      <c r="V904" s="224"/>
      <c r="W904" s="106"/>
    </row>
    <row r="905" spans="1:23" s="101" customFormat="1" x14ac:dyDescent="0.3">
      <c r="A905" s="222"/>
      <c r="B905" s="235"/>
      <c r="C905" s="227"/>
      <c r="D905" s="344"/>
      <c r="E905" s="235"/>
      <c r="F905" s="235"/>
      <c r="G905" s="227"/>
      <c r="H905" s="227"/>
      <c r="I905" s="350"/>
      <c r="J905" s="227"/>
      <c r="K905" s="227"/>
      <c r="L905" s="224"/>
      <c r="M905" s="224"/>
      <c r="N905" s="224"/>
      <c r="O905" s="224"/>
      <c r="P905" s="224"/>
      <c r="Q905" s="224"/>
      <c r="R905" s="224"/>
      <c r="S905" s="224"/>
      <c r="T905" s="224"/>
      <c r="U905" s="224"/>
      <c r="V905" s="224"/>
      <c r="W905" s="106"/>
    </row>
    <row r="906" spans="1:23" s="101" customFormat="1" x14ac:dyDescent="0.3">
      <c r="A906" s="222"/>
      <c r="B906" s="235"/>
      <c r="C906" s="227"/>
      <c r="D906" s="344"/>
      <c r="E906" s="235"/>
      <c r="F906" s="235"/>
      <c r="G906" s="227"/>
      <c r="H906" s="227"/>
      <c r="I906" s="350"/>
      <c r="J906" s="227"/>
      <c r="K906" s="227"/>
      <c r="L906" s="224"/>
      <c r="M906" s="224"/>
      <c r="N906" s="224"/>
      <c r="O906" s="224"/>
      <c r="P906" s="224"/>
      <c r="Q906" s="224"/>
      <c r="R906" s="224"/>
      <c r="S906" s="224"/>
      <c r="T906" s="224"/>
      <c r="U906" s="224"/>
      <c r="V906" s="224"/>
      <c r="W906" s="106"/>
    </row>
    <row r="907" spans="1:23" s="101" customFormat="1" x14ac:dyDescent="0.3">
      <c r="A907" s="222"/>
      <c r="B907" s="235"/>
      <c r="C907" s="227"/>
      <c r="D907" s="344"/>
      <c r="E907" s="235"/>
      <c r="F907" s="235"/>
      <c r="G907" s="227"/>
      <c r="H907" s="227"/>
      <c r="I907" s="350"/>
      <c r="J907" s="227"/>
      <c r="K907" s="227"/>
      <c r="L907" s="224"/>
      <c r="M907" s="224"/>
      <c r="N907" s="224"/>
      <c r="O907" s="224"/>
      <c r="P907" s="224"/>
      <c r="Q907" s="224"/>
      <c r="R907" s="224"/>
      <c r="S907" s="224"/>
      <c r="T907" s="224"/>
      <c r="U907" s="224"/>
      <c r="V907" s="224"/>
      <c r="W907" s="106"/>
    </row>
    <row r="908" spans="1:23" s="101" customFormat="1" x14ac:dyDescent="0.3">
      <c r="A908" s="222"/>
      <c r="B908" s="235"/>
      <c r="C908" s="227"/>
      <c r="D908" s="344"/>
      <c r="E908" s="235"/>
      <c r="F908" s="235"/>
      <c r="G908" s="227"/>
      <c r="H908" s="227"/>
      <c r="I908" s="350"/>
      <c r="J908" s="227"/>
      <c r="K908" s="227"/>
      <c r="L908" s="224"/>
      <c r="M908" s="224"/>
      <c r="N908" s="224"/>
      <c r="O908" s="224"/>
      <c r="P908" s="224"/>
      <c r="Q908" s="224"/>
      <c r="R908" s="224"/>
      <c r="S908" s="224"/>
      <c r="T908" s="224"/>
      <c r="U908" s="224"/>
      <c r="V908" s="224"/>
      <c r="W908" s="106"/>
    </row>
    <row r="909" spans="1:23" s="101" customFormat="1" x14ac:dyDescent="0.3">
      <c r="A909" s="222"/>
      <c r="B909" s="235"/>
      <c r="C909" s="227"/>
      <c r="D909" s="344"/>
      <c r="E909" s="235"/>
      <c r="F909" s="235"/>
      <c r="G909" s="227"/>
      <c r="H909" s="227"/>
      <c r="I909" s="350"/>
      <c r="J909" s="227"/>
      <c r="K909" s="227"/>
      <c r="L909" s="224"/>
      <c r="M909" s="224"/>
      <c r="N909" s="224"/>
      <c r="O909" s="224"/>
      <c r="P909" s="224"/>
      <c r="Q909" s="224"/>
      <c r="R909" s="224"/>
      <c r="S909" s="224"/>
      <c r="T909" s="224"/>
      <c r="U909" s="224"/>
      <c r="V909" s="224"/>
      <c r="W909" s="106"/>
    </row>
    <row r="910" spans="1:23" s="101" customFormat="1" x14ac:dyDescent="0.3">
      <c r="A910" s="222"/>
      <c r="B910" s="235"/>
      <c r="C910" s="227"/>
      <c r="D910" s="344"/>
      <c r="E910" s="235"/>
      <c r="F910" s="235"/>
      <c r="G910" s="227"/>
      <c r="H910" s="227"/>
      <c r="I910" s="350"/>
      <c r="J910" s="227"/>
      <c r="K910" s="227"/>
      <c r="L910" s="224"/>
      <c r="M910" s="224"/>
      <c r="N910" s="224"/>
      <c r="O910" s="224"/>
      <c r="P910" s="224"/>
      <c r="Q910" s="224"/>
      <c r="R910" s="224"/>
      <c r="S910" s="224"/>
      <c r="T910" s="224"/>
      <c r="U910" s="224"/>
      <c r="V910" s="224"/>
      <c r="W910" s="106"/>
    </row>
    <row r="911" spans="1:23" s="101" customFormat="1" x14ac:dyDescent="0.3">
      <c r="A911" s="222"/>
      <c r="B911" s="235"/>
      <c r="C911" s="227"/>
      <c r="D911" s="344"/>
      <c r="E911" s="235"/>
      <c r="F911" s="235"/>
      <c r="G911" s="227"/>
      <c r="H911" s="227"/>
      <c r="I911" s="350"/>
      <c r="J911" s="227"/>
      <c r="K911" s="227"/>
      <c r="L911" s="224"/>
      <c r="M911" s="224"/>
      <c r="N911" s="224"/>
      <c r="O911" s="224"/>
      <c r="P911" s="224"/>
      <c r="Q911" s="224"/>
      <c r="R911" s="224"/>
      <c r="S911" s="224"/>
      <c r="T911" s="224"/>
      <c r="U911" s="224"/>
      <c r="V911" s="224"/>
      <c r="W911" s="106"/>
    </row>
    <row r="912" spans="1:23" s="101" customFormat="1" x14ac:dyDescent="0.3">
      <c r="A912" s="222"/>
      <c r="B912" s="235"/>
      <c r="C912" s="227"/>
      <c r="D912" s="344"/>
      <c r="E912" s="235"/>
      <c r="F912" s="235"/>
      <c r="G912" s="227"/>
      <c r="H912" s="227"/>
      <c r="I912" s="350"/>
      <c r="J912" s="227"/>
      <c r="K912" s="227"/>
      <c r="L912" s="224"/>
      <c r="M912" s="224"/>
      <c r="N912" s="224"/>
      <c r="O912" s="224"/>
      <c r="P912" s="224"/>
      <c r="Q912" s="224"/>
      <c r="R912" s="224"/>
      <c r="S912" s="224"/>
      <c r="T912" s="224"/>
      <c r="U912" s="224"/>
      <c r="V912" s="224"/>
      <c r="W912" s="106"/>
    </row>
    <row r="913" spans="1:23" s="101" customFormat="1" x14ac:dyDescent="0.3">
      <c r="A913" s="222"/>
      <c r="B913" s="235"/>
      <c r="C913" s="227"/>
      <c r="D913" s="344"/>
      <c r="E913" s="235"/>
      <c r="F913" s="235"/>
      <c r="G913" s="227"/>
      <c r="H913" s="227"/>
      <c r="I913" s="350"/>
      <c r="J913" s="227"/>
      <c r="K913" s="227"/>
      <c r="L913" s="224"/>
      <c r="M913" s="224"/>
      <c r="N913" s="224"/>
      <c r="O913" s="224"/>
      <c r="P913" s="224"/>
      <c r="Q913" s="224"/>
      <c r="R913" s="224"/>
      <c r="S913" s="224"/>
      <c r="T913" s="224"/>
      <c r="U913" s="224"/>
      <c r="V913" s="224"/>
      <c r="W913" s="106"/>
    </row>
    <row r="914" spans="1:23" s="101" customFormat="1" x14ac:dyDescent="0.3">
      <c r="A914" s="222"/>
      <c r="B914" s="235"/>
      <c r="C914" s="227"/>
      <c r="D914" s="344"/>
      <c r="E914" s="235"/>
      <c r="F914" s="235"/>
      <c r="G914" s="227"/>
      <c r="H914" s="227"/>
      <c r="I914" s="350"/>
      <c r="J914" s="227"/>
      <c r="K914" s="227"/>
      <c r="L914" s="224"/>
      <c r="M914" s="224"/>
      <c r="N914" s="224"/>
      <c r="O914" s="224"/>
      <c r="P914" s="224"/>
      <c r="Q914" s="224"/>
      <c r="R914" s="224"/>
      <c r="S914" s="224"/>
      <c r="T914" s="224"/>
      <c r="U914" s="224"/>
      <c r="V914" s="224"/>
      <c r="W914" s="106"/>
    </row>
    <row r="915" spans="1:23" s="101" customFormat="1" x14ac:dyDescent="0.3">
      <c r="A915" s="222"/>
      <c r="B915" s="235"/>
      <c r="C915" s="227"/>
      <c r="D915" s="344"/>
      <c r="E915" s="235"/>
      <c r="F915" s="235"/>
      <c r="G915" s="227"/>
      <c r="H915" s="227"/>
      <c r="I915" s="350"/>
      <c r="J915" s="227"/>
      <c r="K915" s="227"/>
      <c r="L915" s="224"/>
      <c r="M915" s="224"/>
      <c r="N915" s="224"/>
      <c r="O915" s="224"/>
      <c r="P915" s="224"/>
      <c r="Q915" s="224"/>
      <c r="R915" s="224"/>
      <c r="S915" s="224"/>
      <c r="T915" s="224"/>
      <c r="U915" s="224"/>
      <c r="V915" s="224"/>
      <c r="W915" s="106"/>
    </row>
    <row r="916" spans="1:23" s="101" customFormat="1" x14ac:dyDescent="0.3">
      <c r="A916" s="222"/>
      <c r="B916" s="235"/>
      <c r="C916" s="227"/>
      <c r="D916" s="344"/>
      <c r="E916" s="235"/>
      <c r="F916" s="235"/>
      <c r="G916" s="227"/>
      <c r="H916" s="227"/>
      <c r="I916" s="350"/>
      <c r="J916" s="227"/>
      <c r="K916" s="227"/>
      <c r="L916" s="224"/>
      <c r="M916" s="224"/>
      <c r="N916" s="224"/>
      <c r="O916" s="224"/>
      <c r="P916" s="224"/>
      <c r="Q916" s="224"/>
      <c r="R916" s="224"/>
      <c r="S916" s="224"/>
      <c r="T916" s="224"/>
      <c r="U916" s="224"/>
      <c r="V916" s="224"/>
      <c r="W916" s="106"/>
    </row>
    <row r="917" spans="1:23" s="101" customFormat="1" x14ac:dyDescent="0.3">
      <c r="A917" s="222"/>
      <c r="B917" s="235"/>
      <c r="C917" s="227"/>
      <c r="D917" s="344"/>
      <c r="E917" s="235"/>
      <c r="F917" s="235"/>
      <c r="G917" s="227"/>
      <c r="H917" s="227"/>
      <c r="I917" s="350"/>
      <c r="J917" s="227"/>
      <c r="K917" s="227"/>
      <c r="L917" s="224"/>
      <c r="M917" s="224"/>
      <c r="N917" s="224"/>
      <c r="O917" s="224"/>
      <c r="P917" s="224"/>
      <c r="Q917" s="224"/>
      <c r="R917" s="224"/>
      <c r="S917" s="224"/>
      <c r="T917" s="224"/>
      <c r="U917" s="224"/>
      <c r="V917" s="224"/>
      <c r="W917" s="106"/>
    </row>
    <row r="918" spans="1:23" s="101" customFormat="1" x14ac:dyDescent="0.3">
      <c r="A918" s="222"/>
      <c r="B918" s="235"/>
      <c r="C918" s="227"/>
      <c r="D918" s="344"/>
      <c r="E918" s="235"/>
      <c r="F918" s="235"/>
      <c r="G918" s="227"/>
      <c r="H918" s="227"/>
      <c r="I918" s="350"/>
      <c r="J918" s="227"/>
      <c r="K918" s="227"/>
      <c r="L918" s="224"/>
      <c r="M918" s="224"/>
      <c r="N918" s="224"/>
      <c r="O918" s="224"/>
      <c r="P918" s="224"/>
      <c r="Q918" s="224"/>
      <c r="R918" s="224"/>
      <c r="S918" s="224"/>
      <c r="T918" s="224"/>
      <c r="U918" s="224"/>
      <c r="V918" s="224"/>
      <c r="W918" s="106"/>
    </row>
    <row r="919" spans="1:23" s="101" customFormat="1" x14ac:dyDescent="0.3">
      <c r="A919" s="222"/>
      <c r="B919" s="235"/>
      <c r="C919" s="227"/>
      <c r="D919" s="344"/>
      <c r="E919" s="235"/>
      <c r="F919" s="235"/>
      <c r="G919" s="227"/>
      <c r="H919" s="227"/>
      <c r="I919" s="350"/>
      <c r="J919" s="227"/>
      <c r="K919" s="227"/>
      <c r="L919" s="224"/>
      <c r="M919" s="224"/>
      <c r="N919" s="224"/>
      <c r="O919" s="224"/>
      <c r="P919" s="224"/>
      <c r="Q919" s="224"/>
      <c r="R919" s="224"/>
      <c r="S919" s="224"/>
      <c r="T919" s="224"/>
      <c r="U919" s="224"/>
      <c r="V919" s="224"/>
      <c r="W919" s="106"/>
    </row>
    <row r="920" spans="1:23" s="101" customFormat="1" x14ac:dyDescent="0.3">
      <c r="A920" s="222"/>
      <c r="B920" s="235"/>
      <c r="C920" s="227"/>
      <c r="D920" s="344"/>
      <c r="E920" s="235"/>
      <c r="F920" s="235"/>
      <c r="G920" s="227"/>
      <c r="H920" s="227"/>
      <c r="I920" s="350"/>
      <c r="J920" s="227"/>
      <c r="K920" s="227"/>
      <c r="L920" s="224"/>
      <c r="M920" s="224"/>
      <c r="N920" s="224"/>
      <c r="O920" s="224"/>
      <c r="P920" s="224"/>
      <c r="Q920" s="224"/>
      <c r="R920" s="224"/>
      <c r="S920" s="224"/>
      <c r="T920" s="224"/>
      <c r="U920" s="224"/>
      <c r="V920" s="224"/>
      <c r="W920" s="106"/>
    </row>
    <row r="921" spans="1:23" s="101" customFormat="1" x14ac:dyDescent="0.3">
      <c r="A921" s="222"/>
      <c r="B921" s="235"/>
      <c r="C921" s="227"/>
      <c r="D921" s="344"/>
      <c r="E921" s="235"/>
      <c r="F921" s="235"/>
      <c r="G921" s="227"/>
      <c r="H921" s="227"/>
      <c r="I921" s="350"/>
      <c r="J921" s="227"/>
      <c r="K921" s="227"/>
      <c r="L921" s="224"/>
      <c r="M921" s="224"/>
      <c r="N921" s="224"/>
      <c r="O921" s="224"/>
      <c r="P921" s="224"/>
      <c r="Q921" s="224"/>
      <c r="R921" s="224"/>
      <c r="S921" s="224"/>
      <c r="T921" s="224"/>
      <c r="U921" s="224"/>
      <c r="V921" s="224"/>
      <c r="W921" s="106"/>
    </row>
    <row r="922" spans="1:23" s="101" customFormat="1" x14ac:dyDescent="0.3">
      <c r="A922" s="222"/>
      <c r="B922" s="235"/>
      <c r="C922" s="227"/>
      <c r="D922" s="344"/>
      <c r="E922" s="235"/>
      <c r="F922" s="235"/>
      <c r="G922" s="227"/>
      <c r="H922" s="227"/>
      <c r="I922" s="350"/>
      <c r="J922" s="227"/>
      <c r="K922" s="227"/>
      <c r="L922" s="224"/>
      <c r="M922" s="224"/>
      <c r="N922" s="224"/>
      <c r="O922" s="224"/>
      <c r="P922" s="224"/>
      <c r="Q922" s="224"/>
      <c r="R922" s="224"/>
      <c r="S922" s="224"/>
      <c r="T922" s="224"/>
      <c r="U922" s="224"/>
      <c r="V922" s="224"/>
      <c r="W922" s="106"/>
    </row>
    <row r="923" spans="1:23" s="101" customFormat="1" x14ac:dyDescent="0.3">
      <c r="A923" s="222"/>
      <c r="B923" s="235"/>
      <c r="C923" s="227"/>
      <c r="D923" s="344"/>
      <c r="E923" s="235"/>
      <c r="F923" s="235"/>
      <c r="G923" s="227"/>
      <c r="H923" s="227"/>
      <c r="I923" s="350"/>
      <c r="J923" s="227"/>
      <c r="K923" s="227"/>
      <c r="L923" s="224"/>
      <c r="M923" s="224"/>
      <c r="N923" s="224"/>
      <c r="O923" s="224"/>
      <c r="P923" s="224"/>
      <c r="Q923" s="224"/>
      <c r="R923" s="224"/>
      <c r="S923" s="224"/>
      <c r="T923" s="224"/>
      <c r="U923" s="224"/>
      <c r="V923" s="224"/>
      <c r="W923" s="106"/>
    </row>
    <row r="924" spans="1:23" s="101" customFormat="1" x14ac:dyDescent="0.3">
      <c r="A924" s="222"/>
      <c r="B924" s="235"/>
      <c r="C924" s="227"/>
      <c r="D924" s="344"/>
      <c r="E924" s="235"/>
      <c r="F924" s="235"/>
      <c r="G924" s="227"/>
      <c r="H924" s="227"/>
      <c r="I924" s="350"/>
      <c r="J924" s="227"/>
      <c r="K924" s="227"/>
      <c r="L924" s="224"/>
      <c r="M924" s="224"/>
      <c r="N924" s="224"/>
      <c r="O924" s="224"/>
      <c r="P924" s="224"/>
      <c r="Q924" s="224"/>
      <c r="R924" s="224"/>
      <c r="S924" s="224"/>
      <c r="T924" s="224"/>
      <c r="U924" s="224"/>
      <c r="V924" s="224"/>
      <c r="W924" s="106"/>
    </row>
    <row r="925" spans="1:23" s="101" customFormat="1" x14ac:dyDescent="0.3">
      <c r="A925" s="222"/>
      <c r="B925" s="235"/>
      <c r="C925" s="227"/>
      <c r="D925" s="344"/>
      <c r="E925" s="235"/>
      <c r="F925" s="235"/>
      <c r="G925" s="227"/>
      <c r="H925" s="227"/>
      <c r="I925" s="350"/>
      <c r="J925" s="227"/>
      <c r="K925" s="227"/>
      <c r="L925" s="224"/>
      <c r="M925" s="224"/>
      <c r="N925" s="224"/>
      <c r="O925" s="224"/>
      <c r="P925" s="224"/>
      <c r="Q925" s="224"/>
      <c r="R925" s="224"/>
      <c r="S925" s="224"/>
      <c r="T925" s="224"/>
      <c r="U925" s="224"/>
      <c r="V925" s="224"/>
      <c r="W925" s="106"/>
    </row>
    <row r="926" spans="1:23" s="101" customFormat="1" x14ac:dyDescent="0.3">
      <c r="A926" s="222"/>
      <c r="B926" s="235"/>
      <c r="C926" s="227"/>
      <c r="D926" s="344"/>
      <c r="E926" s="235"/>
      <c r="F926" s="235"/>
      <c r="G926" s="227"/>
      <c r="H926" s="227"/>
      <c r="I926" s="350"/>
      <c r="J926" s="227"/>
      <c r="K926" s="227"/>
      <c r="L926" s="224"/>
      <c r="M926" s="224"/>
      <c r="N926" s="224"/>
      <c r="O926" s="224"/>
      <c r="P926" s="224"/>
      <c r="Q926" s="224"/>
      <c r="R926" s="224"/>
      <c r="S926" s="224"/>
      <c r="T926" s="224"/>
      <c r="U926" s="224"/>
      <c r="V926" s="224"/>
      <c r="W926" s="106"/>
    </row>
    <row r="927" spans="1:23" s="101" customFormat="1" x14ac:dyDescent="0.3">
      <c r="A927" s="222"/>
      <c r="B927" s="235"/>
      <c r="C927" s="227"/>
      <c r="D927" s="344"/>
      <c r="E927" s="235"/>
      <c r="F927" s="235"/>
      <c r="G927" s="227"/>
      <c r="H927" s="227"/>
      <c r="I927" s="350"/>
      <c r="J927" s="227"/>
      <c r="K927" s="227"/>
      <c r="L927" s="224"/>
      <c r="M927" s="224"/>
      <c r="N927" s="224"/>
      <c r="O927" s="224"/>
      <c r="P927" s="224"/>
      <c r="Q927" s="224"/>
      <c r="R927" s="224"/>
      <c r="S927" s="224"/>
      <c r="T927" s="224"/>
      <c r="U927" s="224"/>
      <c r="V927" s="224"/>
      <c r="W927" s="106"/>
    </row>
    <row r="928" spans="1:23" s="101" customFormat="1" x14ac:dyDescent="0.3">
      <c r="A928" s="222"/>
      <c r="B928" s="235"/>
      <c r="C928" s="227"/>
      <c r="D928" s="344"/>
      <c r="E928" s="235"/>
      <c r="F928" s="235"/>
      <c r="G928" s="227"/>
      <c r="H928" s="227"/>
      <c r="I928" s="350"/>
      <c r="J928" s="227"/>
      <c r="K928" s="227"/>
      <c r="L928" s="224"/>
      <c r="M928" s="224"/>
      <c r="N928" s="224"/>
      <c r="O928" s="224"/>
      <c r="P928" s="224"/>
      <c r="Q928" s="224"/>
      <c r="R928" s="224"/>
      <c r="S928" s="224"/>
      <c r="T928" s="224"/>
      <c r="U928" s="224"/>
      <c r="V928" s="224"/>
      <c r="W928" s="106"/>
    </row>
    <row r="929" spans="1:23" s="101" customFormat="1" x14ac:dyDescent="0.3">
      <c r="A929" s="222"/>
      <c r="B929" s="235"/>
      <c r="C929" s="227"/>
      <c r="D929" s="344"/>
      <c r="E929" s="235"/>
      <c r="F929" s="235"/>
      <c r="G929" s="227"/>
      <c r="H929" s="227"/>
      <c r="I929" s="350"/>
      <c r="J929" s="227"/>
      <c r="K929" s="227"/>
      <c r="L929" s="224"/>
      <c r="M929" s="224"/>
      <c r="N929" s="224"/>
      <c r="O929" s="224"/>
      <c r="P929" s="224"/>
      <c r="Q929" s="224"/>
      <c r="R929" s="224"/>
      <c r="S929" s="224"/>
      <c r="T929" s="224"/>
      <c r="U929" s="224"/>
      <c r="V929" s="224"/>
      <c r="W929" s="106"/>
    </row>
    <row r="930" spans="1:23" s="101" customFormat="1" x14ac:dyDescent="0.3">
      <c r="A930" s="222"/>
      <c r="B930" s="235"/>
      <c r="C930" s="227"/>
      <c r="D930" s="344"/>
      <c r="E930" s="235"/>
      <c r="F930" s="235"/>
      <c r="G930" s="227"/>
      <c r="H930" s="227"/>
      <c r="I930" s="350"/>
      <c r="J930" s="227"/>
      <c r="K930" s="227"/>
      <c r="L930" s="224"/>
      <c r="M930" s="224"/>
      <c r="N930" s="224"/>
      <c r="O930" s="224"/>
      <c r="P930" s="224"/>
      <c r="Q930" s="224"/>
      <c r="R930" s="224"/>
      <c r="S930" s="224"/>
      <c r="T930" s="224"/>
      <c r="U930" s="224"/>
      <c r="V930" s="224"/>
      <c r="W930" s="106"/>
    </row>
    <row r="931" spans="1:23" s="101" customFormat="1" x14ac:dyDescent="0.3">
      <c r="A931" s="222"/>
      <c r="B931" s="235"/>
      <c r="C931" s="227"/>
      <c r="D931" s="344"/>
      <c r="E931" s="235"/>
      <c r="F931" s="235"/>
      <c r="G931" s="227"/>
      <c r="H931" s="227"/>
      <c r="I931" s="350"/>
      <c r="J931" s="227"/>
      <c r="K931" s="227"/>
      <c r="L931" s="224"/>
      <c r="M931" s="224"/>
      <c r="N931" s="224"/>
      <c r="O931" s="224"/>
      <c r="P931" s="224"/>
      <c r="Q931" s="224"/>
      <c r="R931" s="224"/>
      <c r="S931" s="224"/>
      <c r="T931" s="224"/>
      <c r="U931" s="224"/>
      <c r="V931" s="224"/>
      <c r="W931" s="106"/>
    </row>
    <row r="932" spans="1:23" s="101" customFormat="1" x14ac:dyDescent="0.3">
      <c r="A932" s="222"/>
      <c r="B932" s="235"/>
      <c r="C932" s="227"/>
      <c r="D932" s="344"/>
      <c r="E932" s="235"/>
      <c r="F932" s="235"/>
      <c r="G932" s="227"/>
      <c r="H932" s="227"/>
      <c r="I932" s="350"/>
      <c r="J932" s="227"/>
      <c r="K932" s="227"/>
      <c r="L932" s="224"/>
      <c r="M932" s="224"/>
      <c r="N932" s="224"/>
      <c r="O932" s="224"/>
      <c r="P932" s="224"/>
      <c r="Q932" s="224"/>
      <c r="R932" s="224"/>
      <c r="S932" s="224"/>
      <c r="T932" s="224"/>
      <c r="U932" s="224"/>
      <c r="V932" s="224"/>
      <c r="W932" s="106"/>
    </row>
    <row r="933" spans="1:23" s="101" customFormat="1" x14ac:dyDescent="0.3">
      <c r="A933" s="222"/>
      <c r="B933" s="235"/>
      <c r="C933" s="227"/>
      <c r="D933" s="344"/>
      <c r="E933" s="235"/>
      <c r="F933" s="235"/>
      <c r="G933" s="227"/>
      <c r="H933" s="227"/>
      <c r="I933" s="350"/>
      <c r="J933" s="227"/>
      <c r="K933" s="227"/>
      <c r="L933" s="224"/>
      <c r="M933" s="224"/>
      <c r="N933" s="224"/>
      <c r="O933" s="224"/>
      <c r="P933" s="224"/>
      <c r="Q933" s="224"/>
      <c r="R933" s="224"/>
      <c r="S933" s="224"/>
      <c r="T933" s="224"/>
      <c r="U933" s="224"/>
      <c r="V933" s="224"/>
      <c r="W933" s="106"/>
    </row>
    <row r="934" spans="1:23" s="101" customFormat="1" x14ac:dyDescent="0.3">
      <c r="A934" s="222"/>
      <c r="B934" s="235"/>
      <c r="C934" s="227"/>
      <c r="D934" s="344"/>
      <c r="E934" s="235"/>
      <c r="F934" s="235"/>
      <c r="G934" s="227"/>
      <c r="H934" s="227"/>
      <c r="I934" s="350"/>
      <c r="J934" s="227"/>
      <c r="K934" s="227"/>
      <c r="L934" s="224"/>
      <c r="M934" s="224"/>
      <c r="N934" s="224"/>
      <c r="O934" s="224"/>
      <c r="P934" s="224"/>
      <c r="Q934" s="224"/>
      <c r="R934" s="224"/>
      <c r="S934" s="224"/>
      <c r="T934" s="224"/>
      <c r="U934" s="224"/>
      <c r="V934" s="224"/>
      <c r="W934" s="106"/>
    </row>
    <row r="935" spans="1:23" s="101" customFormat="1" x14ac:dyDescent="0.3">
      <c r="A935" s="222"/>
      <c r="B935" s="235"/>
      <c r="C935" s="227"/>
      <c r="D935" s="344"/>
      <c r="E935" s="235"/>
      <c r="F935" s="235"/>
      <c r="G935" s="227"/>
      <c r="H935" s="227"/>
      <c r="I935" s="350"/>
      <c r="J935" s="227"/>
      <c r="K935" s="227"/>
      <c r="L935" s="224"/>
      <c r="M935" s="224"/>
      <c r="N935" s="224"/>
      <c r="O935" s="224"/>
      <c r="P935" s="224"/>
      <c r="Q935" s="224"/>
      <c r="R935" s="224"/>
      <c r="S935" s="224"/>
      <c r="T935" s="224"/>
      <c r="U935" s="224"/>
      <c r="V935" s="224"/>
      <c r="W935" s="106"/>
    </row>
    <row r="936" spans="1:23" s="101" customFormat="1" x14ac:dyDescent="0.3">
      <c r="A936" s="222"/>
      <c r="B936" s="235"/>
      <c r="C936" s="227"/>
      <c r="D936" s="344"/>
      <c r="E936" s="235"/>
      <c r="F936" s="235"/>
      <c r="G936" s="227"/>
      <c r="H936" s="227"/>
      <c r="I936" s="350"/>
      <c r="J936" s="227"/>
      <c r="K936" s="227"/>
      <c r="L936" s="224"/>
      <c r="M936" s="224"/>
      <c r="N936" s="224"/>
      <c r="O936" s="224"/>
      <c r="P936" s="224"/>
      <c r="Q936" s="224"/>
      <c r="R936" s="224"/>
      <c r="S936" s="224"/>
      <c r="T936" s="224"/>
      <c r="U936" s="224"/>
      <c r="V936" s="224"/>
      <c r="W936" s="106"/>
    </row>
    <row r="937" spans="1:23" s="101" customFormat="1" x14ac:dyDescent="0.3">
      <c r="A937" s="222"/>
      <c r="B937" s="235"/>
      <c r="C937" s="227"/>
      <c r="D937" s="344"/>
      <c r="E937" s="235"/>
      <c r="F937" s="235"/>
      <c r="G937" s="227"/>
      <c r="H937" s="227"/>
      <c r="I937" s="350"/>
      <c r="J937" s="227"/>
      <c r="K937" s="227"/>
      <c r="L937" s="224"/>
      <c r="M937" s="224"/>
      <c r="N937" s="224"/>
      <c r="O937" s="224"/>
      <c r="P937" s="224"/>
      <c r="Q937" s="224"/>
      <c r="R937" s="224"/>
      <c r="S937" s="224"/>
      <c r="T937" s="224"/>
      <c r="U937" s="224"/>
      <c r="V937" s="224"/>
      <c r="W937" s="106"/>
    </row>
    <row r="938" spans="1:23" s="101" customFormat="1" x14ac:dyDescent="0.3">
      <c r="A938" s="222"/>
      <c r="B938" s="235"/>
      <c r="C938" s="227"/>
      <c r="D938" s="344"/>
      <c r="E938" s="235"/>
      <c r="F938" s="235"/>
      <c r="G938" s="227"/>
      <c r="H938" s="227"/>
      <c r="I938" s="350"/>
      <c r="J938" s="227"/>
      <c r="K938" s="227"/>
      <c r="L938" s="224"/>
      <c r="M938" s="224"/>
      <c r="N938" s="224"/>
      <c r="O938" s="224"/>
      <c r="P938" s="224"/>
      <c r="Q938" s="224"/>
      <c r="R938" s="224"/>
      <c r="S938" s="224"/>
      <c r="T938" s="224"/>
      <c r="U938" s="224"/>
      <c r="V938" s="224"/>
      <c r="W938" s="106"/>
    </row>
    <row r="939" spans="1:23" s="101" customFormat="1" x14ac:dyDescent="0.3">
      <c r="A939" s="222"/>
      <c r="B939" s="235"/>
      <c r="C939" s="227"/>
      <c r="D939" s="344"/>
      <c r="E939" s="235"/>
      <c r="F939" s="235"/>
      <c r="G939" s="227"/>
      <c r="H939" s="227"/>
      <c r="I939" s="350"/>
      <c r="J939" s="227"/>
      <c r="K939" s="227"/>
      <c r="L939" s="224"/>
      <c r="M939" s="224"/>
      <c r="N939" s="224"/>
      <c r="O939" s="224"/>
      <c r="P939" s="224"/>
      <c r="Q939" s="224"/>
      <c r="R939" s="224"/>
      <c r="S939" s="224"/>
      <c r="T939" s="224"/>
      <c r="U939" s="224"/>
      <c r="V939" s="224"/>
      <c r="W939" s="106"/>
    </row>
    <row r="940" spans="1:23" s="101" customFormat="1" x14ac:dyDescent="0.3">
      <c r="A940" s="222"/>
      <c r="B940" s="235"/>
      <c r="C940" s="227"/>
      <c r="D940" s="344"/>
      <c r="E940" s="235"/>
      <c r="F940" s="235"/>
      <c r="G940" s="227"/>
      <c r="H940" s="227"/>
      <c r="I940" s="350"/>
      <c r="J940" s="227"/>
      <c r="K940" s="227"/>
      <c r="L940" s="224"/>
      <c r="M940" s="224"/>
      <c r="N940" s="224"/>
      <c r="O940" s="224"/>
      <c r="P940" s="224"/>
      <c r="Q940" s="224"/>
      <c r="R940" s="224"/>
      <c r="S940" s="224"/>
      <c r="T940" s="224"/>
      <c r="U940" s="224"/>
      <c r="V940" s="224"/>
      <c r="W940" s="106"/>
    </row>
    <row r="941" spans="1:23" s="101" customFormat="1" x14ac:dyDescent="0.3">
      <c r="A941" s="222"/>
      <c r="B941" s="235"/>
      <c r="C941" s="227"/>
      <c r="D941" s="344"/>
      <c r="E941" s="235"/>
      <c r="F941" s="235"/>
      <c r="G941" s="227"/>
      <c r="H941" s="227"/>
      <c r="I941" s="350"/>
      <c r="J941" s="227"/>
      <c r="K941" s="227"/>
      <c r="L941" s="224"/>
      <c r="M941" s="224"/>
      <c r="N941" s="224"/>
      <c r="O941" s="224"/>
      <c r="P941" s="224"/>
      <c r="Q941" s="224"/>
      <c r="R941" s="224"/>
      <c r="S941" s="224"/>
      <c r="T941" s="224"/>
      <c r="U941" s="224"/>
      <c r="V941" s="224"/>
      <c r="W941" s="106"/>
    </row>
    <row r="942" spans="1:23" s="101" customFormat="1" x14ac:dyDescent="0.3">
      <c r="A942" s="222"/>
      <c r="B942" s="235"/>
      <c r="C942" s="227"/>
      <c r="D942" s="344"/>
      <c r="E942" s="235"/>
      <c r="F942" s="235"/>
      <c r="G942" s="227"/>
      <c r="H942" s="227"/>
      <c r="I942" s="350"/>
      <c r="J942" s="227"/>
      <c r="K942" s="227"/>
      <c r="L942" s="224"/>
      <c r="M942" s="224"/>
      <c r="N942" s="224"/>
      <c r="O942" s="224"/>
      <c r="P942" s="224"/>
      <c r="Q942" s="224"/>
      <c r="R942" s="224"/>
      <c r="S942" s="224"/>
      <c r="T942" s="224"/>
      <c r="U942" s="224"/>
      <c r="V942" s="224"/>
      <c r="W942" s="106"/>
    </row>
    <row r="943" spans="1:23" s="101" customFormat="1" x14ac:dyDescent="0.3">
      <c r="A943" s="222"/>
      <c r="B943" s="235"/>
      <c r="C943" s="227"/>
      <c r="D943" s="344"/>
      <c r="E943" s="235"/>
      <c r="F943" s="235"/>
      <c r="G943" s="227"/>
      <c r="H943" s="227"/>
      <c r="I943" s="350"/>
      <c r="J943" s="227"/>
      <c r="K943" s="227"/>
      <c r="L943" s="224"/>
      <c r="M943" s="224"/>
      <c r="N943" s="224"/>
      <c r="O943" s="224"/>
      <c r="P943" s="224"/>
      <c r="Q943" s="224"/>
      <c r="R943" s="224"/>
      <c r="S943" s="224"/>
      <c r="T943" s="224"/>
      <c r="U943" s="224"/>
      <c r="V943" s="224"/>
      <c r="W943" s="106"/>
    </row>
    <row r="944" spans="1:23" s="101" customFormat="1" x14ac:dyDescent="0.3">
      <c r="A944" s="222"/>
      <c r="B944" s="235"/>
      <c r="C944" s="227"/>
      <c r="D944" s="344"/>
      <c r="E944" s="235"/>
      <c r="F944" s="235"/>
      <c r="G944" s="227"/>
      <c r="H944" s="227"/>
      <c r="I944" s="350"/>
      <c r="J944" s="227"/>
      <c r="K944" s="227"/>
      <c r="L944" s="224"/>
      <c r="M944" s="224"/>
      <c r="N944" s="224"/>
      <c r="O944" s="224"/>
      <c r="P944" s="224"/>
      <c r="Q944" s="224"/>
      <c r="R944" s="224"/>
      <c r="S944" s="224"/>
      <c r="T944" s="224"/>
      <c r="U944" s="224"/>
      <c r="V944" s="224"/>
      <c r="W944" s="106"/>
    </row>
    <row r="945" spans="1:23" s="101" customFormat="1" x14ac:dyDescent="0.3">
      <c r="A945" s="222"/>
      <c r="B945" s="235"/>
      <c r="C945" s="227"/>
      <c r="D945" s="344"/>
      <c r="E945" s="235"/>
      <c r="F945" s="235"/>
      <c r="G945" s="227"/>
      <c r="H945" s="227"/>
      <c r="I945" s="350"/>
      <c r="J945" s="227"/>
      <c r="K945" s="227"/>
      <c r="L945" s="224"/>
      <c r="M945" s="224"/>
      <c r="N945" s="224"/>
      <c r="O945" s="224"/>
      <c r="P945" s="224"/>
      <c r="Q945" s="224"/>
      <c r="R945" s="224"/>
      <c r="S945" s="224"/>
      <c r="T945" s="224"/>
      <c r="U945" s="224"/>
      <c r="V945" s="224"/>
      <c r="W945" s="106"/>
    </row>
    <row r="946" spans="1:23" s="101" customFormat="1" x14ac:dyDescent="0.3">
      <c r="A946" s="222"/>
      <c r="B946" s="235"/>
      <c r="C946" s="227"/>
      <c r="D946" s="344"/>
      <c r="E946" s="235"/>
      <c r="F946" s="235"/>
      <c r="G946" s="227"/>
      <c r="H946" s="227"/>
      <c r="I946" s="350"/>
      <c r="J946" s="227"/>
      <c r="K946" s="227"/>
      <c r="L946" s="224"/>
      <c r="M946" s="224"/>
      <c r="N946" s="224"/>
      <c r="O946" s="224"/>
      <c r="P946" s="224"/>
      <c r="Q946" s="224"/>
      <c r="R946" s="224"/>
      <c r="S946" s="224"/>
      <c r="T946" s="224"/>
      <c r="U946" s="224"/>
      <c r="V946" s="224"/>
      <c r="W946" s="106"/>
    </row>
    <row r="947" spans="1:23" s="101" customFormat="1" x14ac:dyDescent="0.3">
      <c r="A947" s="222"/>
      <c r="B947" s="235"/>
      <c r="C947" s="227"/>
      <c r="D947" s="344"/>
      <c r="E947" s="235"/>
      <c r="F947" s="235"/>
      <c r="G947" s="227"/>
      <c r="H947" s="227"/>
      <c r="I947" s="350"/>
      <c r="J947" s="227"/>
      <c r="K947" s="227"/>
      <c r="L947" s="224"/>
      <c r="M947" s="224"/>
      <c r="N947" s="224"/>
      <c r="O947" s="224"/>
      <c r="P947" s="224"/>
      <c r="Q947" s="224"/>
      <c r="R947" s="224"/>
      <c r="S947" s="224"/>
      <c r="T947" s="224"/>
      <c r="U947" s="224"/>
      <c r="V947" s="224"/>
      <c r="W947" s="106"/>
    </row>
    <row r="948" spans="1:23" s="101" customFormat="1" x14ac:dyDescent="0.3">
      <c r="A948" s="222"/>
      <c r="B948" s="235"/>
      <c r="C948" s="227"/>
      <c r="D948" s="344"/>
      <c r="E948" s="235"/>
      <c r="F948" s="235"/>
      <c r="G948" s="227"/>
      <c r="H948" s="227"/>
      <c r="I948" s="350"/>
      <c r="J948" s="227"/>
      <c r="K948" s="227"/>
      <c r="L948" s="224"/>
      <c r="M948" s="224"/>
      <c r="N948" s="224"/>
      <c r="O948" s="224"/>
      <c r="P948" s="224"/>
      <c r="Q948" s="224"/>
      <c r="R948" s="224"/>
      <c r="S948" s="224"/>
      <c r="T948" s="224"/>
      <c r="U948" s="224"/>
      <c r="V948" s="224"/>
      <c r="W948" s="106"/>
    </row>
    <row r="949" spans="1:23" s="101" customFormat="1" x14ac:dyDescent="0.3">
      <c r="A949" s="222"/>
      <c r="B949" s="235"/>
      <c r="C949" s="227"/>
      <c r="D949" s="344"/>
      <c r="E949" s="235"/>
      <c r="F949" s="235"/>
      <c r="G949" s="227"/>
      <c r="H949" s="227"/>
      <c r="I949" s="350"/>
      <c r="J949" s="227"/>
      <c r="K949" s="227"/>
      <c r="L949" s="224"/>
      <c r="M949" s="224"/>
      <c r="N949" s="224"/>
      <c r="O949" s="224"/>
      <c r="P949" s="224"/>
      <c r="Q949" s="224"/>
      <c r="R949" s="224"/>
      <c r="S949" s="224"/>
      <c r="T949" s="224"/>
      <c r="U949" s="224"/>
      <c r="V949" s="224"/>
      <c r="W949" s="106"/>
    </row>
    <row r="950" spans="1:23" s="101" customFormat="1" x14ac:dyDescent="0.3">
      <c r="A950" s="222"/>
      <c r="B950" s="235"/>
      <c r="C950" s="227"/>
      <c r="D950" s="344"/>
      <c r="E950" s="235"/>
      <c r="F950" s="235"/>
      <c r="G950" s="227"/>
      <c r="H950" s="227"/>
      <c r="I950" s="350"/>
      <c r="J950" s="227"/>
      <c r="K950" s="227"/>
      <c r="L950" s="224"/>
      <c r="M950" s="224"/>
      <c r="N950" s="224"/>
      <c r="O950" s="224"/>
      <c r="P950" s="224"/>
      <c r="Q950" s="224"/>
      <c r="R950" s="224"/>
      <c r="S950" s="224"/>
      <c r="T950" s="224"/>
      <c r="U950" s="224"/>
      <c r="V950" s="224"/>
      <c r="W950" s="106"/>
    </row>
    <row r="951" spans="1:23" s="101" customFormat="1" x14ac:dyDescent="0.3">
      <c r="A951" s="222"/>
      <c r="B951" s="235"/>
      <c r="C951" s="227"/>
      <c r="D951" s="344"/>
      <c r="E951" s="235"/>
      <c r="F951" s="235"/>
      <c r="G951" s="227"/>
      <c r="H951" s="227"/>
      <c r="I951" s="350"/>
      <c r="J951" s="227"/>
      <c r="K951" s="227"/>
      <c r="L951" s="224"/>
      <c r="M951" s="224"/>
      <c r="N951" s="224"/>
      <c r="O951" s="224"/>
      <c r="P951" s="224"/>
      <c r="Q951" s="224"/>
      <c r="R951" s="224"/>
      <c r="S951" s="224"/>
      <c r="T951" s="224"/>
      <c r="U951" s="224"/>
      <c r="V951" s="224"/>
      <c r="W951" s="106"/>
    </row>
    <row r="952" spans="1:23" s="101" customFormat="1" x14ac:dyDescent="0.3">
      <c r="A952" s="222"/>
      <c r="B952" s="235"/>
      <c r="C952" s="227"/>
      <c r="D952" s="344"/>
      <c r="E952" s="235"/>
      <c r="F952" s="235"/>
      <c r="G952" s="227"/>
      <c r="H952" s="227"/>
      <c r="I952" s="350"/>
      <c r="J952" s="227"/>
      <c r="K952" s="227"/>
      <c r="L952" s="224"/>
      <c r="M952" s="224"/>
      <c r="N952" s="224"/>
      <c r="O952" s="224"/>
      <c r="P952" s="224"/>
      <c r="Q952" s="224"/>
      <c r="R952" s="224"/>
      <c r="S952" s="224"/>
      <c r="T952" s="224"/>
      <c r="U952" s="224"/>
      <c r="V952" s="224"/>
      <c r="W952" s="106"/>
    </row>
    <row r="953" spans="1:23" s="101" customFormat="1" x14ac:dyDescent="0.3">
      <c r="A953" s="222"/>
      <c r="B953" s="235"/>
      <c r="C953" s="227"/>
      <c r="D953" s="344"/>
      <c r="E953" s="235"/>
      <c r="F953" s="235"/>
      <c r="G953" s="227"/>
      <c r="H953" s="227"/>
      <c r="I953" s="350"/>
      <c r="J953" s="227"/>
      <c r="K953" s="227"/>
      <c r="L953" s="224"/>
      <c r="M953" s="224"/>
      <c r="N953" s="224"/>
      <c r="O953" s="224"/>
      <c r="P953" s="224"/>
      <c r="Q953" s="224"/>
      <c r="R953" s="224"/>
      <c r="S953" s="224"/>
      <c r="T953" s="224"/>
      <c r="U953" s="224"/>
      <c r="V953" s="224"/>
      <c r="W953" s="106"/>
    </row>
    <row r="954" spans="1:23" s="101" customFormat="1" x14ac:dyDescent="0.3">
      <c r="A954" s="222"/>
      <c r="B954" s="235"/>
      <c r="C954" s="227"/>
      <c r="D954" s="344"/>
      <c r="E954" s="235"/>
      <c r="F954" s="235"/>
      <c r="G954" s="227"/>
      <c r="H954" s="227"/>
      <c r="I954" s="350"/>
      <c r="J954" s="227"/>
      <c r="K954" s="227"/>
      <c r="L954" s="224"/>
      <c r="M954" s="224"/>
      <c r="N954" s="224"/>
      <c r="O954" s="224"/>
      <c r="P954" s="224"/>
      <c r="Q954" s="224"/>
      <c r="R954" s="224"/>
      <c r="S954" s="224"/>
      <c r="T954" s="224"/>
      <c r="U954" s="224"/>
      <c r="V954" s="224"/>
      <c r="W954" s="106"/>
    </row>
    <row r="955" spans="1:23" s="101" customFormat="1" x14ac:dyDescent="0.3">
      <c r="A955" s="222"/>
      <c r="B955" s="235"/>
      <c r="C955" s="227"/>
      <c r="D955" s="344"/>
      <c r="E955" s="235"/>
      <c r="F955" s="235"/>
      <c r="G955" s="227"/>
      <c r="H955" s="227"/>
      <c r="I955" s="350"/>
      <c r="J955" s="227"/>
      <c r="K955" s="227"/>
      <c r="L955" s="224"/>
      <c r="M955" s="224"/>
      <c r="N955" s="224"/>
      <c r="O955" s="224"/>
      <c r="P955" s="224"/>
      <c r="Q955" s="224"/>
      <c r="R955" s="224"/>
      <c r="S955" s="224"/>
      <c r="T955" s="224"/>
      <c r="U955" s="224"/>
      <c r="V955" s="224"/>
      <c r="W955" s="106"/>
    </row>
    <row r="956" spans="1:23" s="101" customFormat="1" x14ac:dyDescent="0.3">
      <c r="A956" s="222"/>
      <c r="B956" s="235"/>
      <c r="C956" s="227"/>
      <c r="D956" s="344"/>
      <c r="E956" s="235"/>
      <c r="F956" s="235"/>
      <c r="G956" s="227"/>
      <c r="H956" s="227"/>
      <c r="I956" s="350"/>
      <c r="J956" s="227"/>
      <c r="K956" s="227"/>
      <c r="L956" s="224"/>
      <c r="M956" s="224"/>
      <c r="N956" s="224"/>
      <c r="O956" s="224"/>
      <c r="P956" s="224"/>
      <c r="Q956" s="224"/>
      <c r="R956" s="224"/>
      <c r="S956" s="224"/>
      <c r="T956" s="224"/>
      <c r="U956" s="224"/>
      <c r="V956" s="224"/>
      <c r="W956" s="106"/>
    </row>
    <row r="957" spans="1:23" s="101" customFormat="1" x14ac:dyDescent="0.3">
      <c r="A957" s="222"/>
      <c r="B957" s="235"/>
      <c r="C957" s="227"/>
      <c r="D957" s="344"/>
      <c r="E957" s="235"/>
      <c r="F957" s="235"/>
      <c r="G957" s="227"/>
      <c r="H957" s="227"/>
      <c r="I957" s="350"/>
      <c r="J957" s="227"/>
      <c r="K957" s="227"/>
      <c r="L957" s="224"/>
      <c r="M957" s="224"/>
      <c r="N957" s="224"/>
      <c r="O957" s="224"/>
      <c r="P957" s="224"/>
      <c r="Q957" s="224"/>
      <c r="R957" s="224"/>
      <c r="S957" s="224"/>
      <c r="T957" s="224"/>
      <c r="U957" s="224"/>
      <c r="V957" s="224"/>
      <c r="W957" s="106"/>
    </row>
    <row r="958" spans="1:23" s="101" customFormat="1" x14ac:dyDescent="0.3">
      <c r="A958" s="222"/>
      <c r="B958" s="235"/>
      <c r="C958" s="227"/>
      <c r="D958" s="344"/>
      <c r="E958" s="235"/>
      <c r="F958" s="235"/>
      <c r="G958" s="227"/>
      <c r="H958" s="227"/>
      <c r="I958" s="350"/>
      <c r="J958" s="227"/>
      <c r="K958" s="227"/>
      <c r="L958" s="224"/>
      <c r="M958" s="224"/>
      <c r="N958" s="224"/>
      <c r="O958" s="224"/>
      <c r="P958" s="224"/>
      <c r="Q958" s="224"/>
      <c r="R958" s="224"/>
      <c r="S958" s="224"/>
      <c r="T958" s="224"/>
      <c r="U958" s="224"/>
      <c r="V958" s="224"/>
      <c r="W958" s="106"/>
    </row>
    <row r="959" spans="1:23" s="101" customFormat="1" x14ac:dyDescent="0.3">
      <c r="A959" s="222"/>
      <c r="B959" s="235"/>
      <c r="C959" s="227"/>
      <c r="D959" s="344"/>
      <c r="E959" s="235"/>
      <c r="F959" s="235"/>
      <c r="G959" s="227"/>
      <c r="H959" s="227"/>
      <c r="I959" s="350"/>
      <c r="J959" s="227"/>
      <c r="K959" s="227"/>
      <c r="L959" s="224"/>
      <c r="M959" s="224"/>
      <c r="N959" s="224"/>
      <c r="O959" s="224"/>
      <c r="P959" s="224"/>
      <c r="Q959" s="224"/>
      <c r="R959" s="224"/>
      <c r="S959" s="224"/>
      <c r="T959" s="224"/>
      <c r="U959" s="224"/>
      <c r="V959" s="224"/>
      <c r="W959" s="106"/>
    </row>
    <row r="960" spans="1:23" s="101" customFormat="1" x14ac:dyDescent="0.3">
      <c r="A960" s="222"/>
      <c r="B960" s="235"/>
      <c r="C960" s="227"/>
      <c r="D960" s="344"/>
      <c r="E960" s="235"/>
      <c r="F960" s="235"/>
      <c r="G960" s="227"/>
      <c r="H960" s="227"/>
      <c r="I960" s="350"/>
      <c r="J960" s="227"/>
      <c r="K960" s="227"/>
      <c r="L960" s="224"/>
      <c r="M960" s="224"/>
      <c r="N960" s="224"/>
      <c r="O960" s="224"/>
      <c r="P960" s="224"/>
      <c r="Q960" s="224"/>
      <c r="R960" s="224"/>
      <c r="S960" s="224"/>
      <c r="T960" s="224"/>
      <c r="U960" s="224"/>
      <c r="V960" s="224"/>
      <c r="W960" s="106"/>
    </row>
    <row r="961" spans="1:23" s="101" customFormat="1" x14ac:dyDescent="0.3">
      <c r="A961" s="222"/>
      <c r="B961" s="235"/>
      <c r="C961" s="227"/>
      <c r="D961" s="344"/>
      <c r="E961" s="235"/>
      <c r="F961" s="235"/>
      <c r="G961" s="227"/>
      <c r="H961" s="227"/>
      <c r="I961" s="350"/>
      <c r="J961" s="227"/>
      <c r="K961" s="227"/>
      <c r="L961" s="224"/>
      <c r="M961" s="224"/>
      <c r="N961" s="224"/>
      <c r="O961" s="224"/>
      <c r="P961" s="224"/>
      <c r="Q961" s="224"/>
      <c r="R961" s="224"/>
      <c r="S961" s="224"/>
      <c r="T961" s="224"/>
      <c r="U961" s="224"/>
      <c r="V961" s="224"/>
      <c r="W961" s="106"/>
    </row>
    <row r="962" spans="1:23" s="101" customFormat="1" x14ac:dyDescent="0.3">
      <c r="A962" s="222"/>
      <c r="B962" s="235"/>
      <c r="C962" s="227"/>
      <c r="D962" s="344"/>
      <c r="E962" s="235"/>
      <c r="F962" s="235"/>
      <c r="G962" s="227"/>
      <c r="H962" s="227"/>
      <c r="I962" s="350"/>
      <c r="J962" s="227"/>
      <c r="K962" s="227"/>
      <c r="L962" s="224"/>
      <c r="M962" s="224"/>
      <c r="N962" s="224"/>
      <c r="O962" s="224"/>
      <c r="P962" s="224"/>
      <c r="Q962" s="224"/>
      <c r="R962" s="224"/>
      <c r="S962" s="224"/>
      <c r="T962" s="224"/>
      <c r="U962" s="224"/>
      <c r="V962" s="224"/>
      <c r="W962" s="106"/>
    </row>
    <row r="963" spans="1:23" s="101" customFormat="1" x14ac:dyDescent="0.3">
      <c r="A963" s="222"/>
      <c r="B963" s="235"/>
      <c r="C963" s="227"/>
      <c r="D963" s="344"/>
      <c r="E963" s="235"/>
      <c r="F963" s="235"/>
      <c r="G963" s="227"/>
      <c r="H963" s="227"/>
      <c r="I963" s="350"/>
      <c r="J963" s="227"/>
      <c r="K963" s="227"/>
      <c r="L963" s="224"/>
      <c r="M963" s="224"/>
      <c r="N963" s="224"/>
      <c r="O963" s="224"/>
      <c r="P963" s="224"/>
      <c r="Q963" s="224"/>
      <c r="R963" s="224"/>
      <c r="S963" s="224"/>
      <c r="T963" s="224"/>
      <c r="U963" s="224"/>
      <c r="V963" s="224"/>
      <c r="W963" s="106"/>
    </row>
    <row r="964" spans="1:23" s="101" customFormat="1" x14ac:dyDescent="0.3">
      <c r="A964" s="222"/>
      <c r="B964" s="235"/>
      <c r="C964" s="227"/>
      <c r="D964" s="344"/>
      <c r="E964" s="235"/>
      <c r="F964" s="235"/>
      <c r="G964" s="227"/>
      <c r="H964" s="227"/>
      <c r="I964" s="350"/>
      <c r="J964" s="227"/>
      <c r="K964" s="227"/>
      <c r="L964" s="224"/>
      <c r="M964" s="224"/>
      <c r="N964" s="224"/>
      <c r="O964" s="224"/>
      <c r="P964" s="224"/>
      <c r="Q964" s="224"/>
      <c r="R964" s="224"/>
      <c r="S964" s="224"/>
      <c r="T964" s="224"/>
      <c r="U964" s="224"/>
      <c r="V964" s="224"/>
      <c r="W964" s="106"/>
    </row>
    <row r="965" spans="1:23" s="101" customFormat="1" x14ac:dyDescent="0.3">
      <c r="A965" s="222"/>
      <c r="B965" s="235"/>
      <c r="C965" s="227"/>
      <c r="D965" s="344"/>
      <c r="E965" s="235"/>
      <c r="F965" s="235"/>
      <c r="G965" s="227"/>
      <c r="H965" s="227"/>
      <c r="I965" s="350"/>
      <c r="J965" s="227"/>
      <c r="K965" s="227"/>
      <c r="L965" s="224"/>
      <c r="M965" s="224"/>
      <c r="N965" s="224"/>
      <c r="O965" s="224"/>
      <c r="P965" s="224"/>
      <c r="Q965" s="224"/>
      <c r="R965" s="224"/>
      <c r="S965" s="224"/>
      <c r="T965" s="224"/>
      <c r="U965" s="224"/>
      <c r="V965" s="224"/>
      <c r="W965" s="106"/>
    </row>
    <row r="966" spans="1:23" s="101" customFormat="1" x14ac:dyDescent="0.3">
      <c r="A966" s="222"/>
      <c r="B966" s="235"/>
      <c r="C966" s="227"/>
      <c r="D966" s="344"/>
      <c r="E966" s="235"/>
      <c r="F966" s="235"/>
      <c r="G966" s="227"/>
      <c r="H966" s="227"/>
      <c r="I966" s="350"/>
      <c r="J966" s="227"/>
      <c r="K966" s="227"/>
      <c r="L966" s="224"/>
      <c r="M966" s="224"/>
      <c r="N966" s="224"/>
      <c r="O966" s="224"/>
      <c r="P966" s="224"/>
      <c r="Q966" s="224"/>
      <c r="R966" s="224"/>
      <c r="S966" s="224"/>
      <c r="T966" s="224"/>
      <c r="U966" s="224"/>
      <c r="V966" s="224"/>
      <c r="W966" s="106"/>
    </row>
    <row r="967" spans="1:23" s="101" customFormat="1" x14ac:dyDescent="0.3">
      <c r="A967" s="222"/>
      <c r="B967" s="235"/>
      <c r="C967" s="227"/>
      <c r="D967" s="344"/>
      <c r="E967" s="235"/>
      <c r="F967" s="235"/>
      <c r="G967" s="227"/>
      <c r="H967" s="227"/>
      <c r="I967" s="350"/>
      <c r="J967" s="227"/>
      <c r="K967" s="227"/>
      <c r="L967" s="224"/>
      <c r="M967" s="224"/>
      <c r="N967" s="224"/>
      <c r="O967" s="224"/>
      <c r="P967" s="224"/>
      <c r="Q967" s="224"/>
      <c r="R967" s="224"/>
      <c r="S967" s="224"/>
      <c r="T967" s="224"/>
      <c r="U967" s="224"/>
      <c r="V967" s="224"/>
      <c r="W967" s="106"/>
    </row>
    <row r="968" spans="1:23" s="101" customFormat="1" x14ac:dyDescent="0.3">
      <c r="A968" s="222"/>
      <c r="B968" s="235"/>
      <c r="C968" s="227"/>
      <c r="D968" s="344"/>
      <c r="E968" s="235"/>
      <c r="F968" s="235"/>
      <c r="G968" s="227"/>
      <c r="H968" s="227"/>
      <c r="I968" s="350"/>
      <c r="J968" s="227"/>
      <c r="K968" s="227"/>
      <c r="L968" s="224"/>
      <c r="M968" s="224"/>
      <c r="N968" s="224"/>
      <c r="O968" s="224"/>
      <c r="P968" s="224"/>
      <c r="Q968" s="224"/>
      <c r="R968" s="224"/>
      <c r="S968" s="224"/>
      <c r="T968" s="224"/>
      <c r="U968" s="224"/>
      <c r="V968" s="224"/>
      <c r="W968" s="106"/>
    </row>
    <row r="969" spans="1:23" s="101" customFormat="1" x14ac:dyDescent="0.3">
      <c r="A969" s="222"/>
      <c r="B969" s="235"/>
      <c r="C969" s="227"/>
      <c r="D969" s="344"/>
      <c r="E969" s="235"/>
      <c r="F969" s="235"/>
      <c r="G969" s="227"/>
      <c r="H969" s="227"/>
      <c r="I969" s="350"/>
      <c r="J969" s="227"/>
      <c r="K969" s="227"/>
      <c r="L969" s="224"/>
      <c r="M969" s="224"/>
      <c r="N969" s="224"/>
      <c r="O969" s="224"/>
      <c r="P969" s="224"/>
      <c r="Q969" s="224"/>
      <c r="R969" s="224"/>
      <c r="S969" s="224"/>
      <c r="T969" s="224"/>
      <c r="U969" s="224"/>
      <c r="V969" s="224"/>
      <c r="W969" s="106"/>
    </row>
    <row r="970" spans="1:23" s="101" customFormat="1" x14ac:dyDescent="0.3">
      <c r="A970" s="222"/>
      <c r="B970" s="235"/>
      <c r="C970" s="227"/>
      <c r="D970" s="344"/>
      <c r="E970" s="235"/>
      <c r="F970" s="235"/>
      <c r="G970" s="227"/>
      <c r="H970" s="227"/>
      <c r="I970" s="350"/>
      <c r="J970" s="227"/>
      <c r="K970" s="227"/>
      <c r="L970" s="224"/>
      <c r="M970" s="224"/>
      <c r="N970" s="224"/>
      <c r="O970" s="224"/>
      <c r="P970" s="224"/>
      <c r="Q970" s="224"/>
      <c r="R970" s="224"/>
      <c r="S970" s="224"/>
      <c r="T970" s="224"/>
      <c r="U970" s="224"/>
      <c r="V970" s="224"/>
      <c r="W970" s="106"/>
    </row>
    <row r="971" spans="1:23" s="101" customFormat="1" x14ac:dyDescent="0.3">
      <c r="A971" s="222"/>
      <c r="B971" s="235"/>
      <c r="C971" s="227"/>
      <c r="D971" s="344"/>
      <c r="E971" s="235"/>
      <c r="F971" s="235"/>
      <c r="G971" s="227"/>
      <c r="H971" s="227"/>
      <c r="I971" s="350"/>
      <c r="J971" s="227"/>
      <c r="K971" s="227"/>
      <c r="L971" s="224"/>
      <c r="M971" s="224"/>
      <c r="N971" s="224"/>
      <c r="O971" s="224"/>
      <c r="P971" s="224"/>
      <c r="Q971" s="224"/>
      <c r="R971" s="224"/>
      <c r="S971" s="224"/>
      <c r="T971" s="224"/>
      <c r="U971" s="224"/>
      <c r="V971" s="224"/>
      <c r="W971" s="106"/>
    </row>
    <row r="972" spans="1:23" s="101" customFormat="1" x14ac:dyDescent="0.3">
      <c r="A972" s="222"/>
      <c r="B972" s="235"/>
      <c r="C972" s="227"/>
      <c r="D972" s="344"/>
      <c r="E972" s="235"/>
      <c r="F972" s="235"/>
      <c r="G972" s="227"/>
      <c r="H972" s="227"/>
      <c r="I972" s="350"/>
      <c r="J972" s="227"/>
      <c r="K972" s="227"/>
      <c r="L972" s="224"/>
      <c r="M972" s="224"/>
      <c r="N972" s="224"/>
      <c r="O972" s="224"/>
      <c r="P972" s="224"/>
      <c r="Q972" s="224"/>
      <c r="R972" s="224"/>
      <c r="S972" s="224"/>
      <c r="T972" s="224"/>
      <c r="U972" s="224"/>
      <c r="V972" s="224"/>
      <c r="W972" s="106"/>
    </row>
    <row r="973" spans="1:23" s="101" customFormat="1" x14ac:dyDescent="0.3">
      <c r="A973" s="222"/>
      <c r="B973" s="235"/>
      <c r="C973" s="227"/>
      <c r="D973" s="344"/>
      <c r="E973" s="235"/>
      <c r="F973" s="235"/>
      <c r="G973" s="227"/>
      <c r="H973" s="227"/>
      <c r="I973" s="350"/>
      <c r="J973" s="227"/>
      <c r="K973" s="227"/>
      <c r="L973" s="224"/>
      <c r="M973" s="224"/>
      <c r="N973" s="224"/>
      <c r="O973" s="224"/>
      <c r="P973" s="224"/>
      <c r="Q973" s="224"/>
      <c r="R973" s="224"/>
      <c r="S973" s="224"/>
      <c r="T973" s="224"/>
      <c r="U973" s="224"/>
      <c r="V973" s="224"/>
      <c r="W973" s="106"/>
    </row>
    <row r="974" spans="1:23" s="101" customFormat="1" x14ac:dyDescent="0.3">
      <c r="A974" s="222"/>
      <c r="B974" s="235"/>
      <c r="C974" s="227"/>
      <c r="D974" s="344"/>
      <c r="E974" s="235"/>
      <c r="F974" s="235"/>
      <c r="G974" s="227"/>
      <c r="H974" s="227"/>
      <c r="I974" s="350"/>
      <c r="J974" s="227"/>
      <c r="K974" s="227"/>
      <c r="L974" s="224"/>
      <c r="M974" s="224"/>
      <c r="N974" s="224"/>
      <c r="O974" s="224"/>
      <c r="P974" s="224"/>
      <c r="Q974" s="224"/>
      <c r="R974" s="224"/>
      <c r="S974" s="224"/>
      <c r="T974" s="224"/>
      <c r="U974" s="224"/>
      <c r="V974" s="224"/>
      <c r="W974" s="106"/>
    </row>
    <row r="975" spans="1:23" s="101" customFormat="1" x14ac:dyDescent="0.3">
      <c r="A975" s="222"/>
      <c r="B975" s="235"/>
      <c r="C975" s="227"/>
      <c r="D975" s="344"/>
      <c r="E975" s="235"/>
      <c r="F975" s="235"/>
      <c r="G975" s="227"/>
      <c r="H975" s="227"/>
      <c r="I975" s="350"/>
      <c r="J975" s="227"/>
      <c r="K975" s="227"/>
      <c r="L975" s="224"/>
      <c r="M975" s="224"/>
      <c r="N975" s="224"/>
      <c r="O975" s="224"/>
      <c r="P975" s="224"/>
      <c r="Q975" s="224"/>
      <c r="R975" s="224"/>
      <c r="S975" s="224"/>
      <c r="T975" s="224"/>
      <c r="U975" s="224"/>
      <c r="V975" s="224"/>
      <c r="W975" s="106"/>
    </row>
    <row r="976" spans="1:23" s="101" customFormat="1" x14ac:dyDescent="0.3">
      <c r="A976" s="222"/>
      <c r="B976" s="235"/>
      <c r="C976" s="227"/>
      <c r="D976" s="344"/>
      <c r="E976" s="235"/>
      <c r="F976" s="235"/>
      <c r="G976" s="227"/>
      <c r="H976" s="227"/>
      <c r="I976" s="350"/>
      <c r="J976" s="227"/>
      <c r="K976" s="227"/>
      <c r="L976" s="224"/>
      <c r="M976" s="224"/>
      <c r="N976" s="224"/>
      <c r="O976" s="224"/>
      <c r="P976" s="224"/>
      <c r="Q976" s="224"/>
      <c r="R976" s="224"/>
      <c r="S976" s="224"/>
      <c r="T976" s="224"/>
      <c r="U976" s="224"/>
      <c r="V976" s="224"/>
      <c r="W976" s="106"/>
    </row>
    <row r="977" spans="1:23" s="101" customFormat="1" x14ac:dyDescent="0.3">
      <c r="A977" s="222"/>
      <c r="B977" s="235"/>
      <c r="C977" s="227"/>
      <c r="D977" s="344"/>
      <c r="E977" s="235"/>
      <c r="F977" s="235"/>
      <c r="G977" s="227"/>
      <c r="H977" s="227"/>
      <c r="I977" s="350"/>
      <c r="J977" s="227"/>
      <c r="K977" s="227"/>
      <c r="L977" s="224"/>
      <c r="M977" s="224"/>
      <c r="N977" s="224"/>
      <c r="O977" s="224"/>
      <c r="P977" s="224"/>
      <c r="Q977" s="224"/>
      <c r="R977" s="224"/>
      <c r="S977" s="224"/>
      <c r="T977" s="224"/>
      <c r="U977" s="224"/>
      <c r="V977" s="224"/>
      <c r="W977" s="106"/>
    </row>
    <row r="978" spans="1:23" s="101" customFormat="1" x14ac:dyDescent="0.3">
      <c r="A978" s="222"/>
      <c r="B978" s="235"/>
      <c r="C978" s="227"/>
      <c r="D978" s="344"/>
      <c r="E978" s="235"/>
      <c r="F978" s="235"/>
      <c r="G978" s="227"/>
      <c r="H978" s="227"/>
      <c r="I978" s="350"/>
      <c r="J978" s="227"/>
      <c r="K978" s="227"/>
      <c r="L978" s="224"/>
      <c r="M978" s="224"/>
      <c r="N978" s="224"/>
      <c r="O978" s="224"/>
      <c r="P978" s="224"/>
      <c r="Q978" s="224"/>
      <c r="R978" s="224"/>
      <c r="S978" s="224"/>
      <c r="T978" s="224"/>
      <c r="U978" s="224"/>
      <c r="V978" s="224"/>
      <c r="W978" s="106"/>
    </row>
    <row r="979" spans="1:23" s="101" customFormat="1" x14ac:dyDescent="0.3">
      <c r="A979" s="222"/>
      <c r="B979" s="235"/>
      <c r="C979" s="227"/>
      <c r="D979" s="344"/>
      <c r="E979" s="235"/>
      <c r="F979" s="235"/>
      <c r="G979" s="227"/>
      <c r="H979" s="227"/>
      <c r="I979" s="350"/>
      <c r="J979" s="227"/>
      <c r="K979" s="227"/>
      <c r="L979" s="224"/>
      <c r="M979" s="224"/>
      <c r="N979" s="224"/>
      <c r="O979" s="224"/>
      <c r="P979" s="224"/>
      <c r="Q979" s="224"/>
      <c r="R979" s="224"/>
      <c r="S979" s="224"/>
      <c r="T979" s="224"/>
      <c r="U979" s="224"/>
      <c r="V979" s="224"/>
      <c r="W979" s="106"/>
    </row>
    <row r="980" spans="1:23" s="101" customFormat="1" x14ac:dyDescent="0.3">
      <c r="A980" s="222"/>
      <c r="B980" s="235"/>
      <c r="C980" s="227"/>
      <c r="D980" s="344"/>
      <c r="E980" s="235"/>
      <c r="F980" s="235"/>
      <c r="G980" s="227"/>
      <c r="H980" s="227"/>
      <c r="I980" s="350"/>
      <c r="J980" s="227"/>
      <c r="K980" s="227"/>
      <c r="L980" s="224"/>
      <c r="M980" s="224"/>
      <c r="N980" s="224"/>
      <c r="O980" s="224"/>
      <c r="P980" s="224"/>
      <c r="Q980" s="224"/>
      <c r="R980" s="224"/>
      <c r="S980" s="224"/>
      <c r="T980" s="224"/>
      <c r="U980" s="224"/>
      <c r="V980" s="224"/>
      <c r="W980" s="106"/>
    </row>
    <row r="981" spans="1:23" s="101" customFormat="1" x14ac:dyDescent="0.3">
      <c r="A981" s="222"/>
      <c r="B981" s="235"/>
      <c r="C981" s="227"/>
      <c r="D981" s="344"/>
      <c r="E981" s="235"/>
      <c r="F981" s="235"/>
      <c r="G981" s="227"/>
      <c r="H981" s="227"/>
      <c r="I981" s="350"/>
      <c r="J981" s="227"/>
      <c r="K981" s="227"/>
      <c r="L981" s="224"/>
      <c r="M981" s="224"/>
      <c r="N981" s="224"/>
      <c r="O981" s="224"/>
      <c r="P981" s="224"/>
      <c r="Q981" s="224"/>
      <c r="R981" s="224"/>
      <c r="S981" s="224"/>
      <c r="T981" s="224"/>
      <c r="U981" s="224"/>
      <c r="V981" s="224"/>
      <c r="W981" s="106"/>
    </row>
    <row r="982" spans="1:23" s="101" customFormat="1" x14ac:dyDescent="0.3">
      <c r="A982" s="222"/>
      <c r="B982" s="235"/>
      <c r="C982" s="227"/>
      <c r="D982" s="344"/>
      <c r="E982" s="235"/>
      <c r="F982" s="235"/>
      <c r="G982" s="227"/>
      <c r="H982" s="227"/>
      <c r="I982" s="350"/>
      <c r="J982" s="227"/>
      <c r="K982" s="227"/>
      <c r="L982" s="224"/>
      <c r="M982" s="224"/>
      <c r="N982" s="224"/>
      <c r="O982" s="224"/>
      <c r="P982" s="224"/>
      <c r="Q982" s="224"/>
      <c r="R982" s="224"/>
      <c r="S982" s="224"/>
      <c r="T982" s="224"/>
      <c r="U982" s="224"/>
      <c r="V982" s="224"/>
      <c r="W982" s="106"/>
    </row>
    <row r="983" spans="1:23" s="101" customFormat="1" x14ac:dyDescent="0.3">
      <c r="A983" s="222"/>
      <c r="B983" s="235"/>
      <c r="C983" s="227"/>
      <c r="D983" s="344"/>
      <c r="E983" s="235"/>
      <c r="F983" s="235"/>
      <c r="G983" s="227"/>
      <c r="H983" s="227"/>
      <c r="I983" s="350"/>
      <c r="J983" s="227"/>
      <c r="K983" s="227"/>
      <c r="L983" s="224"/>
      <c r="M983" s="224"/>
      <c r="N983" s="224"/>
      <c r="O983" s="224"/>
      <c r="P983" s="224"/>
      <c r="Q983" s="224"/>
      <c r="R983" s="224"/>
      <c r="S983" s="224"/>
      <c r="T983" s="224"/>
      <c r="U983" s="224"/>
      <c r="V983" s="224"/>
      <c r="W983" s="106"/>
    </row>
    <row r="984" spans="1:23" s="101" customFormat="1" x14ac:dyDescent="0.3">
      <c r="A984" s="222"/>
      <c r="B984" s="235"/>
      <c r="C984" s="227"/>
      <c r="D984" s="344"/>
      <c r="E984" s="235"/>
      <c r="F984" s="235"/>
      <c r="G984" s="227"/>
      <c r="H984" s="227"/>
      <c r="I984" s="350"/>
      <c r="J984" s="227"/>
      <c r="K984" s="227"/>
      <c r="L984" s="224"/>
      <c r="M984" s="224"/>
      <c r="N984" s="224"/>
      <c r="O984" s="224"/>
      <c r="P984" s="224"/>
      <c r="Q984" s="224"/>
      <c r="R984" s="224"/>
      <c r="S984" s="224"/>
      <c r="T984" s="224"/>
      <c r="U984" s="224"/>
      <c r="V984" s="224"/>
      <c r="W984" s="106"/>
    </row>
    <row r="985" spans="1:23" s="101" customFormat="1" x14ac:dyDescent="0.3">
      <c r="A985" s="222"/>
      <c r="B985" s="235"/>
      <c r="C985" s="227"/>
      <c r="D985" s="344"/>
      <c r="E985" s="235"/>
      <c r="F985" s="235"/>
      <c r="G985" s="227"/>
      <c r="H985" s="227"/>
      <c r="I985" s="350"/>
      <c r="J985" s="227"/>
      <c r="K985" s="227"/>
      <c r="L985" s="224"/>
      <c r="M985" s="224"/>
      <c r="N985" s="224"/>
      <c r="O985" s="224"/>
      <c r="P985" s="224"/>
      <c r="Q985" s="224"/>
      <c r="R985" s="224"/>
      <c r="S985" s="224"/>
      <c r="T985" s="224"/>
      <c r="U985" s="224"/>
      <c r="V985" s="224"/>
    </row>
    <row r="986" spans="1:23" s="101" customFormat="1" x14ac:dyDescent="0.3">
      <c r="A986" s="222"/>
      <c r="B986" s="235"/>
      <c r="C986" s="227"/>
      <c r="D986" s="344"/>
      <c r="E986" s="235"/>
      <c r="F986" s="235"/>
      <c r="G986" s="227"/>
      <c r="H986" s="227"/>
      <c r="I986" s="350"/>
      <c r="J986" s="227"/>
      <c r="K986" s="227"/>
      <c r="L986" s="224"/>
      <c r="M986" s="224"/>
      <c r="N986" s="224"/>
      <c r="O986" s="224"/>
      <c r="P986" s="224"/>
      <c r="Q986" s="224"/>
      <c r="R986" s="224"/>
      <c r="S986" s="224"/>
      <c r="T986" s="224"/>
      <c r="U986" s="224"/>
      <c r="V986" s="224"/>
    </row>
    <row r="987" spans="1:23" s="101" customFormat="1" x14ac:dyDescent="0.3">
      <c r="A987" s="222"/>
      <c r="B987" s="235"/>
      <c r="C987" s="227"/>
      <c r="D987" s="344"/>
      <c r="E987" s="235"/>
      <c r="F987" s="235"/>
      <c r="G987" s="227"/>
      <c r="H987" s="227"/>
      <c r="I987" s="350"/>
      <c r="J987" s="227"/>
      <c r="K987" s="227"/>
      <c r="L987" s="224"/>
      <c r="M987" s="224"/>
      <c r="N987" s="224"/>
      <c r="O987" s="224"/>
      <c r="P987" s="224"/>
      <c r="Q987" s="224"/>
      <c r="R987" s="224"/>
      <c r="S987" s="224"/>
      <c r="T987" s="224"/>
      <c r="U987" s="224"/>
      <c r="V987" s="224"/>
    </row>
    <row r="988" spans="1:23" s="101" customFormat="1" x14ac:dyDescent="0.3">
      <c r="A988" s="222"/>
      <c r="B988" s="235"/>
      <c r="C988" s="227"/>
      <c r="D988" s="344"/>
      <c r="E988" s="235"/>
      <c r="F988" s="235"/>
      <c r="G988" s="227"/>
      <c r="H988" s="227"/>
      <c r="I988" s="350"/>
      <c r="J988" s="227"/>
      <c r="K988" s="227"/>
      <c r="L988" s="224"/>
      <c r="M988" s="224"/>
      <c r="N988" s="224"/>
      <c r="O988" s="224"/>
      <c r="P988" s="224"/>
      <c r="Q988" s="224"/>
      <c r="R988" s="224"/>
      <c r="S988" s="224"/>
      <c r="T988" s="224"/>
      <c r="U988" s="224"/>
      <c r="V988" s="224"/>
    </row>
    <row r="989" spans="1:23" s="101" customFormat="1" x14ac:dyDescent="0.3">
      <c r="A989" s="222"/>
      <c r="B989" s="235"/>
      <c r="C989" s="227"/>
      <c r="D989" s="344"/>
      <c r="E989" s="235"/>
      <c r="F989" s="235"/>
      <c r="G989" s="227"/>
      <c r="H989" s="227"/>
      <c r="I989" s="350"/>
      <c r="J989" s="227"/>
      <c r="K989" s="227"/>
      <c r="L989" s="224"/>
      <c r="M989" s="224"/>
      <c r="N989" s="224"/>
      <c r="O989" s="224"/>
      <c r="P989" s="224"/>
      <c r="Q989" s="224"/>
      <c r="R989" s="224"/>
      <c r="S989" s="224"/>
      <c r="T989" s="224"/>
      <c r="U989" s="224"/>
      <c r="V989" s="224"/>
    </row>
    <row r="990" spans="1:23" s="101" customFormat="1" x14ac:dyDescent="0.3">
      <c r="A990" s="222"/>
      <c r="B990" s="235"/>
      <c r="C990" s="227"/>
      <c r="D990" s="344"/>
      <c r="E990" s="235"/>
      <c r="F990" s="235"/>
      <c r="G990" s="227"/>
      <c r="H990" s="227"/>
      <c r="I990" s="350"/>
      <c r="J990" s="227"/>
      <c r="K990" s="227"/>
      <c r="L990" s="224"/>
      <c r="M990" s="224"/>
      <c r="N990" s="224"/>
      <c r="O990" s="224"/>
      <c r="P990" s="224"/>
      <c r="Q990" s="224"/>
      <c r="R990" s="224"/>
      <c r="S990" s="224"/>
      <c r="T990" s="224"/>
      <c r="U990" s="224"/>
      <c r="V990" s="224"/>
    </row>
    <row r="991" spans="1:23" s="101" customFormat="1" x14ac:dyDescent="0.3">
      <c r="A991" s="222"/>
      <c r="B991" s="235"/>
      <c r="C991" s="227"/>
      <c r="D991" s="344"/>
      <c r="E991" s="235"/>
      <c r="F991" s="235"/>
      <c r="G991" s="227"/>
      <c r="H991" s="227"/>
      <c r="I991" s="350"/>
      <c r="J991" s="227"/>
      <c r="K991" s="227"/>
      <c r="L991" s="224"/>
      <c r="M991" s="224"/>
      <c r="N991" s="224"/>
      <c r="O991" s="224"/>
      <c r="P991" s="224"/>
      <c r="Q991" s="224"/>
      <c r="R991" s="224"/>
      <c r="S991" s="224"/>
      <c r="T991" s="224"/>
      <c r="U991" s="224"/>
      <c r="V991" s="224"/>
    </row>
    <row r="992" spans="1:23" s="101" customFormat="1" x14ac:dyDescent="0.3">
      <c r="A992" s="222"/>
      <c r="B992" s="235"/>
      <c r="C992" s="227"/>
      <c r="D992" s="344"/>
      <c r="E992" s="235"/>
      <c r="F992" s="235"/>
      <c r="G992" s="227"/>
      <c r="H992" s="227"/>
      <c r="I992" s="350"/>
      <c r="J992" s="227"/>
      <c r="K992" s="227"/>
      <c r="L992" s="224"/>
      <c r="M992" s="224"/>
      <c r="N992" s="224"/>
      <c r="O992" s="224"/>
      <c r="P992" s="224"/>
      <c r="Q992" s="224"/>
      <c r="R992" s="224"/>
      <c r="S992" s="224"/>
      <c r="T992" s="224"/>
      <c r="U992" s="224"/>
      <c r="V992" s="224"/>
    </row>
    <row r="993" spans="1:22" s="101" customFormat="1" x14ac:dyDescent="0.3">
      <c r="A993" s="222"/>
      <c r="B993" s="235"/>
      <c r="C993" s="227"/>
      <c r="D993" s="344"/>
      <c r="E993" s="235"/>
      <c r="F993" s="235"/>
      <c r="G993" s="227"/>
      <c r="H993" s="227"/>
      <c r="I993" s="350"/>
      <c r="J993" s="227"/>
      <c r="K993" s="227"/>
      <c r="L993" s="224"/>
      <c r="M993" s="224"/>
      <c r="N993" s="224"/>
      <c r="O993" s="224"/>
      <c r="P993" s="224"/>
      <c r="Q993" s="224"/>
      <c r="R993" s="224"/>
      <c r="S993" s="224"/>
      <c r="T993" s="224"/>
      <c r="U993" s="224"/>
      <c r="V993" s="224"/>
    </row>
    <row r="994" spans="1:22" s="101" customFormat="1" x14ac:dyDescent="0.3">
      <c r="A994" s="222"/>
      <c r="B994" s="235"/>
      <c r="C994" s="227"/>
      <c r="D994" s="344"/>
      <c r="E994" s="235"/>
      <c r="F994" s="235"/>
      <c r="G994" s="227"/>
      <c r="H994" s="227"/>
      <c r="I994" s="350"/>
      <c r="J994" s="227"/>
      <c r="K994" s="227"/>
      <c r="L994" s="224"/>
      <c r="M994" s="224"/>
      <c r="N994" s="224"/>
      <c r="O994" s="224"/>
      <c r="P994" s="224"/>
      <c r="Q994" s="224"/>
      <c r="R994" s="224"/>
      <c r="S994" s="224"/>
      <c r="T994" s="224"/>
      <c r="U994" s="224"/>
      <c r="V994" s="224"/>
    </row>
    <row r="995" spans="1:22" s="101" customFormat="1" x14ac:dyDescent="0.3">
      <c r="A995" s="222"/>
      <c r="B995" s="235"/>
      <c r="C995" s="227"/>
      <c r="D995" s="344"/>
      <c r="E995" s="235"/>
      <c r="F995" s="235"/>
      <c r="G995" s="227"/>
      <c r="H995" s="227"/>
      <c r="I995" s="350"/>
      <c r="J995" s="227"/>
      <c r="K995" s="227"/>
      <c r="L995" s="224"/>
      <c r="M995" s="224"/>
      <c r="N995" s="224"/>
      <c r="O995" s="224"/>
      <c r="P995" s="224"/>
      <c r="Q995" s="224"/>
      <c r="R995" s="224"/>
      <c r="S995" s="224"/>
      <c r="T995" s="224"/>
      <c r="U995" s="224"/>
      <c r="V995" s="224"/>
    </row>
    <row r="996" spans="1:22" s="101" customFormat="1" x14ac:dyDescent="0.3">
      <c r="A996" s="222"/>
      <c r="B996" s="235"/>
      <c r="C996" s="227"/>
      <c r="D996" s="344"/>
      <c r="E996" s="235"/>
      <c r="F996" s="235"/>
      <c r="G996" s="227"/>
      <c r="H996" s="227"/>
      <c r="I996" s="350"/>
      <c r="J996" s="227"/>
      <c r="K996" s="227"/>
      <c r="L996" s="224"/>
      <c r="M996" s="224"/>
      <c r="N996" s="224"/>
      <c r="O996" s="224"/>
      <c r="P996" s="224"/>
      <c r="Q996" s="224"/>
      <c r="R996" s="224"/>
      <c r="S996" s="224"/>
      <c r="T996" s="224"/>
      <c r="U996" s="224"/>
      <c r="V996" s="224"/>
    </row>
    <row r="997" spans="1:22" s="101" customFormat="1" x14ac:dyDescent="0.3">
      <c r="A997" s="222"/>
      <c r="B997" s="235"/>
      <c r="C997" s="227"/>
      <c r="D997" s="344"/>
      <c r="E997" s="235"/>
      <c r="F997" s="235"/>
      <c r="G997" s="227"/>
      <c r="H997" s="227"/>
      <c r="I997" s="350"/>
      <c r="J997" s="227"/>
      <c r="K997" s="227"/>
      <c r="L997" s="224"/>
      <c r="M997" s="224"/>
      <c r="N997" s="224"/>
      <c r="O997" s="224"/>
      <c r="P997" s="224"/>
      <c r="Q997" s="224"/>
      <c r="R997" s="224"/>
      <c r="S997" s="224"/>
      <c r="T997" s="224"/>
      <c r="U997" s="224"/>
      <c r="V997" s="224"/>
    </row>
    <row r="998" spans="1:22" s="101" customFormat="1" x14ac:dyDescent="0.3">
      <c r="A998" s="222"/>
      <c r="B998" s="235"/>
      <c r="C998" s="227"/>
      <c r="D998" s="344"/>
      <c r="E998" s="235"/>
      <c r="F998" s="235"/>
      <c r="G998" s="227"/>
      <c r="H998" s="227"/>
      <c r="I998" s="350"/>
      <c r="J998" s="227"/>
      <c r="K998" s="227"/>
      <c r="L998" s="224"/>
      <c r="M998" s="224"/>
      <c r="N998" s="224"/>
      <c r="O998" s="224"/>
      <c r="P998" s="224"/>
      <c r="Q998" s="224"/>
      <c r="R998" s="224"/>
      <c r="S998" s="224"/>
      <c r="T998" s="224"/>
      <c r="U998" s="224"/>
      <c r="V998" s="224"/>
    </row>
    <row r="999" spans="1:22" s="101" customFormat="1" x14ac:dyDescent="0.3">
      <c r="A999" s="222"/>
      <c r="B999" s="235"/>
      <c r="C999" s="227"/>
      <c r="D999" s="344"/>
      <c r="E999" s="235"/>
      <c r="F999" s="235"/>
      <c r="G999" s="227"/>
      <c r="H999" s="227"/>
      <c r="I999" s="350"/>
      <c r="J999" s="227"/>
      <c r="K999" s="227"/>
      <c r="L999" s="224"/>
      <c r="M999" s="224"/>
      <c r="N999" s="224"/>
      <c r="O999" s="224"/>
      <c r="P999" s="224"/>
      <c r="Q999" s="224"/>
      <c r="R999" s="224"/>
      <c r="S999" s="224"/>
      <c r="T999" s="224"/>
      <c r="U999" s="224"/>
      <c r="V999" s="224"/>
    </row>
    <row r="1000" spans="1:22" s="101" customFormat="1" x14ac:dyDescent="0.3">
      <c r="A1000" s="222"/>
      <c r="B1000" s="235"/>
      <c r="C1000" s="227"/>
      <c r="D1000" s="344"/>
      <c r="E1000" s="235"/>
      <c r="F1000" s="235"/>
      <c r="G1000" s="227"/>
      <c r="H1000" s="227"/>
      <c r="I1000" s="350"/>
      <c r="J1000" s="227"/>
      <c r="K1000" s="227"/>
      <c r="L1000" s="224"/>
      <c r="M1000" s="224"/>
      <c r="N1000" s="224"/>
      <c r="O1000" s="224"/>
      <c r="P1000" s="224"/>
      <c r="Q1000" s="224"/>
      <c r="R1000" s="224"/>
      <c r="S1000" s="224"/>
      <c r="T1000" s="224"/>
      <c r="U1000" s="224"/>
      <c r="V1000" s="224"/>
    </row>
    <row r="1001" spans="1:22" s="101" customFormat="1" x14ac:dyDescent="0.3">
      <c r="A1001" s="222"/>
      <c r="B1001" s="235"/>
      <c r="C1001" s="227"/>
      <c r="D1001" s="344"/>
      <c r="E1001" s="235"/>
      <c r="F1001" s="235"/>
      <c r="G1001" s="227"/>
      <c r="H1001" s="227"/>
      <c r="I1001" s="350"/>
      <c r="J1001" s="227"/>
      <c r="K1001" s="227"/>
      <c r="L1001" s="224"/>
      <c r="M1001" s="224"/>
      <c r="N1001" s="224"/>
      <c r="O1001" s="224"/>
      <c r="P1001" s="224"/>
      <c r="Q1001" s="224"/>
      <c r="R1001" s="224"/>
      <c r="S1001" s="224"/>
      <c r="T1001" s="224"/>
      <c r="U1001" s="224"/>
      <c r="V1001" s="224"/>
    </row>
    <row r="1002" spans="1:22" s="101" customFormat="1" x14ac:dyDescent="0.3">
      <c r="A1002" s="222"/>
      <c r="B1002" s="235"/>
      <c r="C1002" s="227"/>
      <c r="D1002" s="344"/>
      <c r="E1002" s="235"/>
      <c r="F1002" s="235"/>
      <c r="G1002" s="227"/>
      <c r="H1002" s="227"/>
      <c r="I1002" s="350"/>
      <c r="J1002" s="227"/>
      <c r="K1002" s="227"/>
      <c r="L1002" s="224"/>
      <c r="M1002" s="224"/>
      <c r="N1002" s="224"/>
      <c r="O1002" s="224"/>
      <c r="P1002" s="224"/>
      <c r="Q1002" s="224"/>
      <c r="R1002" s="224"/>
      <c r="S1002" s="224"/>
      <c r="T1002" s="224"/>
      <c r="U1002" s="224"/>
      <c r="V1002" s="224"/>
    </row>
    <row r="1003" spans="1:22" s="101" customFormat="1" x14ac:dyDescent="0.3">
      <c r="A1003" s="222"/>
      <c r="B1003" s="235"/>
      <c r="C1003" s="227"/>
      <c r="D1003" s="344"/>
      <c r="E1003" s="235"/>
      <c r="F1003" s="235"/>
      <c r="G1003" s="227"/>
      <c r="H1003" s="227"/>
      <c r="I1003" s="350"/>
      <c r="J1003" s="227"/>
      <c r="K1003" s="227"/>
      <c r="L1003" s="224"/>
      <c r="M1003" s="224"/>
      <c r="N1003" s="224"/>
      <c r="O1003" s="224"/>
      <c r="P1003" s="224"/>
      <c r="Q1003" s="224"/>
      <c r="R1003" s="224"/>
      <c r="S1003" s="224"/>
      <c r="T1003" s="224"/>
      <c r="U1003" s="224"/>
      <c r="V1003" s="224"/>
    </row>
    <row r="1004" spans="1:22" s="101" customFormat="1" x14ac:dyDescent="0.3">
      <c r="A1004" s="222"/>
      <c r="B1004" s="235"/>
      <c r="C1004" s="227"/>
      <c r="D1004" s="344"/>
      <c r="E1004" s="235"/>
      <c r="F1004" s="235"/>
      <c r="G1004" s="227"/>
      <c r="H1004" s="227"/>
      <c r="I1004" s="350"/>
      <c r="J1004" s="227"/>
      <c r="K1004" s="227"/>
      <c r="L1004" s="224"/>
      <c r="M1004" s="224"/>
      <c r="N1004" s="224"/>
      <c r="O1004" s="224"/>
      <c r="P1004" s="224"/>
      <c r="Q1004" s="224"/>
      <c r="R1004" s="224"/>
      <c r="S1004" s="224"/>
      <c r="T1004" s="224"/>
      <c r="U1004" s="224"/>
      <c r="V1004" s="224"/>
    </row>
    <row r="1005" spans="1:22" s="101" customFormat="1" x14ac:dyDescent="0.3">
      <c r="A1005" s="222"/>
      <c r="B1005" s="235"/>
      <c r="C1005" s="227"/>
      <c r="D1005" s="344"/>
      <c r="E1005" s="235"/>
      <c r="F1005" s="235"/>
      <c r="G1005" s="227"/>
      <c r="H1005" s="227"/>
      <c r="I1005" s="350"/>
      <c r="J1005" s="227"/>
      <c r="K1005" s="227"/>
      <c r="L1005" s="224"/>
      <c r="M1005" s="224"/>
      <c r="N1005" s="224"/>
      <c r="O1005" s="224"/>
      <c r="P1005" s="224"/>
      <c r="Q1005" s="224"/>
      <c r="R1005" s="224"/>
      <c r="S1005" s="224"/>
      <c r="T1005" s="224"/>
      <c r="U1005" s="224"/>
      <c r="V1005" s="224"/>
    </row>
    <row r="1006" spans="1:22" s="101" customFormat="1" x14ac:dyDescent="0.3">
      <c r="A1006" s="222"/>
      <c r="B1006" s="235"/>
      <c r="C1006" s="227"/>
      <c r="D1006" s="344"/>
      <c r="E1006" s="235"/>
      <c r="F1006" s="235"/>
      <c r="G1006" s="227"/>
      <c r="H1006" s="227"/>
      <c r="I1006" s="350"/>
      <c r="J1006" s="227"/>
      <c r="K1006" s="227"/>
      <c r="L1006" s="224"/>
      <c r="M1006" s="224"/>
      <c r="N1006" s="224"/>
      <c r="O1006" s="224"/>
      <c r="P1006" s="224"/>
      <c r="Q1006" s="224"/>
      <c r="R1006" s="224"/>
      <c r="S1006" s="224"/>
      <c r="T1006" s="224"/>
      <c r="U1006" s="224"/>
      <c r="V1006" s="224"/>
    </row>
    <row r="1007" spans="1:22" s="101" customFormat="1" x14ac:dyDescent="0.3">
      <c r="A1007" s="222"/>
      <c r="B1007" s="235"/>
      <c r="C1007" s="227"/>
      <c r="D1007" s="344"/>
      <c r="E1007" s="235"/>
      <c r="F1007" s="235"/>
      <c r="G1007" s="227"/>
      <c r="H1007" s="227"/>
      <c r="I1007" s="350"/>
      <c r="J1007" s="227"/>
      <c r="K1007" s="227"/>
      <c r="L1007" s="224"/>
      <c r="M1007" s="224"/>
      <c r="N1007" s="224"/>
      <c r="O1007" s="224"/>
      <c r="P1007" s="224"/>
      <c r="Q1007" s="224"/>
      <c r="R1007" s="224"/>
      <c r="S1007" s="224"/>
      <c r="T1007" s="224"/>
      <c r="U1007" s="224"/>
      <c r="V1007" s="224"/>
    </row>
    <row r="1008" spans="1:22" s="101" customFormat="1" x14ac:dyDescent="0.3">
      <c r="A1008" s="222"/>
      <c r="B1008" s="235"/>
      <c r="C1008" s="227"/>
      <c r="D1008" s="344"/>
      <c r="E1008" s="235"/>
      <c r="F1008" s="235"/>
      <c r="G1008" s="227"/>
      <c r="H1008" s="227"/>
      <c r="I1008" s="350"/>
      <c r="J1008" s="227"/>
      <c r="K1008" s="227"/>
      <c r="L1008" s="224"/>
      <c r="M1008" s="224"/>
      <c r="N1008" s="224"/>
      <c r="O1008" s="224"/>
      <c r="P1008" s="224"/>
      <c r="Q1008" s="224"/>
      <c r="R1008" s="224"/>
      <c r="S1008" s="224"/>
      <c r="T1008" s="224"/>
      <c r="U1008" s="224"/>
      <c r="V1008" s="224"/>
    </row>
    <row r="1009" spans="1:22" s="101" customFormat="1" x14ac:dyDescent="0.3">
      <c r="A1009" s="222"/>
      <c r="B1009" s="235"/>
      <c r="C1009" s="227"/>
      <c r="D1009" s="344"/>
      <c r="E1009" s="235"/>
      <c r="F1009" s="235"/>
      <c r="G1009" s="227"/>
      <c r="H1009" s="227"/>
      <c r="I1009" s="350"/>
      <c r="J1009" s="227"/>
      <c r="K1009" s="227"/>
      <c r="L1009" s="224"/>
      <c r="M1009" s="224"/>
      <c r="N1009" s="224"/>
      <c r="O1009" s="224"/>
      <c r="P1009" s="224"/>
      <c r="Q1009" s="224"/>
      <c r="R1009" s="224"/>
      <c r="S1009" s="224"/>
      <c r="T1009" s="224"/>
      <c r="U1009" s="224"/>
      <c r="V1009" s="224"/>
    </row>
    <row r="1010" spans="1:22" s="101" customFormat="1" x14ac:dyDescent="0.3">
      <c r="A1010" s="222"/>
      <c r="B1010" s="235"/>
      <c r="C1010" s="227"/>
      <c r="D1010" s="344"/>
      <c r="E1010" s="235"/>
      <c r="F1010" s="235"/>
      <c r="G1010" s="227"/>
      <c r="H1010" s="227"/>
      <c r="I1010" s="350"/>
      <c r="J1010" s="227"/>
      <c r="K1010" s="227"/>
      <c r="L1010" s="224"/>
      <c r="M1010" s="224"/>
      <c r="N1010" s="224"/>
      <c r="O1010" s="224"/>
      <c r="P1010" s="224"/>
      <c r="Q1010" s="224"/>
      <c r="R1010" s="224"/>
      <c r="S1010" s="224"/>
      <c r="T1010" s="224"/>
      <c r="U1010" s="224"/>
      <c r="V1010" s="224"/>
    </row>
    <row r="1011" spans="1:22" s="101" customFormat="1" x14ac:dyDescent="0.3">
      <c r="A1011" s="222"/>
      <c r="B1011" s="235"/>
      <c r="C1011" s="227"/>
      <c r="D1011" s="344"/>
      <c r="E1011" s="235"/>
      <c r="F1011" s="235"/>
      <c r="G1011" s="227"/>
      <c r="H1011" s="227"/>
      <c r="I1011" s="350"/>
      <c r="J1011" s="227"/>
      <c r="K1011" s="227"/>
      <c r="L1011" s="224"/>
      <c r="M1011" s="224"/>
      <c r="N1011" s="224"/>
      <c r="O1011" s="224"/>
      <c r="P1011" s="224"/>
      <c r="Q1011" s="224"/>
      <c r="R1011" s="224"/>
      <c r="S1011" s="224"/>
      <c r="T1011" s="224"/>
      <c r="U1011" s="224"/>
      <c r="V1011" s="224"/>
    </row>
    <row r="1012" spans="1:22" s="101" customFormat="1" x14ac:dyDescent="0.3">
      <c r="A1012" s="222"/>
      <c r="B1012" s="235"/>
      <c r="C1012" s="227"/>
      <c r="D1012" s="344"/>
      <c r="E1012" s="235"/>
      <c r="F1012" s="235"/>
      <c r="G1012" s="227"/>
      <c r="H1012" s="227"/>
      <c r="I1012" s="350"/>
      <c r="J1012" s="227"/>
      <c r="K1012" s="227"/>
      <c r="L1012" s="224"/>
      <c r="M1012" s="224"/>
      <c r="N1012" s="224"/>
      <c r="O1012" s="224"/>
      <c r="P1012" s="224"/>
      <c r="Q1012" s="224"/>
      <c r="R1012" s="224"/>
      <c r="S1012" s="224"/>
      <c r="T1012" s="224"/>
      <c r="U1012" s="224"/>
      <c r="V1012" s="224"/>
    </row>
    <row r="1013" spans="1:22" s="101" customFormat="1" x14ac:dyDescent="0.3">
      <c r="A1013" s="222"/>
      <c r="B1013" s="235"/>
      <c r="C1013" s="227"/>
      <c r="D1013" s="344"/>
      <c r="E1013" s="235"/>
      <c r="F1013" s="235"/>
      <c r="G1013" s="227"/>
      <c r="H1013" s="227"/>
      <c r="I1013" s="350"/>
      <c r="J1013" s="227"/>
      <c r="K1013" s="227"/>
      <c r="L1013" s="224"/>
      <c r="M1013" s="224"/>
      <c r="N1013" s="224"/>
      <c r="O1013" s="224"/>
      <c r="P1013" s="224"/>
      <c r="Q1013" s="224"/>
      <c r="R1013" s="224"/>
      <c r="S1013" s="224"/>
      <c r="T1013" s="224"/>
      <c r="U1013" s="224"/>
      <c r="V1013" s="224"/>
    </row>
    <row r="1014" spans="1:22" s="101" customFormat="1" x14ac:dyDescent="0.3">
      <c r="A1014" s="222"/>
      <c r="B1014" s="235"/>
      <c r="C1014" s="227"/>
      <c r="D1014" s="344"/>
      <c r="E1014" s="235"/>
      <c r="F1014" s="235"/>
      <c r="G1014" s="227"/>
      <c r="H1014" s="227"/>
      <c r="I1014" s="350"/>
      <c r="J1014" s="227"/>
      <c r="K1014" s="227"/>
      <c r="L1014" s="224"/>
      <c r="M1014" s="224"/>
      <c r="N1014" s="224"/>
      <c r="O1014" s="224"/>
      <c r="P1014" s="224"/>
      <c r="Q1014" s="224"/>
      <c r="R1014" s="224"/>
      <c r="S1014" s="224"/>
      <c r="T1014" s="224"/>
      <c r="U1014" s="224"/>
      <c r="V1014" s="224"/>
    </row>
    <row r="1015" spans="1:22" s="101" customFormat="1" x14ac:dyDescent="0.3">
      <c r="A1015" s="222"/>
      <c r="B1015" s="235"/>
      <c r="C1015" s="227"/>
      <c r="D1015" s="344"/>
      <c r="E1015" s="235"/>
      <c r="F1015" s="235"/>
      <c r="G1015" s="227"/>
      <c r="H1015" s="227"/>
      <c r="I1015" s="350"/>
      <c r="J1015" s="227"/>
      <c r="K1015" s="227"/>
      <c r="L1015" s="224"/>
      <c r="M1015" s="224"/>
      <c r="N1015" s="224"/>
      <c r="O1015" s="224"/>
      <c r="P1015" s="224"/>
      <c r="Q1015" s="224"/>
      <c r="R1015" s="224"/>
      <c r="S1015" s="224"/>
      <c r="T1015" s="224"/>
      <c r="U1015" s="224"/>
      <c r="V1015" s="224"/>
    </row>
    <row r="1016" spans="1:22" s="101" customFormat="1" x14ac:dyDescent="0.3">
      <c r="A1016" s="222"/>
      <c r="B1016" s="235"/>
      <c r="C1016" s="227"/>
      <c r="D1016" s="344"/>
      <c r="E1016" s="235"/>
      <c r="F1016" s="235"/>
      <c r="G1016" s="227"/>
      <c r="H1016" s="227"/>
      <c r="I1016" s="350"/>
      <c r="J1016" s="227"/>
      <c r="K1016" s="227"/>
      <c r="L1016" s="224"/>
      <c r="M1016" s="224"/>
      <c r="N1016" s="224"/>
      <c r="O1016" s="224"/>
      <c r="P1016" s="224"/>
      <c r="Q1016" s="224"/>
      <c r="R1016" s="224"/>
      <c r="S1016" s="224"/>
      <c r="T1016" s="224"/>
      <c r="U1016" s="224"/>
      <c r="V1016" s="224"/>
    </row>
    <row r="1017" spans="1:22" s="101" customFormat="1" x14ac:dyDescent="0.3">
      <c r="A1017" s="222"/>
      <c r="B1017" s="235"/>
      <c r="C1017" s="227"/>
      <c r="D1017" s="344"/>
      <c r="E1017" s="235"/>
      <c r="F1017" s="235"/>
      <c r="G1017" s="227"/>
      <c r="H1017" s="227"/>
      <c r="I1017" s="350"/>
      <c r="J1017" s="227"/>
      <c r="K1017" s="227"/>
      <c r="L1017" s="224"/>
      <c r="M1017" s="224"/>
      <c r="N1017" s="224"/>
      <c r="O1017" s="224"/>
      <c r="P1017" s="224"/>
      <c r="Q1017" s="224"/>
      <c r="R1017" s="224"/>
      <c r="S1017" s="224"/>
      <c r="T1017" s="224"/>
      <c r="U1017" s="224"/>
      <c r="V1017" s="224"/>
    </row>
    <row r="1018" spans="1:22" s="101" customFormat="1" x14ac:dyDescent="0.3">
      <c r="A1018" s="222"/>
      <c r="B1018" s="235"/>
      <c r="C1018" s="227"/>
      <c r="D1018" s="344"/>
      <c r="E1018" s="235"/>
      <c r="F1018" s="235"/>
      <c r="G1018" s="227"/>
      <c r="H1018" s="227"/>
      <c r="I1018" s="350"/>
      <c r="J1018" s="227"/>
      <c r="K1018" s="227"/>
      <c r="L1018" s="224"/>
      <c r="M1018" s="224"/>
      <c r="N1018" s="224"/>
      <c r="O1018" s="224"/>
      <c r="P1018" s="224"/>
      <c r="Q1018" s="224"/>
      <c r="R1018" s="224"/>
      <c r="S1018" s="224"/>
      <c r="T1018" s="224"/>
      <c r="U1018" s="224"/>
      <c r="V1018" s="224"/>
    </row>
    <row r="1019" spans="1:22" s="101" customFormat="1" x14ac:dyDescent="0.3">
      <c r="A1019" s="222"/>
      <c r="B1019" s="235"/>
      <c r="C1019" s="227"/>
      <c r="D1019" s="344"/>
      <c r="E1019" s="235"/>
      <c r="F1019" s="235"/>
      <c r="G1019" s="227"/>
      <c r="H1019" s="227"/>
      <c r="I1019" s="350"/>
      <c r="J1019" s="227"/>
      <c r="K1019" s="227"/>
      <c r="L1019" s="224"/>
      <c r="M1019" s="224"/>
      <c r="N1019" s="224"/>
      <c r="O1019" s="224"/>
      <c r="P1019" s="224"/>
      <c r="Q1019" s="224"/>
      <c r="R1019" s="224"/>
      <c r="S1019" s="224"/>
      <c r="T1019" s="224"/>
      <c r="U1019" s="224"/>
      <c r="V1019" s="224"/>
    </row>
    <row r="1020" spans="1:22" s="101" customFormat="1" x14ac:dyDescent="0.3">
      <c r="A1020" s="222"/>
      <c r="B1020" s="235"/>
      <c r="C1020" s="227"/>
      <c r="D1020" s="344"/>
      <c r="E1020" s="235"/>
      <c r="F1020" s="235"/>
      <c r="G1020" s="227"/>
      <c r="H1020" s="227"/>
      <c r="I1020" s="350"/>
      <c r="J1020" s="227"/>
      <c r="K1020" s="227"/>
      <c r="L1020" s="224"/>
      <c r="M1020" s="224"/>
      <c r="N1020" s="224"/>
      <c r="O1020" s="224"/>
      <c r="P1020" s="224"/>
      <c r="Q1020" s="224"/>
      <c r="R1020" s="224"/>
      <c r="S1020" s="224"/>
      <c r="T1020" s="224"/>
      <c r="U1020" s="224"/>
      <c r="V1020" s="224"/>
    </row>
    <row r="1021" spans="1:22" s="101" customFormat="1" x14ac:dyDescent="0.3">
      <c r="A1021" s="222"/>
      <c r="B1021" s="235"/>
      <c r="C1021" s="227"/>
      <c r="D1021" s="344"/>
      <c r="E1021" s="235"/>
      <c r="F1021" s="235"/>
      <c r="G1021" s="227"/>
      <c r="H1021" s="227"/>
      <c r="I1021" s="350"/>
      <c r="J1021" s="227"/>
      <c r="K1021" s="227"/>
      <c r="L1021" s="224"/>
      <c r="M1021" s="224"/>
      <c r="N1021" s="224"/>
      <c r="O1021" s="224"/>
      <c r="P1021" s="224"/>
      <c r="Q1021" s="224"/>
      <c r="R1021" s="224"/>
      <c r="S1021" s="224"/>
      <c r="T1021" s="224"/>
      <c r="U1021" s="224"/>
      <c r="V1021" s="224"/>
    </row>
    <row r="1022" spans="1:22" s="101" customFormat="1" x14ac:dyDescent="0.3">
      <c r="A1022" s="222"/>
      <c r="B1022" s="235"/>
      <c r="C1022" s="227"/>
      <c r="D1022" s="344"/>
      <c r="E1022" s="235"/>
      <c r="F1022" s="235"/>
      <c r="G1022" s="227"/>
      <c r="H1022" s="227"/>
      <c r="I1022" s="350"/>
      <c r="J1022" s="227"/>
      <c r="K1022" s="227"/>
      <c r="L1022" s="224"/>
      <c r="M1022" s="224"/>
      <c r="N1022" s="224"/>
      <c r="O1022" s="224"/>
      <c r="P1022" s="224"/>
      <c r="Q1022" s="224"/>
      <c r="R1022" s="224"/>
      <c r="S1022" s="224"/>
      <c r="T1022" s="224"/>
      <c r="U1022" s="224"/>
      <c r="V1022" s="224"/>
    </row>
    <row r="1023" spans="1:22" s="101" customFormat="1" x14ac:dyDescent="0.3">
      <c r="A1023" s="222"/>
      <c r="B1023" s="235"/>
      <c r="C1023" s="227"/>
      <c r="D1023" s="344"/>
      <c r="E1023" s="235"/>
      <c r="F1023" s="235"/>
      <c r="G1023" s="227"/>
      <c r="H1023" s="227"/>
      <c r="I1023" s="350"/>
      <c r="J1023" s="227"/>
      <c r="K1023" s="227"/>
      <c r="L1023" s="224"/>
      <c r="M1023" s="224"/>
      <c r="N1023" s="224"/>
      <c r="O1023" s="224"/>
      <c r="P1023" s="224"/>
      <c r="Q1023" s="224"/>
      <c r="R1023" s="224"/>
      <c r="S1023" s="224"/>
      <c r="T1023" s="224"/>
      <c r="U1023" s="224"/>
      <c r="V1023" s="224"/>
    </row>
    <row r="1024" spans="1:22" s="101" customFormat="1" x14ac:dyDescent="0.3">
      <c r="A1024" s="222"/>
      <c r="B1024" s="235"/>
      <c r="C1024" s="227"/>
      <c r="D1024" s="344"/>
      <c r="E1024" s="235"/>
      <c r="F1024" s="235"/>
      <c r="G1024" s="227"/>
      <c r="H1024" s="227"/>
      <c r="I1024" s="350"/>
      <c r="J1024" s="227"/>
      <c r="K1024" s="227"/>
      <c r="L1024" s="224"/>
      <c r="M1024" s="224"/>
      <c r="N1024" s="224"/>
      <c r="O1024" s="224"/>
      <c r="P1024" s="224"/>
      <c r="Q1024" s="224"/>
      <c r="R1024" s="224"/>
      <c r="S1024" s="224"/>
      <c r="T1024" s="224"/>
      <c r="U1024" s="224"/>
      <c r="V1024" s="224"/>
    </row>
    <row r="1025" spans="1:22" s="101" customFormat="1" x14ac:dyDescent="0.3">
      <c r="A1025" s="222"/>
      <c r="B1025" s="235"/>
      <c r="C1025" s="227"/>
      <c r="D1025" s="344"/>
      <c r="E1025" s="235"/>
      <c r="F1025" s="235"/>
      <c r="G1025" s="227"/>
      <c r="H1025" s="227"/>
      <c r="I1025" s="350"/>
      <c r="J1025" s="227"/>
      <c r="K1025" s="227"/>
      <c r="L1025" s="224"/>
      <c r="M1025" s="224"/>
      <c r="N1025" s="224"/>
      <c r="O1025" s="224"/>
      <c r="P1025" s="224"/>
      <c r="Q1025" s="224"/>
      <c r="R1025" s="224"/>
      <c r="S1025" s="224"/>
      <c r="T1025" s="224"/>
      <c r="U1025" s="224"/>
      <c r="V1025" s="224"/>
    </row>
    <row r="1026" spans="1:22" s="101" customFormat="1" x14ac:dyDescent="0.3">
      <c r="A1026" s="222"/>
      <c r="B1026" s="235"/>
      <c r="C1026" s="227"/>
      <c r="D1026" s="344"/>
      <c r="E1026" s="235"/>
      <c r="F1026" s="235"/>
      <c r="G1026" s="227"/>
      <c r="H1026" s="227"/>
      <c r="I1026" s="350"/>
      <c r="J1026" s="227"/>
      <c r="K1026" s="227"/>
      <c r="L1026" s="224"/>
      <c r="M1026" s="224"/>
      <c r="N1026" s="224"/>
      <c r="O1026" s="224"/>
      <c r="P1026" s="224"/>
      <c r="Q1026" s="224"/>
      <c r="R1026" s="224"/>
      <c r="S1026" s="224"/>
      <c r="T1026" s="224"/>
      <c r="U1026" s="224"/>
      <c r="V1026" s="224"/>
    </row>
    <row r="1027" spans="1:22" s="101" customFormat="1" x14ac:dyDescent="0.3">
      <c r="A1027" s="222"/>
      <c r="B1027" s="235"/>
      <c r="C1027" s="227"/>
      <c r="D1027" s="344"/>
      <c r="E1027" s="235"/>
      <c r="F1027" s="235"/>
      <c r="G1027" s="227"/>
      <c r="H1027" s="227"/>
      <c r="I1027" s="350"/>
      <c r="J1027" s="227"/>
      <c r="K1027" s="227"/>
      <c r="L1027" s="224"/>
      <c r="M1027" s="224"/>
      <c r="N1027" s="224"/>
      <c r="O1027" s="224"/>
      <c r="P1027" s="224"/>
      <c r="Q1027" s="224"/>
      <c r="R1027" s="224"/>
      <c r="S1027" s="224"/>
      <c r="T1027" s="224"/>
      <c r="U1027" s="224"/>
      <c r="V1027" s="224"/>
    </row>
    <row r="1028" spans="1:22" s="101" customFormat="1" x14ac:dyDescent="0.3">
      <c r="A1028" s="222"/>
      <c r="B1028" s="235"/>
      <c r="C1028" s="227"/>
      <c r="D1028" s="344"/>
      <c r="E1028" s="235"/>
      <c r="F1028" s="235"/>
      <c r="G1028" s="227"/>
      <c r="H1028" s="227"/>
      <c r="I1028" s="350"/>
      <c r="J1028" s="227"/>
      <c r="K1028" s="227"/>
      <c r="L1028" s="224"/>
      <c r="M1028" s="224"/>
      <c r="N1028" s="224"/>
      <c r="O1028" s="224"/>
      <c r="P1028" s="224"/>
      <c r="Q1028" s="224"/>
      <c r="R1028" s="224"/>
      <c r="S1028" s="224"/>
      <c r="T1028" s="224"/>
      <c r="U1028" s="224"/>
      <c r="V1028" s="224"/>
    </row>
    <row r="1029" spans="1:22" s="101" customFormat="1" x14ac:dyDescent="0.3">
      <c r="A1029" s="222"/>
      <c r="B1029" s="235"/>
      <c r="C1029" s="227"/>
      <c r="D1029" s="344"/>
      <c r="E1029" s="235"/>
      <c r="F1029" s="235"/>
      <c r="G1029" s="227"/>
      <c r="H1029" s="227"/>
      <c r="I1029" s="350"/>
      <c r="J1029" s="227"/>
      <c r="K1029" s="227"/>
      <c r="L1029" s="224"/>
      <c r="M1029" s="224"/>
      <c r="N1029" s="224"/>
      <c r="O1029" s="224"/>
      <c r="P1029" s="224"/>
      <c r="Q1029" s="224"/>
      <c r="R1029" s="224"/>
      <c r="S1029" s="224"/>
      <c r="T1029" s="224"/>
      <c r="U1029" s="224"/>
      <c r="V1029" s="224"/>
    </row>
    <row r="1030" spans="1:22" s="101" customFormat="1" x14ac:dyDescent="0.3">
      <c r="A1030" s="222"/>
      <c r="B1030" s="235"/>
      <c r="C1030" s="227"/>
      <c r="D1030" s="344"/>
      <c r="E1030" s="235"/>
      <c r="F1030" s="235"/>
      <c r="G1030" s="227"/>
      <c r="H1030" s="227"/>
      <c r="I1030" s="350"/>
      <c r="J1030" s="227"/>
      <c r="K1030" s="227"/>
      <c r="L1030" s="224"/>
      <c r="M1030" s="224"/>
      <c r="N1030" s="224"/>
      <c r="O1030" s="224"/>
      <c r="P1030" s="224"/>
      <c r="Q1030" s="224"/>
      <c r="R1030" s="224"/>
      <c r="S1030" s="224"/>
      <c r="T1030" s="224"/>
      <c r="U1030" s="224"/>
      <c r="V1030" s="224"/>
    </row>
    <row r="1031" spans="1:22" s="101" customFormat="1" x14ac:dyDescent="0.3">
      <c r="A1031" s="222"/>
      <c r="B1031" s="235"/>
      <c r="C1031" s="227"/>
      <c r="D1031" s="344"/>
      <c r="E1031" s="235"/>
      <c r="F1031" s="235"/>
      <c r="G1031" s="227"/>
      <c r="H1031" s="227"/>
      <c r="I1031" s="350"/>
      <c r="J1031" s="227"/>
      <c r="K1031" s="227"/>
      <c r="L1031" s="224"/>
      <c r="M1031" s="224"/>
      <c r="N1031" s="224"/>
      <c r="O1031" s="224"/>
      <c r="P1031" s="224"/>
      <c r="Q1031" s="224"/>
      <c r="R1031" s="224"/>
      <c r="S1031" s="224"/>
      <c r="T1031" s="224"/>
      <c r="U1031" s="224"/>
      <c r="V1031" s="224"/>
    </row>
    <row r="1032" spans="1:22" s="101" customFormat="1" x14ac:dyDescent="0.3">
      <c r="A1032" s="222"/>
      <c r="B1032" s="235"/>
      <c r="C1032" s="227"/>
      <c r="D1032" s="344"/>
      <c r="E1032" s="235"/>
      <c r="F1032" s="235"/>
      <c r="G1032" s="227"/>
      <c r="H1032" s="227"/>
      <c r="I1032" s="350"/>
      <c r="J1032" s="227"/>
      <c r="K1032" s="227"/>
      <c r="L1032" s="224"/>
      <c r="M1032" s="224"/>
      <c r="N1032" s="224"/>
      <c r="O1032" s="224"/>
      <c r="P1032" s="224"/>
      <c r="Q1032" s="224"/>
      <c r="R1032" s="224"/>
      <c r="S1032" s="224"/>
      <c r="T1032" s="224"/>
      <c r="U1032" s="224"/>
      <c r="V1032" s="224"/>
    </row>
    <row r="1033" spans="1:22" s="101" customFormat="1" x14ac:dyDescent="0.3">
      <c r="A1033" s="222"/>
      <c r="B1033" s="235"/>
      <c r="C1033" s="227"/>
      <c r="D1033" s="344"/>
      <c r="E1033" s="235"/>
      <c r="F1033" s="235"/>
      <c r="G1033" s="227"/>
      <c r="H1033" s="227"/>
      <c r="I1033" s="350"/>
      <c r="J1033" s="227"/>
      <c r="K1033" s="227"/>
      <c r="L1033" s="224"/>
      <c r="M1033" s="224"/>
      <c r="N1033" s="224"/>
      <c r="O1033" s="224"/>
      <c r="P1033" s="224"/>
      <c r="Q1033" s="224"/>
      <c r="R1033" s="224"/>
      <c r="S1033" s="224"/>
      <c r="T1033" s="224"/>
      <c r="U1033" s="224"/>
      <c r="V1033" s="224"/>
    </row>
    <row r="1034" spans="1:22" s="101" customFormat="1" x14ac:dyDescent="0.3">
      <c r="A1034" s="222"/>
      <c r="B1034" s="235"/>
      <c r="C1034" s="227"/>
      <c r="D1034" s="344"/>
      <c r="E1034" s="235"/>
      <c r="F1034" s="235"/>
      <c r="G1034" s="227"/>
      <c r="H1034" s="227"/>
      <c r="I1034" s="350"/>
      <c r="J1034" s="227"/>
      <c r="K1034" s="227"/>
      <c r="L1034" s="224"/>
      <c r="M1034" s="224"/>
      <c r="N1034" s="224"/>
      <c r="O1034" s="224"/>
      <c r="P1034" s="224"/>
      <c r="Q1034" s="224"/>
      <c r="R1034" s="224"/>
      <c r="S1034" s="224"/>
      <c r="T1034" s="224"/>
      <c r="U1034" s="224"/>
      <c r="V1034" s="224"/>
    </row>
    <row r="1035" spans="1:22" s="101" customFormat="1" x14ac:dyDescent="0.3">
      <c r="A1035" s="222"/>
      <c r="B1035" s="235"/>
      <c r="C1035" s="227"/>
      <c r="D1035" s="344"/>
      <c r="E1035" s="235"/>
      <c r="F1035" s="235"/>
      <c r="G1035" s="227"/>
      <c r="H1035" s="227"/>
      <c r="I1035" s="350"/>
      <c r="J1035" s="227"/>
      <c r="K1035" s="227"/>
      <c r="L1035" s="224"/>
      <c r="M1035" s="224"/>
      <c r="N1035" s="224"/>
      <c r="O1035" s="224"/>
      <c r="P1035" s="224"/>
      <c r="Q1035" s="224"/>
      <c r="R1035" s="224"/>
      <c r="S1035" s="224"/>
      <c r="T1035" s="224"/>
      <c r="U1035" s="224"/>
      <c r="V1035" s="224"/>
    </row>
    <row r="1036" spans="1:22" s="101" customFormat="1" x14ac:dyDescent="0.3">
      <c r="A1036" s="222"/>
      <c r="B1036" s="235"/>
      <c r="C1036" s="227"/>
      <c r="D1036" s="344"/>
      <c r="E1036" s="235"/>
      <c r="F1036" s="235"/>
      <c r="G1036" s="227"/>
      <c r="H1036" s="227"/>
      <c r="I1036" s="350"/>
      <c r="J1036" s="227"/>
      <c r="K1036" s="227"/>
      <c r="L1036" s="224"/>
      <c r="M1036" s="224"/>
      <c r="N1036" s="224"/>
      <c r="O1036" s="224"/>
      <c r="P1036" s="224"/>
      <c r="Q1036" s="224"/>
      <c r="R1036" s="224"/>
      <c r="S1036" s="224"/>
      <c r="T1036" s="224"/>
      <c r="U1036" s="224"/>
      <c r="V1036" s="224"/>
    </row>
    <row r="1037" spans="1:22" s="101" customFormat="1" x14ac:dyDescent="0.3">
      <c r="A1037" s="222"/>
      <c r="B1037" s="235"/>
      <c r="C1037" s="227"/>
      <c r="D1037" s="344"/>
      <c r="E1037" s="235"/>
      <c r="F1037" s="235"/>
      <c r="G1037" s="227"/>
      <c r="H1037" s="227"/>
      <c r="I1037" s="350"/>
      <c r="J1037" s="227"/>
      <c r="K1037" s="227"/>
      <c r="L1037" s="224"/>
      <c r="M1037" s="224"/>
      <c r="N1037" s="224"/>
      <c r="O1037" s="224"/>
      <c r="P1037" s="224"/>
      <c r="Q1037" s="224"/>
      <c r="R1037" s="224"/>
      <c r="S1037" s="224"/>
      <c r="T1037" s="224"/>
      <c r="U1037" s="224"/>
      <c r="V1037" s="224"/>
    </row>
    <row r="1038" spans="1:22" s="101" customFormat="1" x14ac:dyDescent="0.3">
      <c r="A1038" s="222"/>
      <c r="B1038" s="235"/>
      <c r="C1038" s="227"/>
      <c r="D1038" s="344"/>
      <c r="E1038" s="235"/>
      <c r="F1038" s="235"/>
      <c r="G1038" s="227"/>
      <c r="H1038" s="227"/>
      <c r="I1038" s="350"/>
      <c r="J1038" s="227"/>
      <c r="K1038" s="227"/>
      <c r="L1038" s="224"/>
      <c r="M1038" s="224"/>
      <c r="N1038" s="224"/>
      <c r="O1038" s="224"/>
      <c r="P1038" s="224"/>
      <c r="Q1038" s="224"/>
      <c r="R1038" s="224"/>
      <c r="S1038" s="224"/>
      <c r="T1038" s="224"/>
      <c r="U1038" s="224"/>
      <c r="V1038" s="224"/>
    </row>
    <row r="1039" spans="1:22" s="101" customFormat="1" x14ac:dyDescent="0.3">
      <c r="A1039" s="222"/>
      <c r="B1039" s="235"/>
      <c r="C1039" s="227"/>
      <c r="D1039" s="344"/>
      <c r="E1039" s="235"/>
      <c r="F1039" s="235"/>
      <c r="G1039" s="227"/>
      <c r="H1039" s="227"/>
      <c r="I1039" s="350"/>
      <c r="J1039" s="227"/>
      <c r="K1039" s="227"/>
      <c r="L1039" s="224"/>
      <c r="M1039" s="224"/>
      <c r="N1039" s="224"/>
      <c r="O1039" s="224"/>
      <c r="P1039" s="224"/>
      <c r="Q1039" s="224"/>
      <c r="R1039" s="224"/>
      <c r="S1039" s="224"/>
      <c r="T1039" s="224"/>
      <c r="U1039" s="224"/>
      <c r="V1039" s="224"/>
    </row>
    <row r="1040" spans="1:22" s="101" customFormat="1" x14ac:dyDescent="0.3">
      <c r="A1040" s="222"/>
      <c r="B1040" s="235"/>
      <c r="C1040" s="227"/>
      <c r="D1040" s="344"/>
      <c r="E1040" s="235"/>
      <c r="F1040" s="235"/>
      <c r="G1040" s="227"/>
      <c r="H1040" s="227"/>
      <c r="I1040" s="350"/>
      <c r="J1040" s="227"/>
      <c r="K1040" s="227"/>
      <c r="L1040" s="224"/>
      <c r="M1040" s="224"/>
      <c r="N1040" s="224"/>
      <c r="O1040" s="224"/>
      <c r="P1040" s="224"/>
      <c r="Q1040" s="224"/>
      <c r="R1040" s="224"/>
      <c r="S1040" s="224"/>
      <c r="T1040" s="224"/>
      <c r="U1040" s="224"/>
      <c r="V1040" s="224"/>
    </row>
    <row r="1041" spans="1:22" s="101" customFormat="1" x14ac:dyDescent="0.3">
      <c r="A1041" s="222"/>
      <c r="B1041" s="235"/>
      <c r="C1041" s="227"/>
      <c r="D1041" s="344"/>
      <c r="E1041" s="235"/>
      <c r="F1041" s="235"/>
      <c r="G1041" s="227"/>
      <c r="H1041" s="227"/>
      <c r="I1041" s="350"/>
      <c r="J1041" s="227"/>
      <c r="K1041" s="227"/>
      <c r="L1041" s="224"/>
      <c r="M1041" s="224"/>
      <c r="N1041" s="224"/>
      <c r="O1041" s="224"/>
      <c r="P1041" s="224"/>
      <c r="Q1041" s="224"/>
      <c r="R1041" s="224"/>
      <c r="S1041" s="224"/>
      <c r="T1041" s="224"/>
      <c r="U1041" s="224"/>
      <c r="V1041" s="224"/>
    </row>
    <row r="1042" spans="1:22" s="101" customFormat="1" x14ac:dyDescent="0.3">
      <c r="A1042" s="222"/>
      <c r="B1042" s="235"/>
      <c r="C1042" s="227"/>
      <c r="D1042" s="344"/>
      <c r="E1042" s="235"/>
      <c r="F1042" s="235"/>
      <c r="G1042" s="227"/>
      <c r="H1042" s="227"/>
      <c r="I1042" s="350"/>
      <c r="J1042" s="227"/>
      <c r="K1042" s="227"/>
      <c r="L1042" s="224"/>
      <c r="M1042" s="224"/>
      <c r="N1042" s="224"/>
      <c r="O1042" s="224"/>
      <c r="P1042" s="224"/>
      <c r="Q1042" s="224"/>
      <c r="R1042" s="224"/>
      <c r="S1042" s="224"/>
      <c r="T1042" s="224"/>
      <c r="U1042" s="224"/>
      <c r="V1042" s="224"/>
    </row>
    <row r="1043" spans="1:22" s="101" customFormat="1" x14ac:dyDescent="0.3">
      <c r="A1043" s="222"/>
      <c r="B1043" s="235"/>
      <c r="C1043" s="227"/>
      <c r="D1043" s="344"/>
      <c r="E1043" s="235"/>
      <c r="F1043" s="235"/>
      <c r="G1043" s="227"/>
      <c r="H1043" s="227"/>
      <c r="I1043" s="350"/>
      <c r="J1043" s="227"/>
      <c r="K1043" s="227"/>
      <c r="L1043" s="224"/>
      <c r="M1043" s="224"/>
      <c r="N1043" s="224"/>
      <c r="O1043" s="224"/>
      <c r="P1043" s="224"/>
      <c r="Q1043" s="224"/>
      <c r="R1043" s="224"/>
      <c r="S1043" s="224"/>
      <c r="T1043" s="224"/>
      <c r="U1043" s="224"/>
      <c r="V1043" s="224"/>
    </row>
    <row r="1044" spans="1:22" s="101" customFormat="1" x14ac:dyDescent="0.3">
      <c r="A1044" s="222"/>
      <c r="B1044" s="235"/>
      <c r="C1044" s="227"/>
      <c r="D1044" s="344"/>
      <c r="E1044" s="235"/>
      <c r="F1044" s="235"/>
      <c r="G1044" s="227"/>
      <c r="H1044" s="227"/>
      <c r="I1044" s="350"/>
      <c r="J1044" s="227"/>
      <c r="K1044" s="227"/>
      <c r="L1044" s="224"/>
      <c r="M1044" s="224"/>
      <c r="N1044" s="224"/>
      <c r="O1044" s="224"/>
      <c r="P1044" s="224"/>
      <c r="Q1044" s="224"/>
      <c r="R1044" s="224"/>
      <c r="S1044" s="224"/>
      <c r="T1044" s="224"/>
      <c r="U1044" s="224"/>
      <c r="V1044" s="224"/>
    </row>
    <row r="1045" spans="1:22" s="101" customFormat="1" x14ac:dyDescent="0.3">
      <c r="A1045" s="222"/>
      <c r="B1045" s="235"/>
      <c r="C1045" s="227"/>
      <c r="D1045" s="344"/>
      <c r="E1045" s="235"/>
      <c r="F1045" s="235"/>
      <c r="G1045" s="227"/>
      <c r="H1045" s="227"/>
      <c r="I1045" s="350"/>
      <c r="J1045" s="227"/>
      <c r="K1045" s="227"/>
      <c r="L1045" s="224"/>
      <c r="M1045" s="224"/>
      <c r="N1045" s="224"/>
      <c r="O1045" s="224"/>
      <c r="P1045" s="224"/>
      <c r="Q1045" s="224"/>
      <c r="R1045" s="224"/>
      <c r="S1045" s="224"/>
      <c r="T1045" s="224"/>
      <c r="U1045" s="224"/>
      <c r="V1045" s="224"/>
    </row>
    <row r="1046" spans="1:22" s="101" customFormat="1" x14ac:dyDescent="0.3">
      <c r="A1046" s="222"/>
      <c r="B1046" s="235"/>
      <c r="C1046" s="227"/>
      <c r="D1046" s="344"/>
      <c r="E1046" s="235"/>
      <c r="F1046" s="235"/>
      <c r="G1046" s="227"/>
      <c r="H1046" s="227"/>
      <c r="I1046" s="350"/>
      <c r="J1046" s="227"/>
      <c r="K1046" s="227"/>
      <c r="L1046" s="224"/>
      <c r="M1046" s="224"/>
      <c r="N1046" s="224"/>
      <c r="O1046" s="224"/>
      <c r="P1046" s="224"/>
      <c r="Q1046" s="224"/>
      <c r="R1046" s="224"/>
      <c r="S1046" s="224"/>
      <c r="T1046" s="224"/>
      <c r="U1046" s="224"/>
      <c r="V1046" s="224"/>
    </row>
    <row r="1047" spans="1:22" s="101" customFormat="1" x14ac:dyDescent="0.3">
      <c r="A1047" s="222"/>
      <c r="B1047" s="235"/>
      <c r="C1047" s="227"/>
      <c r="D1047" s="344"/>
      <c r="E1047" s="235"/>
      <c r="F1047" s="235"/>
      <c r="G1047" s="227"/>
      <c r="H1047" s="227"/>
      <c r="I1047" s="350"/>
      <c r="J1047" s="227"/>
      <c r="K1047" s="227"/>
      <c r="L1047" s="224"/>
      <c r="M1047" s="224"/>
      <c r="N1047" s="224"/>
      <c r="O1047" s="224"/>
      <c r="P1047" s="224"/>
      <c r="Q1047" s="224"/>
      <c r="R1047" s="224"/>
      <c r="S1047" s="224"/>
      <c r="T1047" s="224"/>
      <c r="U1047" s="224"/>
      <c r="V1047" s="224"/>
    </row>
    <row r="1048" spans="1:22" s="101" customFormat="1" x14ac:dyDescent="0.3">
      <c r="A1048" s="222"/>
      <c r="B1048" s="235"/>
      <c r="C1048" s="227"/>
      <c r="D1048" s="344"/>
      <c r="E1048" s="235"/>
      <c r="F1048" s="235"/>
      <c r="G1048" s="227"/>
      <c r="H1048" s="227"/>
      <c r="I1048" s="350"/>
      <c r="J1048" s="227"/>
      <c r="K1048" s="227"/>
      <c r="L1048" s="224"/>
      <c r="M1048" s="224"/>
      <c r="N1048" s="224"/>
      <c r="O1048" s="224"/>
      <c r="P1048" s="224"/>
      <c r="Q1048" s="224"/>
      <c r="R1048" s="224"/>
      <c r="S1048" s="224"/>
      <c r="T1048" s="224"/>
      <c r="U1048" s="224"/>
      <c r="V1048" s="224"/>
    </row>
    <row r="1049" spans="1:22" s="101" customFormat="1" x14ac:dyDescent="0.3">
      <c r="A1049" s="222"/>
      <c r="B1049" s="235"/>
      <c r="C1049" s="227"/>
      <c r="D1049" s="344"/>
      <c r="E1049" s="235"/>
      <c r="F1049" s="235"/>
      <c r="G1049" s="227"/>
      <c r="H1049" s="227"/>
      <c r="I1049" s="350"/>
      <c r="J1049" s="227"/>
      <c r="K1049" s="227"/>
      <c r="L1049" s="224"/>
      <c r="M1049" s="224"/>
      <c r="N1049" s="224"/>
      <c r="O1049" s="224"/>
      <c r="P1049" s="224"/>
      <c r="Q1049" s="224"/>
      <c r="R1049" s="224"/>
      <c r="S1049" s="224"/>
      <c r="T1049" s="224"/>
      <c r="U1049" s="224"/>
      <c r="V1049" s="224"/>
    </row>
    <row r="1050" spans="1:22" s="101" customFormat="1" x14ac:dyDescent="0.3">
      <c r="A1050" s="222"/>
      <c r="B1050" s="235"/>
      <c r="C1050" s="227"/>
      <c r="D1050" s="344"/>
      <c r="E1050" s="235"/>
      <c r="F1050" s="235"/>
      <c r="G1050" s="227"/>
      <c r="H1050" s="227"/>
      <c r="I1050" s="350"/>
      <c r="J1050" s="227"/>
      <c r="K1050" s="227"/>
      <c r="L1050" s="224"/>
      <c r="M1050" s="224"/>
      <c r="N1050" s="224"/>
      <c r="O1050" s="224"/>
      <c r="P1050" s="224"/>
      <c r="Q1050" s="224"/>
      <c r="R1050" s="224"/>
      <c r="S1050" s="224"/>
      <c r="T1050" s="224"/>
      <c r="U1050" s="224"/>
      <c r="V1050" s="224"/>
    </row>
    <row r="1051" spans="1:22" s="101" customFormat="1" x14ac:dyDescent="0.3">
      <c r="A1051" s="222"/>
      <c r="B1051" s="235"/>
      <c r="C1051" s="227"/>
      <c r="D1051" s="344"/>
      <c r="E1051" s="235"/>
      <c r="F1051" s="235"/>
      <c r="G1051" s="227"/>
      <c r="H1051" s="227"/>
      <c r="I1051" s="350"/>
      <c r="J1051" s="227"/>
      <c r="K1051" s="227"/>
      <c r="L1051" s="224"/>
      <c r="M1051" s="224"/>
      <c r="N1051" s="224"/>
      <c r="O1051" s="224"/>
      <c r="P1051" s="224"/>
      <c r="Q1051" s="224"/>
      <c r="R1051" s="224"/>
      <c r="S1051" s="224"/>
      <c r="T1051" s="224"/>
      <c r="U1051" s="224"/>
      <c r="V1051" s="224"/>
    </row>
    <row r="1052" spans="1:22" s="101" customFormat="1" x14ac:dyDescent="0.3">
      <c r="A1052" s="222"/>
      <c r="B1052" s="235"/>
      <c r="C1052" s="227"/>
      <c r="D1052" s="344"/>
      <c r="E1052" s="235"/>
      <c r="F1052" s="235"/>
      <c r="G1052" s="227"/>
      <c r="H1052" s="227"/>
      <c r="I1052" s="350"/>
      <c r="J1052" s="227"/>
      <c r="K1052" s="227"/>
      <c r="L1052" s="224"/>
      <c r="M1052" s="224"/>
      <c r="N1052" s="224"/>
      <c r="O1052" s="224"/>
      <c r="P1052" s="224"/>
      <c r="Q1052" s="224"/>
      <c r="R1052" s="224"/>
      <c r="S1052" s="224"/>
      <c r="T1052" s="224"/>
      <c r="U1052" s="224"/>
      <c r="V1052" s="224"/>
    </row>
    <row r="1053" spans="1:22" s="101" customFormat="1" x14ac:dyDescent="0.3">
      <c r="A1053" s="222"/>
      <c r="B1053" s="235"/>
      <c r="C1053" s="227"/>
      <c r="D1053" s="344"/>
      <c r="E1053" s="235"/>
      <c r="F1053" s="235"/>
      <c r="G1053" s="227"/>
      <c r="H1053" s="227"/>
      <c r="I1053" s="350"/>
      <c r="J1053" s="227"/>
      <c r="K1053" s="227"/>
      <c r="L1053" s="224"/>
      <c r="M1053" s="224"/>
      <c r="N1053" s="224"/>
      <c r="O1053" s="224"/>
      <c r="P1053" s="224"/>
      <c r="Q1053" s="224"/>
      <c r="R1053" s="224"/>
      <c r="S1053" s="224"/>
      <c r="T1053" s="224"/>
      <c r="U1053" s="224"/>
      <c r="V1053" s="224"/>
    </row>
    <row r="1054" spans="1:22" s="101" customFormat="1" x14ac:dyDescent="0.3">
      <c r="A1054" s="222"/>
      <c r="B1054" s="235"/>
      <c r="C1054" s="227"/>
      <c r="D1054" s="344"/>
      <c r="E1054" s="235"/>
      <c r="F1054" s="235"/>
      <c r="G1054" s="227"/>
      <c r="H1054" s="227"/>
      <c r="I1054" s="350"/>
      <c r="J1054" s="227"/>
      <c r="K1054" s="227"/>
      <c r="L1054" s="224"/>
      <c r="M1054" s="224"/>
      <c r="N1054" s="224"/>
      <c r="O1054" s="224"/>
      <c r="P1054" s="224"/>
      <c r="Q1054" s="224"/>
      <c r="R1054" s="224"/>
      <c r="S1054" s="224"/>
      <c r="T1054" s="224"/>
      <c r="U1054" s="224"/>
      <c r="V1054" s="224"/>
    </row>
    <row r="1055" spans="1:22" s="101" customFormat="1" x14ac:dyDescent="0.3">
      <c r="A1055" s="222"/>
      <c r="B1055" s="235"/>
      <c r="C1055" s="227"/>
      <c r="D1055" s="344"/>
      <c r="E1055" s="235"/>
      <c r="F1055" s="235"/>
      <c r="G1055" s="227"/>
      <c r="H1055" s="227"/>
      <c r="I1055" s="350"/>
      <c r="J1055" s="227"/>
      <c r="K1055" s="227"/>
      <c r="L1055" s="224"/>
      <c r="M1055" s="224"/>
      <c r="N1055" s="224"/>
      <c r="O1055" s="224"/>
      <c r="P1055" s="224"/>
      <c r="Q1055" s="224"/>
      <c r="R1055" s="224"/>
      <c r="S1055" s="224"/>
      <c r="T1055" s="224"/>
      <c r="U1055" s="224"/>
      <c r="V1055" s="224"/>
    </row>
    <row r="1056" spans="1:22" s="101" customFormat="1" x14ac:dyDescent="0.3">
      <c r="A1056" s="222"/>
      <c r="B1056" s="235"/>
      <c r="C1056" s="227"/>
      <c r="D1056" s="344"/>
      <c r="E1056" s="235"/>
      <c r="F1056" s="235"/>
      <c r="G1056" s="227"/>
      <c r="H1056" s="227"/>
      <c r="I1056" s="350"/>
      <c r="J1056" s="227"/>
      <c r="K1056" s="227"/>
      <c r="L1056" s="224"/>
      <c r="M1056" s="224"/>
      <c r="N1056" s="224"/>
      <c r="O1056" s="224"/>
      <c r="P1056" s="224"/>
      <c r="Q1056" s="224"/>
      <c r="R1056" s="224"/>
      <c r="S1056" s="224"/>
      <c r="T1056" s="224"/>
      <c r="U1056" s="224"/>
      <c r="V1056" s="224"/>
    </row>
    <row r="1057" spans="1:22" s="101" customFormat="1" x14ac:dyDescent="0.3">
      <c r="A1057" s="222"/>
      <c r="B1057" s="235"/>
      <c r="C1057" s="227"/>
      <c r="D1057" s="344"/>
      <c r="E1057" s="235"/>
      <c r="F1057" s="235"/>
      <c r="G1057" s="227"/>
      <c r="H1057" s="227"/>
      <c r="I1057" s="350"/>
      <c r="J1057" s="227"/>
      <c r="K1057" s="227"/>
      <c r="L1057" s="224"/>
      <c r="M1057" s="224"/>
      <c r="N1057" s="224"/>
      <c r="O1057" s="224"/>
      <c r="P1057" s="224"/>
      <c r="Q1057" s="224"/>
      <c r="R1057" s="224"/>
      <c r="S1057" s="224"/>
      <c r="T1057" s="224"/>
      <c r="U1057" s="224"/>
      <c r="V1057" s="224"/>
    </row>
    <row r="1058" spans="1:22" s="101" customFormat="1" x14ac:dyDescent="0.3">
      <c r="A1058" s="222"/>
      <c r="B1058" s="235"/>
      <c r="C1058" s="227"/>
      <c r="D1058" s="344"/>
      <c r="E1058" s="235"/>
      <c r="F1058" s="235"/>
      <c r="G1058" s="227"/>
      <c r="H1058" s="227"/>
      <c r="I1058" s="350"/>
      <c r="J1058" s="227"/>
      <c r="K1058" s="227"/>
      <c r="L1058" s="224"/>
      <c r="M1058" s="224"/>
      <c r="N1058" s="224"/>
      <c r="O1058" s="224"/>
      <c r="P1058" s="224"/>
      <c r="Q1058" s="224"/>
      <c r="R1058" s="224"/>
      <c r="S1058" s="224"/>
      <c r="T1058" s="224"/>
      <c r="U1058" s="224"/>
      <c r="V1058" s="224"/>
    </row>
    <row r="1059" spans="1:22" s="101" customFormat="1" x14ac:dyDescent="0.3">
      <c r="A1059" s="222"/>
      <c r="B1059" s="235"/>
      <c r="C1059" s="227"/>
      <c r="D1059" s="344"/>
      <c r="E1059" s="235"/>
      <c r="F1059" s="235"/>
      <c r="G1059" s="227"/>
      <c r="H1059" s="227"/>
      <c r="I1059" s="350"/>
      <c r="J1059" s="227"/>
      <c r="K1059" s="227"/>
      <c r="L1059" s="224"/>
      <c r="M1059" s="224"/>
      <c r="N1059" s="224"/>
      <c r="O1059" s="224"/>
      <c r="P1059" s="224"/>
      <c r="Q1059" s="224"/>
      <c r="R1059" s="224"/>
      <c r="S1059" s="224"/>
      <c r="T1059" s="224"/>
      <c r="U1059" s="224"/>
      <c r="V1059" s="224"/>
    </row>
    <row r="1060" spans="1:22" s="101" customFormat="1" x14ac:dyDescent="0.3">
      <c r="A1060" s="222"/>
      <c r="B1060" s="235"/>
      <c r="C1060" s="227"/>
      <c r="D1060" s="344"/>
      <c r="E1060" s="235"/>
      <c r="F1060" s="235"/>
      <c r="G1060" s="227"/>
      <c r="H1060" s="227"/>
      <c r="I1060" s="350"/>
      <c r="J1060" s="227"/>
      <c r="K1060" s="227"/>
      <c r="L1060" s="224"/>
      <c r="M1060" s="224"/>
      <c r="N1060" s="224"/>
      <c r="O1060" s="224"/>
      <c r="P1060" s="224"/>
      <c r="Q1060" s="224"/>
      <c r="R1060" s="224"/>
      <c r="S1060" s="224"/>
      <c r="T1060" s="224"/>
      <c r="U1060" s="224"/>
      <c r="V1060" s="224"/>
    </row>
    <row r="1061" spans="1:22" s="101" customFormat="1" x14ac:dyDescent="0.3">
      <c r="A1061" s="222"/>
      <c r="B1061" s="235"/>
      <c r="C1061" s="227"/>
      <c r="D1061" s="344"/>
      <c r="E1061" s="235"/>
      <c r="F1061" s="235"/>
      <c r="G1061" s="227"/>
      <c r="H1061" s="227"/>
      <c r="I1061" s="350"/>
      <c r="J1061" s="227"/>
      <c r="K1061" s="227"/>
      <c r="L1061" s="224"/>
      <c r="M1061" s="224"/>
      <c r="N1061" s="224"/>
      <c r="O1061" s="224"/>
      <c r="P1061" s="224"/>
      <c r="Q1061" s="224"/>
      <c r="R1061" s="224"/>
      <c r="S1061" s="224"/>
      <c r="T1061" s="224"/>
      <c r="U1061" s="224"/>
      <c r="V1061" s="224"/>
    </row>
    <row r="1062" spans="1:22" s="101" customFormat="1" x14ac:dyDescent="0.3">
      <c r="A1062" s="222"/>
      <c r="B1062" s="235"/>
      <c r="C1062" s="227"/>
      <c r="D1062" s="344"/>
      <c r="E1062" s="235"/>
      <c r="F1062" s="235"/>
      <c r="G1062" s="227"/>
      <c r="H1062" s="227"/>
      <c r="I1062" s="350"/>
      <c r="J1062" s="227"/>
      <c r="K1062" s="227"/>
      <c r="L1062" s="224"/>
      <c r="M1062" s="224"/>
      <c r="N1062" s="224"/>
      <c r="O1062" s="224"/>
      <c r="P1062" s="224"/>
      <c r="Q1062" s="224"/>
      <c r="R1062" s="224"/>
      <c r="S1062" s="224"/>
      <c r="T1062" s="224"/>
      <c r="U1062" s="224"/>
      <c r="V1062" s="224"/>
    </row>
    <row r="1063" spans="1:22" s="101" customFormat="1" x14ac:dyDescent="0.3">
      <c r="A1063" s="222"/>
      <c r="B1063" s="235"/>
      <c r="C1063" s="227"/>
      <c r="D1063" s="344"/>
      <c r="E1063" s="235"/>
      <c r="F1063" s="235"/>
      <c r="G1063" s="227"/>
      <c r="H1063" s="227"/>
      <c r="I1063" s="350"/>
      <c r="J1063" s="227"/>
      <c r="K1063" s="227"/>
      <c r="L1063" s="224"/>
      <c r="M1063" s="224"/>
      <c r="N1063" s="224"/>
      <c r="O1063" s="224"/>
      <c r="P1063" s="224"/>
      <c r="Q1063" s="224"/>
      <c r="R1063" s="224"/>
      <c r="S1063" s="224"/>
      <c r="T1063" s="224"/>
      <c r="U1063" s="224"/>
      <c r="V1063" s="224"/>
    </row>
    <row r="1064" spans="1:22" s="101" customFormat="1" x14ac:dyDescent="0.3">
      <c r="A1064" s="222"/>
      <c r="B1064" s="235"/>
      <c r="C1064" s="227"/>
      <c r="D1064" s="344"/>
      <c r="E1064" s="235"/>
      <c r="F1064" s="235"/>
      <c r="G1064" s="227"/>
      <c r="H1064" s="227"/>
      <c r="I1064" s="350"/>
      <c r="J1064" s="227"/>
      <c r="K1064" s="227"/>
      <c r="L1064" s="224"/>
      <c r="M1064" s="224"/>
      <c r="N1064" s="224"/>
      <c r="O1064" s="224"/>
      <c r="P1064" s="224"/>
      <c r="Q1064" s="224"/>
      <c r="R1064" s="224"/>
      <c r="S1064" s="224"/>
      <c r="T1064" s="224"/>
      <c r="U1064" s="224"/>
      <c r="V1064" s="224"/>
    </row>
    <row r="1065" spans="1:22" s="101" customFormat="1" x14ac:dyDescent="0.3">
      <c r="A1065" s="222"/>
      <c r="B1065" s="235"/>
      <c r="C1065" s="227"/>
      <c r="D1065" s="344"/>
      <c r="E1065" s="235"/>
      <c r="F1065" s="235"/>
      <c r="G1065" s="227"/>
      <c r="H1065" s="227"/>
      <c r="I1065" s="350"/>
      <c r="J1065" s="227"/>
      <c r="K1065" s="227"/>
      <c r="L1065" s="224"/>
      <c r="M1065" s="224"/>
      <c r="N1065" s="224"/>
      <c r="O1065" s="224"/>
      <c r="P1065" s="224"/>
      <c r="Q1065" s="224"/>
      <c r="R1065" s="224"/>
      <c r="S1065" s="224"/>
      <c r="T1065" s="224"/>
      <c r="U1065" s="224"/>
      <c r="V1065" s="224"/>
    </row>
    <row r="1066" spans="1:22" s="101" customFormat="1" x14ac:dyDescent="0.3">
      <c r="A1066" s="222"/>
      <c r="B1066" s="235"/>
      <c r="C1066" s="227"/>
      <c r="D1066" s="344"/>
      <c r="E1066" s="235"/>
      <c r="F1066" s="235"/>
      <c r="G1066" s="227"/>
      <c r="H1066" s="227"/>
      <c r="I1066" s="350"/>
      <c r="J1066" s="227"/>
      <c r="K1066" s="227"/>
      <c r="L1066" s="224"/>
      <c r="M1066" s="224"/>
      <c r="N1066" s="224"/>
      <c r="O1066" s="224"/>
      <c r="P1066" s="224"/>
      <c r="Q1066" s="224"/>
      <c r="R1066" s="224"/>
      <c r="S1066" s="224"/>
      <c r="T1066" s="224"/>
      <c r="U1066" s="224"/>
      <c r="V1066" s="224"/>
    </row>
    <row r="1067" spans="1:22" s="101" customFormat="1" x14ac:dyDescent="0.3">
      <c r="A1067" s="222"/>
      <c r="B1067" s="235"/>
      <c r="C1067" s="227"/>
      <c r="D1067" s="344"/>
      <c r="E1067" s="235"/>
      <c r="F1067" s="235"/>
      <c r="G1067" s="227"/>
      <c r="H1067" s="227"/>
      <c r="I1067" s="350"/>
      <c r="J1067" s="227"/>
      <c r="K1067" s="227"/>
      <c r="L1067" s="224"/>
      <c r="M1067" s="224"/>
      <c r="N1067" s="224"/>
      <c r="O1067" s="224"/>
      <c r="P1067" s="224"/>
      <c r="Q1067" s="224"/>
      <c r="R1067" s="224"/>
      <c r="S1067" s="224"/>
      <c r="T1067" s="224"/>
      <c r="U1067" s="224"/>
      <c r="V1067" s="224"/>
    </row>
    <row r="1068" spans="1:22" s="101" customFormat="1" x14ac:dyDescent="0.3">
      <c r="A1068" s="222"/>
      <c r="B1068" s="235"/>
      <c r="C1068" s="227"/>
      <c r="D1068" s="344"/>
      <c r="E1068" s="235"/>
      <c r="F1068" s="235"/>
      <c r="G1068" s="227"/>
      <c r="H1068" s="227"/>
      <c r="I1068" s="350"/>
      <c r="J1068" s="227"/>
      <c r="K1068" s="227"/>
      <c r="L1068" s="224"/>
      <c r="M1068" s="224"/>
      <c r="N1068" s="224"/>
      <c r="O1068" s="224"/>
      <c r="P1068" s="224"/>
      <c r="Q1068" s="224"/>
      <c r="R1068" s="224"/>
      <c r="S1068" s="224"/>
      <c r="T1068" s="224"/>
      <c r="U1068" s="224"/>
      <c r="V1068" s="224"/>
    </row>
    <row r="1069" spans="1:22" s="101" customFormat="1" x14ac:dyDescent="0.3">
      <c r="A1069" s="222"/>
      <c r="B1069" s="235"/>
      <c r="C1069" s="227"/>
      <c r="D1069" s="344"/>
      <c r="E1069" s="235"/>
      <c r="F1069" s="235"/>
      <c r="G1069" s="227"/>
      <c r="H1069" s="227"/>
      <c r="I1069" s="350"/>
      <c r="J1069" s="227"/>
      <c r="K1069" s="227"/>
      <c r="L1069" s="224"/>
      <c r="M1069" s="224"/>
      <c r="N1069" s="224"/>
      <c r="O1069" s="224"/>
      <c r="P1069" s="224"/>
      <c r="Q1069" s="224"/>
      <c r="R1069" s="224"/>
      <c r="S1069" s="224"/>
      <c r="T1069" s="224"/>
      <c r="U1069" s="224"/>
      <c r="V1069" s="224"/>
    </row>
    <row r="1070" spans="1:22" s="101" customFormat="1" x14ac:dyDescent="0.3">
      <c r="A1070" s="222"/>
      <c r="B1070" s="235"/>
      <c r="C1070" s="227"/>
      <c r="D1070" s="344"/>
      <c r="E1070" s="235"/>
      <c r="F1070" s="235"/>
      <c r="G1070" s="227"/>
      <c r="H1070" s="227"/>
      <c r="I1070" s="350"/>
      <c r="J1070" s="227"/>
      <c r="K1070" s="227"/>
      <c r="L1070" s="224"/>
      <c r="M1070" s="224"/>
      <c r="N1070" s="224"/>
      <c r="O1070" s="224"/>
      <c r="P1070" s="224"/>
      <c r="Q1070" s="224"/>
      <c r="R1070" s="224"/>
      <c r="S1070" s="224"/>
      <c r="T1070" s="224"/>
      <c r="U1070" s="224"/>
      <c r="V1070" s="224"/>
    </row>
    <row r="1071" spans="1:22" s="101" customFormat="1" x14ac:dyDescent="0.3">
      <c r="A1071" s="222"/>
      <c r="B1071" s="235"/>
      <c r="C1071" s="227"/>
      <c r="D1071" s="344"/>
      <c r="E1071" s="235"/>
      <c r="F1071" s="235"/>
      <c r="G1071" s="227"/>
      <c r="H1071" s="227"/>
      <c r="I1071" s="350"/>
      <c r="J1071" s="227"/>
      <c r="K1071" s="227"/>
      <c r="L1071" s="224"/>
      <c r="M1071" s="224"/>
      <c r="N1071" s="224"/>
      <c r="O1071" s="224"/>
      <c r="P1071" s="224"/>
      <c r="Q1071" s="224"/>
      <c r="R1071" s="224"/>
      <c r="S1071" s="224"/>
      <c r="T1071" s="224"/>
      <c r="U1071" s="224"/>
      <c r="V1071" s="224"/>
    </row>
    <row r="1072" spans="1:22" s="101" customFormat="1" x14ac:dyDescent="0.3">
      <c r="A1072" s="222"/>
      <c r="B1072" s="235"/>
      <c r="C1072" s="227"/>
      <c r="D1072" s="344"/>
      <c r="E1072" s="235"/>
      <c r="F1072" s="235"/>
      <c r="G1072" s="227"/>
      <c r="H1072" s="227"/>
      <c r="I1072" s="350"/>
      <c r="J1072" s="227"/>
      <c r="K1072" s="227"/>
      <c r="L1072" s="224"/>
      <c r="M1072" s="224"/>
      <c r="N1072" s="224"/>
      <c r="O1072" s="224"/>
      <c r="P1072" s="224"/>
      <c r="Q1072" s="224"/>
      <c r="R1072" s="224"/>
      <c r="S1072" s="224"/>
      <c r="T1072" s="224"/>
      <c r="U1072" s="224"/>
      <c r="V1072" s="224"/>
    </row>
    <row r="1073" spans="1:22" s="101" customFormat="1" x14ac:dyDescent="0.3">
      <c r="A1073" s="222"/>
      <c r="B1073" s="235"/>
      <c r="C1073" s="227"/>
      <c r="D1073" s="344"/>
      <c r="E1073" s="235"/>
      <c r="F1073" s="235"/>
      <c r="G1073" s="227"/>
      <c r="H1073" s="227"/>
      <c r="I1073" s="350"/>
      <c r="J1073" s="227"/>
      <c r="K1073" s="227"/>
      <c r="L1073" s="224"/>
      <c r="M1073" s="224"/>
      <c r="N1073" s="224"/>
      <c r="O1073" s="224"/>
      <c r="P1073" s="224"/>
      <c r="Q1073" s="224"/>
      <c r="R1073" s="224"/>
      <c r="S1073" s="224"/>
      <c r="T1073" s="224"/>
      <c r="U1073" s="224"/>
      <c r="V1073" s="224"/>
    </row>
    <row r="1074" spans="1:22" s="101" customFormat="1" x14ac:dyDescent="0.3">
      <c r="A1074" s="222"/>
      <c r="B1074" s="235"/>
      <c r="C1074" s="227"/>
      <c r="D1074" s="344"/>
      <c r="E1074" s="235"/>
      <c r="F1074" s="235"/>
      <c r="G1074" s="227"/>
      <c r="H1074" s="227"/>
      <c r="I1074" s="350"/>
      <c r="J1074" s="227"/>
      <c r="K1074" s="227"/>
      <c r="L1074" s="224"/>
      <c r="M1074" s="224"/>
      <c r="N1074" s="224"/>
      <c r="O1074" s="224"/>
      <c r="P1074" s="224"/>
      <c r="Q1074" s="224"/>
      <c r="R1074" s="224"/>
      <c r="S1074" s="224"/>
      <c r="T1074" s="224"/>
      <c r="U1074" s="224"/>
      <c r="V1074" s="224"/>
    </row>
    <row r="1075" spans="1:22" s="101" customFormat="1" x14ac:dyDescent="0.3">
      <c r="A1075" s="222"/>
      <c r="B1075" s="235"/>
      <c r="C1075" s="227"/>
      <c r="D1075" s="344"/>
      <c r="E1075" s="235"/>
      <c r="F1075" s="235"/>
      <c r="G1075" s="227"/>
      <c r="H1075" s="227"/>
      <c r="I1075" s="350"/>
      <c r="J1075" s="227"/>
      <c r="K1075" s="227"/>
      <c r="L1075" s="224"/>
      <c r="M1075" s="224"/>
      <c r="N1075" s="224"/>
      <c r="O1075" s="224"/>
      <c r="P1075" s="224"/>
      <c r="Q1075" s="224"/>
      <c r="R1075" s="224"/>
      <c r="S1075" s="224"/>
      <c r="T1075" s="224"/>
      <c r="U1075" s="224"/>
      <c r="V1075" s="224"/>
    </row>
    <row r="1076" spans="1:22" s="101" customFormat="1" x14ac:dyDescent="0.3">
      <c r="A1076" s="222"/>
      <c r="B1076" s="235"/>
      <c r="C1076" s="227"/>
      <c r="D1076" s="344"/>
      <c r="E1076" s="235"/>
      <c r="F1076" s="235"/>
      <c r="G1076" s="227"/>
      <c r="H1076" s="227"/>
      <c r="I1076" s="350"/>
      <c r="J1076" s="227"/>
      <c r="K1076" s="227"/>
      <c r="L1076" s="224"/>
      <c r="M1076" s="224"/>
      <c r="N1076" s="224"/>
      <c r="O1076" s="224"/>
      <c r="P1076" s="224"/>
      <c r="Q1076" s="224"/>
      <c r="R1076" s="224"/>
      <c r="S1076" s="224"/>
      <c r="T1076" s="224"/>
      <c r="U1076" s="224"/>
      <c r="V1076" s="224"/>
    </row>
    <row r="1077" spans="1:22" s="101" customFormat="1" x14ac:dyDescent="0.3">
      <c r="A1077" s="222"/>
      <c r="B1077" s="235"/>
      <c r="C1077" s="227"/>
      <c r="D1077" s="344"/>
      <c r="E1077" s="235"/>
      <c r="F1077" s="235"/>
      <c r="G1077" s="227"/>
      <c r="H1077" s="227"/>
      <c r="I1077" s="350"/>
      <c r="J1077" s="227"/>
      <c r="K1077" s="227"/>
      <c r="L1077" s="224"/>
      <c r="M1077" s="224"/>
      <c r="N1077" s="224"/>
      <c r="O1077" s="224"/>
      <c r="P1077" s="224"/>
      <c r="Q1077" s="224"/>
      <c r="R1077" s="224"/>
      <c r="S1077" s="224"/>
      <c r="T1077" s="224"/>
      <c r="U1077" s="224"/>
      <c r="V1077" s="224"/>
    </row>
    <row r="1078" spans="1:22" s="101" customFormat="1" x14ac:dyDescent="0.3">
      <c r="A1078" s="222"/>
      <c r="B1078" s="235"/>
      <c r="C1078" s="227"/>
      <c r="D1078" s="344"/>
      <c r="E1078" s="235"/>
      <c r="F1078" s="235"/>
      <c r="G1078" s="227"/>
      <c r="H1078" s="227"/>
      <c r="I1078" s="350"/>
      <c r="J1078" s="227"/>
      <c r="K1078" s="227"/>
      <c r="L1078" s="224"/>
      <c r="M1078" s="224"/>
      <c r="N1078" s="224"/>
      <c r="O1078" s="224"/>
      <c r="P1078" s="224"/>
      <c r="Q1078" s="224"/>
      <c r="R1078" s="224"/>
      <c r="S1078" s="224"/>
      <c r="T1078" s="224"/>
      <c r="U1078" s="224"/>
      <c r="V1078" s="224"/>
    </row>
    <row r="1079" spans="1:22" s="101" customFormat="1" x14ac:dyDescent="0.3">
      <c r="A1079" s="222"/>
      <c r="B1079" s="235"/>
      <c r="C1079" s="227"/>
      <c r="D1079" s="344"/>
      <c r="E1079" s="235"/>
      <c r="F1079" s="235"/>
      <c r="G1079" s="227"/>
      <c r="H1079" s="227"/>
      <c r="I1079" s="350"/>
      <c r="J1079" s="227"/>
      <c r="K1079" s="227"/>
      <c r="L1079" s="224"/>
      <c r="M1079" s="224"/>
      <c r="N1079" s="224"/>
      <c r="O1079" s="224"/>
      <c r="P1079" s="224"/>
      <c r="Q1079" s="224"/>
      <c r="R1079" s="224"/>
      <c r="S1079" s="224"/>
      <c r="T1079" s="224"/>
      <c r="U1079" s="224"/>
      <c r="V1079" s="224"/>
    </row>
    <row r="1080" spans="1:22" s="101" customFormat="1" x14ac:dyDescent="0.3">
      <c r="A1080" s="222"/>
      <c r="B1080" s="235"/>
      <c r="C1080" s="227"/>
      <c r="D1080" s="344"/>
      <c r="E1080" s="235"/>
      <c r="F1080" s="235"/>
      <c r="G1080" s="227"/>
      <c r="H1080" s="227"/>
      <c r="I1080" s="350"/>
      <c r="J1080" s="227"/>
      <c r="K1080" s="227"/>
      <c r="L1080" s="224"/>
      <c r="M1080" s="224"/>
      <c r="N1080" s="224"/>
      <c r="O1080" s="224"/>
      <c r="P1080" s="224"/>
      <c r="Q1080" s="224"/>
      <c r="R1080" s="224"/>
      <c r="S1080" s="224"/>
      <c r="T1080" s="224"/>
      <c r="U1080" s="224"/>
      <c r="V1080" s="224"/>
    </row>
    <row r="1081" spans="1:22" s="101" customFormat="1" x14ac:dyDescent="0.3">
      <c r="A1081" s="222"/>
      <c r="B1081" s="235"/>
      <c r="C1081" s="227"/>
      <c r="D1081" s="344"/>
      <c r="E1081" s="235"/>
      <c r="F1081" s="235"/>
      <c r="G1081" s="227"/>
      <c r="H1081" s="227"/>
      <c r="I1081" s="350"/>
      <c r="J1081" s="227"/>
      <c r="K1081" s="227"/>
      <c r="L1081" s="224"/>
      <c r="M1081" s="224"/>
      <c r="N1081" s="224"/>
      <c r="O1081" s="224"/>
      <c r="P1081" s="224"/>
      <c r="Q1081" s="224"/>
      <c r="R1081" s="224"/>
      <c r="S1081" s="224"/>
      <c r="T1081" s="224"/>
      <c r="U1081" s="224"/>
      <c r="V1081" s="224"/>
    </row>
    <row r="1082" spans="1:22" s="101" customFormat="1" x14ac:dyDescent="0.3">
      <c r="A1082" s="222"/>
      <c r="B1082" s="235"/>
      <c r="C1082" s="227"/>
      <c r="D1082" s="344"/>
      <c r="E1082" s="235"/>
      <c r="F1082" s="235"/>
      <c r="G1082" s="227"/>
      <c r="H1082" s="227"/>
      <c r="I1082" s="350"/>
      <c r="J1082" s="227"/>
      <c r="K1082" s="227"/>
      <c r="L1082" s="224"/>
      <c r="M1082" s="224"/>
      <c r="N1082" s="224"/>
      <c r="O1082" s="224"/>
      <c r="P1082" s="224"/>
      <c r="Q1082" s="224"/>
      <c r="R1082" s="224"/>
      <c r="S1082" s="224"/>
      <c r="T1082" s="224"/>
      <c r="U1082" s="224"/>
      <c r="V1082" s="224"/>
    </row>
    <row r="1083" spans="1:22" s="101" customFormat="1" x14ac:dyDescent="0.3">
      <c r="A1083" s="222"/>
      <c r="B1083" s="235"/>
      <c r="C1083" s="227"/>
      <c r="D1083" s="344"/>
      <c r="E1083" s="235"/>
      <c r="F1083" s="235"/>
      <c r="G1083" s="227"/>
      <c r="H1083" s="227"/>
      <c r="I1083" s="350"/>
      <c r="J1083" s="227"/>
      <c r="K1083" s="227"/>
      <c r="L1083" s="224"/>
      <c r="M1083" s="224"/>
      <c r="N1083" s="224"/>
      <c r="O1083" s="224"/>
      <c r="P1083" s="224"/>
      <c r="Q1083" s="224"/>
      <c r="R1083" s="224"/>
      <c r="S1083" s="224"/>
      <c r="T1083" s="224"/>
      <c r="U1083" s="224"/>
      <c r="V1083" s="224"/>
    </row>
    <row r="1084" spans="1:22" s="101" customFormat="1" x14ac:dyDescent="0.3">
      <c r="A1084" s="222"/>
      <c r="B1084" s="235"/>
      <c r="C1084" s="227"/>
      <c r="D1084" s="344"/>
      <c r="E1084" s="235"/>
      <c r="F1084" s="235"/>
      <c r="G1084" s="227"/>
      <c r="H1084" s="227"/>
      <c r="I1084" s="350"/>
      <c r="J1084" s="227"/>
      <c r="K1084" s="227"/>
      <c r="L1084" s="224"/>
      <c r="M1084" s="224"/>
      <c r="N1084" s="224"/>
      <c r="O1084" s="224"/>
      <c r="P1084" s="224"/>
      <c r="Q1084" s="224"/>
      <c r="R1084" s="224"/>
      <c r="S1084" s="224"/>
      <c r="T1084" s="224"/>
      <c r="U1084" s="224"/>
      <c r="V1084" s="224"/>
    </row>
    <row r="1085" spans="1:22" s="101" customFormat="1" x14ac:dyDescent="0.3">
      <c r="A1085" s="222"/>
      <c r="B1085" s="235"/>
      <c r="C1085" s="227"/>
      <c r="D1085" s="344"/>
      <c r="E1085" s="235"/>
      <c r="F1085" s="235"/>
      <c r="G1085" s="227"/>
      <c r="H1085" s="227"/>
      <c r="I1085" s="350"/>
      <c r="J1085" s="227"/>
      <c r="K1085" s="227"/>
      <c r="L1085" s="224"/>
      <c r="M1085" s="224"/>
      <c r="N1085" s="224"/>
      <c r="O1085" s="224"/>
      <c r="P1085" s="224"/>
      <c r="Q1085" s="224"/>
      <c r="R1085" s="224"/>
      <c r="S1085" s="224"/>
      <c r="T1085" s="224"/>
      <c r="U1085" s="224"/>
      <c r="V1085" s="224"/>
    </row>
    <row r="1086" spans="1:22" s="101" customFormat="1" x14ac:dyDescent="0.3">
      <c r="A1086" s="222"/>
      <c r="B1086" s="235"/>
      <c r="C1086" s="227"/>
      <c r="D1086" s="344"/>
      <c r="E1086" s="235"/>
      <c r="F1086" s="235"/>
      <c r="G1086" s="227"/>
      <c r="H1086" s="227"/>
      <c r="I1086" s="350"/>
      <c r="J1086" s="227"/>
      <c r="K1086" s="227"/>
      <c r="L1086" s="224"/>
      <c r="M1086" s="224"/>
      <c r="N1086" s="224"/>
      <c r="O1086" s="224"/>
      <c r="P1086" s="224"/>
      <c r="Q1086" s="224"/>
      <c r="R1086" s="224"/>
      <c r="S1086" s="224"/>
      <c r="T1086" s="224"/>
      <c r="U1086" s="224"/>
      <c r="V1086" s="224"/>
    </row>
    <row r="1087" spans="1:22" s="101" customFormat="1" x14ac:dyDescent="0.3">
      <c r="A1087" s="222"/>
      <c r="B1087" s="235"/>
      <c r="C1087" s="227"/>
      <c r="D1087" s="344"/>
      <c r="E1087" s="235"/>
      <c r="F1087" s="235"/>
      <c r="G1087" s="227"/>
      <c r="H1087" s="227"/>
      <c r="I1087" s="350"/>
      <c r="J1087" s="227"/>
      <c r="K1087" s="227"/>
      <c r="L1087" s="224"/>
      <c r="M1087" s="224"/>
      <c r="N1087" s="224"/>
      <c r="O1087" s="224"/>
      <c r="P1087" s="224"/>
      <c r="Q1087" s="224"/>
      <c r="R1087" s="224"/>
      <c r="S1087" s="224"/>
      <c r="T1087" s="224"/>
      <c r="U1087" s="224"/>
      <c r="V1087" s="224"/>
    </row>
    <row r="1088" spans="1:22" s="101" customFormat="1" x14ac:dyDescent="0.3">
      <c r="A1088" s="222"/>
      <c r="B1088" s="235"/>
      <c r="C1088" s="227"/>
      <c r="D1088" s="344"/>
      <c r="E1088" s="235"/>
      <c r="F1088" s="235"/>
      <c r="G1088" s="227"/>
      <c r="H1088" s="227"/>
      <c r="I1088" s="350"/>
      <c r="J1088" s="227"/>
      <c r="K1088" s="227"/>
      <c r="L1088" s="224"/>
      <c r="M1088" s="224"/>
      <c r="N1088" s="224"/>
      <c r="O1088" s="224"/>
      <c r="P1088" s="224"/>
      <c r="Q1088" s="224"/>
      <c r="R1088" s="224"/>
      <c r="S1088" s="224"/>
      <c r="T1088" s="224"/>
      <c r="U1088" s="224"/>
      <c r="V1088" s="224"/>
    </row>
    <row r="1089" spans="1:22" s="101" customFormat="1" x14ac:dyDescent="0.3">
      <c r="A1089" s="222"/>
      <c r="B1089" s="235"/>
      <c r="C1089" s="227"/>
      <c r="D1089" s="344"/>
      <c r="E1089" s="235"/>
      <c r="F1089" s="235"/>
      <c r="G1089" s="227"/>
      <c r="H1089" s="227"/>
      <c r="I1089" s="350"/>
      <c r="J1089" s="227"/>
      <c r="K1089" s="227"/>
      <c r="L1089" s="224"/>
      <c r="M1089" s="224"/>
      <c r="N1089" s="224"/>
      <c r="O1089" s="224"/>
      <c r="P1089" s="224"/>
      <c r="Q1089" s="224"/>
      <c r="R1089" s="224"/>
      <c r="S1089" s="224"/>
      <c r="T1089" s="224"/>
      <c r="U1089" s="224"/>
      <c r="V1089" s="224"/>
    </row>
    <row r="1090" spans="1:22" s="101" customFormat="1" x14ac:dyDescent="0.3">
      <c r="A1090" s="222"/>
      <c r="B1090" s="235"/>
      <c r="C1090" s="227"/>
      <c r="D1090" s="344"/>
      <c r="E1090" s="235"/>
      <c r="F1090" s="235"/>
      <c r="G1090" s="227"/>
      <c r="H1090" s="227"/>
      <c r="I1090" s="350"/>
      <c r="J1090" s="227"/>
      <c r="K1090" s="227"/>
      <c r="L1090" s="224"/>
      <c r="M1090" s="224"/>
      <c r="N1090" s="224"/>
      <c r="O1090" s="224"/>
      <c r="P1090" s="224"/>
      <c r="Q1090" s="224"/>
      <c r="R1090" s="224"/>
      <c r="S1090" s="224"/>
      <c r="T1090" s="224"/>
      <c r="U1090" s="224"/>
      <c r="V1090" s="224"/>
    </row>
    <row r="1091" spans="1:22" s="101" customFormat="1" x14ac:dyDescent="0.3">
      <c r="A1091" s="222"/>
      <c r="B1091" s="235"/>
      <c r="C1091" s="227"/>
      <c r="D1091" s="344"/>
      <c r="E1091" s="235"/>
      <c r="F1091" s="235"/>
      <c r="G1091" s="227"/>
      <c r="H1091" s="227"/>
      <c r="I1091" s="350"/>
      <c r="J1091" s="227"/>
      <c r="K1091" s="227"/>
      <c r="L1091" s="224"/>
      <c r="M1091" s="224"/>
      <c r="N1091" s="224"/>
      <c r="O1091" s="224"/>
      <c r="P1091" s="224"/>
      <c r="Q1091" s="224"/>
      <c r="R1091" s="224"/>
      <c r="S1091" s="224"/>
      <c r="T1091" s="224"/>
      <c r="U1091" s="224"/>
      <c r="V1091" s="224"/>
    </row>
    <row r="1092" spans="1:22" s="101" customFormat="1" x14ac:dyDescent="0.3">
      <c r="A1092" s="222"/>
      <c r="B1092" s="235"/>
      <c r="C1092" s="227"/>
      <c r="D1092" s="344"/>
      <c r="E1092" s="235"/>
      <c r="F1092" s="235"/>
      <c r="G1092" s="227"/>
      <c r="H1092" s="227"/>
      <c r="I1092" s="350"/>
      <c r="J1092" s="227"/>
      <c r="K1092" s="227"/>
      <c r="L1092" s="224"/>
      <c r="M1092" s="224"/>
      <c r="N1092" s="224"/>
      <c r="O1092" s="224"/>
      <c r="P1092" s="224"/>
      <c r="Q1092" s="224"/>
      <c r="R1092" s="224"/>
      <c r="S1092" s="224"/>
      <c r="T1092" s="224"/>
      <c r="U1092" s="224"/>
      <c r="V1092" s="224"/>
    </row>
    <row r="1093" spans="1:22" s="101" customFormat="1" x14ac:dyDescent="0.3">
      <c r="A1093" s="222"/>
      <c r="B1093" s="235"/>
      <c r="C1093" s="227"/>
      <c r="D1093" s="344"/>
      <c r="E1093" s="235"/>
      <c r="F1093" s="235"/>
      <c r="G1093" s="227"/>
      <c r="H1093" s="227"/>
      <c r="I1093" s="350"/>
      <c r="J1093" s="227"/>
      <c r="K1093" s="227"/>
      <c r="L1093" s="224"/>
      <c r="M1093" s="224"/>
      <c r="N1093" s="224"/>
      <c r="O1093" s="224"/>
      <c r="P1093" s="224"/>
      <c r="Q1093" s="224"/>
      <c r="R1093" s="224"/>
      <c r="S1093" s="224"/>
      <c r="T1093" s="224"/>
      <c r="U1093" s="224"/>
      <c r="V1093" s="224"/>
    </row>
    <row r="1094" spans="1:22" s="101" customFormat="1" x14ac:dyDescent="0.3">
      <c r="A1094" s="222"/>
      <c r="B1094" s="235"/>
      <c r="C1094" s="227"/>
      <c r="D1094" s="344"/>
      <c r="E1094" s="235"/>
      <c r="F1094" s="235"/>
      <c r="G1094" s="227"/>
      <c r="H1094" s="227"/>
      <c r="I1094" s="350"/>
      <c r="J1094" s="227"/>
      <c r="K1094" s="227"/>
      <c r="L1094" s="224"/>
      <c r="M1094" s="224"/>
      <c r="N1094" s="224"/>
      <c r="O1094" s="224"/>
      <c r="P1094" s="224"/>
      <c r="Q1094" s="224"/>
      <c r="R1094" s="224"/>
      <c r="S1094" s="224"/>
      <c r="T1094" s="224"/>
      <c r="U1094" s="224"/>
      <c r="V1094" s="224"/>
    </row>
    <row r="1095" spans="1:22" s="101" customFormat="1" x14ac:dyDescent="0.3">
      <c r="A1095" s="222"/>
      <c r="B1095" s="235"/>
      <c r="C1095" s="227"/>
      <c r="D1095" s="344"/>
      <c r="E1095" s="235"/>
      <c r="F1095" s="235"/>
      <c r="G1095" s="227"/>
      <c r="H1095" s="227"/>
      <c r="I1095" s="350"/>
      <c r="J1095" s="227"/>
      <c r="K1095" s="227"/>
      <c r="L1095" s="224"/>
      <c r="M1095" s="224"/>
      <c r="N1095" s="224"/>
      <c r="O1095" s="224"/>
      <c r="P1095" s="224"/>
      <c r="Q1095" s="224"/>
      <c r="R1095" s="224"/>
      <c r="S1095" s="224"/>
      <c r="T1095" s="224"/>
      <c r="U1095" s="224"/>
      <c r="V1095" s="224"/>
    </row>
    <row r="1096" spans="1:22" s="101" customFormat="1" x14ac:dyDescent="0.3">
      <c r="A1096" s="222"/>
      <c r="B1096" s="235"/>
      <c r="C1096" s="227"/>
      <c r="D1096" s="344"/>
      <c r="E1096" s="235"/>
      <c r="F1096" s="235"/>
      <c r="G1096" s="227"/>
      <c r="H1096" s="227"/>
      <c r="I1096" s="350"/>
      <c r="J1096" s="227"/>
      <c r="K1096" s="227"/>
      <c r="L1096" s="224"/>
      <c r="M1096" s="224"/>
      <c r="N1096" s="224"/>
      <c r="O1096" s="224"/>
      <c r="P1096" s="224"/>
      <c r="Q1096" s="224"/>
      <c r="R1096" s="224"/>
      <c r="S1096" s="224"/>
      <c r="T1096" s="224"/>
      <c r="U1096" s="224"/>
      <c r="V1096" s="224"/>
    </row>
    <row r="1097" spans="1:22" s="101" customFormat="1" x14ac:dyDescent="0.3">
      <c r="A1097" s="222"/>
      <c r="B1097" s="235"/>
      <c r="C1097" s="227"/>
      <c r="D1097" s="344"/>
      <c r="E1097" s="235"/>
      <c r="F1097" s="235"/>
      <c r="G1097" s="227"/>
      <c r="H1097" s="227"/>
      <c r="I1097" s="350"/>
      <c r="J1097" s="227"/>
      <c r="K1097" s="227"/>
      <c r="L1097" s="224"/>
      <c r="M1097" s="224"/>
      <c r="N1097" s="224"/>
      <c r="O1097" s="224"/>
      <c r="P1097" s="224"/>
      <c r="Q1097" s="224"/>
      <c r="R1097" s="224"/>
      <c r="S1097" s="224"/>
      <c r="T1097" s="224"/>
      <c r="U1097" s="224"/>
      <c r="V1097" s="224"/>
    </row>
    <row r="1098" spans="1:22" s="101" customFormat="1" x14ac:dyDescent="0.3">
      <c r="A1098" s="222"/>
      <c r="B1098" s="235"/>
      <c r="C1098" s="227"/>
      <c r="D1098" s="344"/>
      <c r="E1098" s="235"/>
      <c r="F1098" s="235"/>
      <c r="G1098" s="227"/>
      <c r="H1098" s="227"/>
      <c r="I1098" s="350"/>
      <c r="J1098" s="227"/>
      <c r="K1098" s="227"/>
      <c r="L1098" s="224"/>
      <c r="M1098" s="224"/>
      <c r="N1098" s="224"/>
      <c r="O1098" s="224"/>
      <c r="P1098" s="224"/>
      <c r="Q1098" s="224"/>
      <c r="R1098" s="224"/>
      <c r="S1098" s="224"/>
      <c r="T1098" s="224"/>
      <c r="U1098" s="224"/>
      <c r="V1098" s="224"/>
    </row>
    <row r="1099" spans="1:22" s="101" customFormat="1" x14ac:dyDescent="0.3">
      <c r="A1099" s="222"/>
      <c r="B1099" s="235"/>
      <c r="C1099" s="227"/>
      <c r="D1099" s="344"/>
      <c r="E1099" s="235"/>
      <c r="F1099" s="235"/>
      <c r="G1099" s="227"/>
      <c r="H1099" s="227"/>
      <c r="I1099" s="350"/>
      <c r="J1099" s="227"/>
      <c r="K1099" s="227"/>
      <c r="L1099" s="224"/>
      <c r="M1099" s="224"/>
      <c r="N1099" s="224"/>
      <c r="O1099" s="224"/>
      <c r="P1099" s="224"/>
      <c r="Q1099" s="224"/>
      <c r="R1099" s="224"/>
      <c r="S1099" s="224"/>
      <c r="T1099" s="224"/>
      <c r="U1099" s="224"/>
      <c r="V1099" s="224"/>
    </row>
    <row r="1100" spans="1:22" s="101" customFormat="1" x14ac:dyDescent="0.3">
      <c r="A1100" s="222"/>
      <c r="B1100" s="235"/>
      <c r="C1100" s="227"/>
      <c r="D1100" s="344"/>
      <c r="E1100" s="235"/>
      <c r="F1100" s="235"/>
      <c r="G1100" s="227"/>
      <c r="H1100" s="227"/>
      <c r="I1100" s="350"/>
      <c r="J1100" s="227"/>
      <c r="K1100" s="227"/>
      <c r="L1100" s="224"/>
      <c r="M1100" s="224"/>
      <c r="N1100" s="224"/>
      <c r="O1100" s="224"/>
      <c r="P1100" s="224"/>
      <c r="Q1100" s="224"/>
      <c r="R1100" s="224"/>
      <c r="S1100" s="224"/>
      <c r="T1100" s="224"/>
      <c r="U1100" s="224"/>
      <c r="V1100" s="224"/>
    </row>
    <row r="1101" spans="1:22" s="101" customFormat="1" x14ac:dyDescent="0.3">
      <c r="A1101" s="222"/>
      <c r="B1101" s="235"/>
      <c r="C1101" s="227"/>
      <c r="D1101" s="344"/>
      <c r="E1101" s="235"/>
      <c r="F1101" s="235"/>
      <c r="G1101" s="227"/>
      <c r="H1101" s="227"/>
      <c r="I1101" s="350"/>
      <c r="J1101" s="227"/>
      <c r="K1101" s="227"/>
      <c r="L1101" s="224"/>
      <c r="M1101" s="224"/>
      <c r="N1101" s="224"/>
      <c r="O1101" s="224"/>
      <c r="P1101" s="224"/>
      <c r="Q1101" s="224"/>
      <c r="R1101" s="224"/>
      <c r="S1101" s="224"/>
      <c r="T1101" s="224"/>
      <c r="U1101" s="224"/>
      <c r="V1101" s="224"/>
    </row>
    <row r="1102" spans="1:22" s="101" customFormat="1" x14ac:dyDescent="0.3">
      <c r="A1102" s="222"/>
      <c r="B1102" s="235"/>
      <c r="C1102" s="227"/>
      <c r="D1102" s="344"/>
      <c r="E1102" s="235"/>
      <c r="F1102" s="235"/>
      <c r="G1102" s="227"/>
      <c r="H1102" s="227"/>
      <c r="I1102" s="350"/>
      <c r="J1102" s="227"/>
      <c r="K1102" s="227"/>
      <c r="L1102" s="224"/>
      <c r="M1102" s="224"/>
      <c r="N1102" s="224"/>
      <c r="O1102" s="224"/>
      <c r="P1102" s="224"/>
      <c r="Q1102" s="224"/>
      <c r="R1102" s="224"/>
      <c r="S1102" s="224"/>
      <c r="T1102" s="224"/>
      <c r="U1102" s="224"/>
      <c r="V1102" s="224"/>
    </row>
    <row r="1103" spans="1:22" s="101" customFormat="1" x14ac:dyDescent="0.3">
      <c r="A1103" s="222"/>
      <c r="B1103" s="235"/>
      <c r="C1103" s="227"/>
      <c r="D1103" s="344"/>
      <c r="E1103" s="235"/>
      <c r="F1103" s="235"/>
      <c r="G1103" s="227"/>
      <c r="H1103" s="227"/>
      <c r="I1103" s="350"/>
      <c r="J1103" s="227"/>
      <c r="K1103" s="227"/>
      <c r="L1103" s="224"/>
      <c r="M1103" s="224"/>
      <c r="N1103" s="224"/>
      <c r="O1103" s="224"/>
      <c r="P1103" s="224"/>
      <c r="Q1103" s="224"/>
      <c r="R1103" s="224"/>
      <c r="S1103" s="224"/>
      <c r="T1103" s="224"/>
      <c r="U1103" s="224"/>
      <c r="V1103" s="224"/>
    </row>
    <row r="1104" spans="1:22" s="101" customFormat="1" x14ac:dyDescent="0.3">
      <c r="A1104" s="222"/>
      <c r="B1104" s="235"/>
      <c r="C1104" s="227"/>
      <c r="D1104" s="344"/>
      <c r="E1104" s="235"/>
      <c r="F1104" s="235"/>
      <c r="G1104" s="227"/>
      <c r="H1104" s="227"/>
      <c r="I1104" s="350"/>
      <c r="J1104" s="227"/>
      <c r="K1104" s="227"/>
      <c r="L1104" s="224"/>
      <c r="M1104" s="224"/>
      <c r="N1104" s="224"/>
      <c r="O1104" s="224"/>
      <c r="P1104" s="224"/>
      <c r="Q1104" s="224"/>
      <c r="R1104" s="224"/>
      <c r="S1104" s="224"/>
      <c r="T1104" s="224"/>
      <c r="U1104" s="224"/>
      <c r="V1104" s="224"/>
    </row>
    <row r="1105" spans="1:22" s="101" customFormat="1" x14ac:dyDescent="0.3">
      <c r="A1105" s="222"/>
      <c r="B1105" s="235"/>
      <c r="C1105" s="227"/>
      <c r="D1105" s="344"/>
      <c r="E1105" s="235"/>
      <c r="F1105" s="235"/>
      <c r="G1105" s="227"/>
      <c r="H1105" s="227"/>
      <c r="I1105" s="350"/>
      <c r="J1105" s="227"/>
      <c r="K1105" s="227"/>
      <c r="L1105" s="224"/>
      <c r="M1105" s="224"/>
      <c r="N1105" s="224"/>
      <c r="O1105" s="224"/>
      <c r="P1105" s="224"/>
      <c r="Q1105" s="224"/>
      <c r="R1105" s="224"/>
      <c r="S1105" s="224"/>
      <c r="T1105" s="224"/>
      <c r="U1105" s="224"/>
      <c r="V1105" s="224"/>
    </row>
    <row r="1106" spans="1:22" s="101" customFormat="1" x14ac:dyDescent="0.3">
      <c r="A1106" s="222"/>
      <c r="B1106" s="235"/>
      <c r="C1106" s="227"/>
      <c r="D1106" s="344"/>
      <c r="E1106" s="235"/>
      <c r="F1106" s="235"/>
      <c r="G1106" s="227"/>
      <c r="H1106" s="227"/>
      <c r="I1106" s="350"/>
      <c r="J1106" s="227"/>
      <c r="K1106" s="227"/>
      <c r="L1106" s="224"/>
      <c r="M1106" s="224"/>
      <c r="N1106" s="224"/>
      <c r="O1106" s="224"/>
      <c r="P1106" s="224"/>
      <c r="Q1106" s="224"/>
      <c r="R1106" s="224"/>
      <c r="S1106" s="224"/>
      <c r="T1106" s="224"/>
      <c r="U1106" s="224"/>
      <c r="V1106" s="224"/>
    </row>
    <row r="1107" spans="1:22" s="101" customFormat="1" x14ac:dyDescent="0.3">
      <c r="A1107" s="222"/>
      <c r="B1107" s="235"/>
      <c r="C1107" s="227"/>
      <c r="D1107" s="344"/>
      <c r="E1107" s="235"/>
      <c r="F1107" s="235"/>
      <c r="G1107" s="227"/>
      <c r="H1107" s="227"/>
      <c r="I1107" s="350"/>
      <c r="J1107" s="227"/>
      <c r="K1107" s="227"/>
      <c r="L1107" s="224"/>
      <c r="M1107" s="224"/>
      <c r="N1107" s="224"/>
      <c r="O1107" s="224"/>
      <c r="P1107" s="224"/>
      <c r="Q1107" s="224"/>
      <c r="R1107" s="224"/>
      <c r="S1107" s="224"/>
      <c r="T1107" s="224"/>
      <c r="U1107" s="224"/>
      <c r="V1107" s="224"/>
    </row>
    <row r="1108" spans="1:22" s="101" customFormat="1" x14ac:dyDescent="0.3">
      <c r="A1108" s="222"/>
      <c r="B1108" s="235"/>
      <c r="C1108" s="227"/>
      <c r="D1108" s="344"/>
      <c r="E1108" s="235"/>
      <c r="F1108" s="235"/>
      <c r="G1108" s="227"/>
      <c r="H1108" s="227"/>
      <c r="I1108" s="350"/>
      <c r="J1108" s="227"/>
      <c r="K1108" s="227"/>
      <c r="L1108" s="224"/>
      <c r="M1108" s="224"/>
      <c r="N1108" s="224"/>
      <c r="O1108" s="224"/>
      <c r="P1108" s="224"/>
      <c r="Q1108" s="224"/>
      <c r="R1108" s="224"/>
      <c r="S1108" s="224"/>
      <c r="T1108" s="224"/>
      <c r="U1108" s="224"/>
      <c r="V1108" s="224"/>
    </row>
    <row r="1109" spans="1:22" s="101" customFormat="1" x14ac:dyDescent="0.3">
      <c r="A1109" s="222"/>
      <c r="B1109" s="235"/>
      <c r="C1109" s="227"/>
      <c r="D1109" s="344"/>
      <c r="E1109" s="235"/>
      <c r="F1109" s="235"/>
      <c r="G1109" s="227"/>
      <c r="H1109" s="227"/>
      <c r="I1109" s="350"/>
      <c r="J1109" s="227"/>
      <c r="K1109" s="227"/>
      <c r="L1109" s="224"/>
      <c r="M1109" s="224"/>
      <c r="N1109" s="224"/>
      <c r="O1109" s="224"/>
      <c r="P1109" s="224"/>
      <c r="Q1109" s="224"/>
      <c r="R1109" s="224"/>
      <c r="S1109" s="224"/>
      <c r="T1109" s="224"/>
      <c r="U1109" s="224"/>
      <c r="V1109" s="224"/>
    </row>
    <row r="1110" spans="1:22" s="101" customFormat="1" x14ac:dyDescent="0.3">
      <c r="A1110" s="222"/>
      <c r="B1110" s="235"/>
      <c r="C1110" s="227"/>
      <c r="D1110" s="344"/>
      <c r="E1110" s="235"/>
      <c r="F1110" s="235"/>
      <c r="G1110" s="227"/>
      <c r="H1110" s="227"/>
      <c r="I1110" s="350"/>
      <c r="J1110" s="227"/>
      <c r="K1110" s="227"/>
      <c r="L1110" s="224"/>
      <c r="M1110" s="224"/>
      <c r="N1110" s="224"/>
      <c r="O1110" s="224"/>
      <c r="P1110" s="224"/>
      <c r="Q1110" s="224"/>
      <c r="R1110" s="224"/>
      <c r="S1110" s="224"/>
      <c r="T1110" s="224"/>
      <c r="U1110" s="224"/>
      <c r="V1110" s="224"/>
    </row>
    <row r="1111" spans="1:22" s="101" customFormat="1" x14ac:dyDescent="0.3">
      <c r="A1111" s="222"/>
      <c r="B1111" s="235"/>
      <c r="C1111" s="227"/>
      <c r="D1111" s="344"/>
      <c r="E1111" s="235"/>
      <c r="F1111" s="235"/>
      <c r="G1111" s="227"/>
      <c r="H1111" s="227"/>
      <c r="I1111" s="350"/>
      <c r="J1111" s="227"/>
      <c r="K1111" s="227"/>
      <c r="L1111" s="224"/>
      <c r="M1111" s="224"/>
      <c r="N1111" s="224"/>
      <c r="O1111" s="224"/>
      <c r="P1111" s="224"/>
      <c r="Q1111" s="224"/>
      <c r="R1111" s="224"/>
      <c r="S1111" s="224"/>
      <c r="T1111" s="224"/>
      <c r="U1111" s="224"/>
      <c r="V1111" s="224"/>
    </row>
    <row r="1112" spans="1:22" s="101" customFormat="1" x14ac:dyDescent="0.3">
      <c r="A1112" s="222"/>
      <c r="B1112" s="235"/>
      <c r="C1112" s="227"/>
      <c r="D1112" s="344"/>
      <c r="E1112" s="235"/>
      <c r="F1112" s="235"/>
      <c r="G1112" s="227"/>
      <c r="H1112" s="227"/>
      <c r="I1112" s="350"/>
      <c r="J1112" s="227"/>
      <c r="K1112" s="227"/>
      <c r="L1112" s="224"/>
      <c r="M1112" s="224"/>
      <c r="N1112" s="224"/>
      <c r="O1112" s="224"/>
      <c r="P1112" s="224"/>
      <c r="Q1112" s="224"/>
      <c r="R1112" s="224"/>
      <c r="S1112" s="224"/>
      <c r="T1112" s="224"/>
      <c r="U1112" s="224"/>
      <c r="V1112" s="224"/>
    </row>
    <row r="1113" spans="1:22" s="101" customFormat="1" x14ac:dyDescent="0.3">
      <c r="A1113" s="222"/>
      <c r="B1113" s="235"/>
      <c r="C1113" s="227"/>
      <c r="D1113" s="344"/>
      <c r="E1113" s="235"/>
      <c r="F1113" s="235"/>
      <c r="G1113" s="227"/>
      <c r="H1113" s="227"/>
      <c r="I1113" s="350"/>
      <c r="J1113" s="227"/>
      <c r="K1113" s="227"/>
      <c r="L1113" s="224"/>
      <c r="M1113" s="224"/>
      <c r="N1113" s="224"/>
      <c r="O1113" s="224"/>
      <c r="P1113" s="224"/>
      <c r="Q1113" s="224"/>
      <c r="R1113" s="224"/>
      <c r="S1113" s="224"/>
      <c r="T1113" s="224"/>
      <c r="U1113" s="224"/>
      <c r="V1113" s="224"/>
    </row>
    <row r="1114" spans="1:22" s="101" customFormat="1" x14ac:dyDescent="0.3">
      <c r="A1114" s="222"/>
      <c r="B1114" s="235"/>
      <c r="C1114" s="227"/>
      <c r="D1114" s="344"/>
      <c r="E1114" s="235"/>
      <c r="F1114" s="235"/>
      <c r="G1114" s="227"/>
      <c r="H1114" s="227"/>
      <c r="I1114" s="350"/>
      <c r="J1114" s="227"/>
      <c r="K1114" s="227"/>
      <c r="L1114" s="224"/>
      <c r="M1114" s="224"/>
      <c r="N1114" s="224"/>
      <c r="O1114" s="224"/>
      <c r="P1114" s="224"/>
      <c r="Q1114" s="224"/>
      <c r="R1114" s="224"/>
      <c r="S1114" s="224"/>
      <c r="T1114" s="224"/>
      <c r="U1114" s="224"/>
      <c r="V1114" s="224"/>
    </row>
    <row r="1115" spans="1:22" s="101" customFormat="1" x14ac:dyDescent="0.3">
      <c r="A1115" s="222"/>
      <c r="B1115" s="235"/>
      <c r="C1115" s="227"/>
      <c r="D1115" s="344"/>
      <c r="E1115" s="235"/>
      <c r="F1115" s="235"/>
      <c r="G1115" s="227"/>
      <c r="H1115" s="227"/>
      <c r="I1115" s="350"/>
      <c r="J1115" s="227"/>
      <c r="K1115" s="227"/>
      <c r="L1115" s="224"/>
      <c r="M1115" s="224"/>
      <c r="N1115" s="224"/>
      <c r="O1115" s="224"/>
      <c r="P1115" s="224"/>
      <c r="Q1115" s="224"/>
      <c r="R1115" s="224"/>
      <c r="S1115" s="224"/>
      <c r="T1115" s="224"/>
      <c r="U1115" s="224"/>
      <c r="V1115" s="224"/>
    </row>
    <row r="1116" spans="1:22" s="101" customFormat="1" x14ac:dyDescent="0.3">
      <c r="A1116" s="222"/>
      <c r="B1116" s="235"/>
      <c r="C1116" s="227"/>
      <c r="D1116" s="344"/>
      <c r="E1116" s="235"/>
      <c r="F1116" s="235"/>
      <c r="G1116" s="227"/>
      <c r="H1116" s="227"/>
      <c r="I1116" s="350"/>
      <c r="J1116" s="227"/>
      <c r="K1116" s="227"/>
      <c r="L1116" s="224"/>
      <c r="M1116" s="224"/>
      <c r="N1116" s="224"/>
      <c r="O1116" s="224"/>
      <c r="P1116" s="224"/>
      <c r="Q1116" s="224"/>
      <c r="R1116" s="224"/>
      <c r="S1116" s="224"/>
      <c r="T1116" s="224"/>
      <c r="U1116" s="224"/>
      <c r="V1116" s="224"/>
    </row>
    <row r="1117" spans="1:22" s="101" customFormat="1" x14ac:dyDescent="0.3">
      <c r="A1117" s="222"/>
      <c r="B1117" s="235"/>
      <c r="C1117" s="227"/>
      <c r="D1117" s="344"/>
      <c r="E1117" s="235"/>
      <c r="F1117" s="235"/>
      <c r="G1117" s="227"/>
      <c r="H1117" s="227"/>
      <c r="I1117" s="350"/>
      <c r="J1117" s="227"/>
      <c r="K1117" s="227"/>
      <c r="L1117" s="224"/>
      <c r="M1117" s="224"/>
      <c r="N1117" s="224"/>
      <c r="O1117" s="224"/>
      <c r="P1117" s="224"/>
      <c r="Q1117" s="224"/>
      <c r="R1117" s="224"/>
      <c r="S1117" s="224"/>
      <c r="T1117" s="224"/>
      <c r="U1117" s="224"/>
      <c r="V1117" s="224"/>
    </row>
    <row r="1118" spans="1:22" s="101" customFormat="1" x14ac:dyDescent="0.3">
      <c r="A1118" s="222"/>
      <c r="B1118" s="235"/>
      <c r="C1118" s="227"/>
      <c r="D1118" s="344"/>
      <c r="E1118" s="235"/>
      <c r="F1118" s="235"/>
      <c r="G1118" s="227"/>
      <c r="H1118" s="227"/>
      <c r="I1118" s="350"/>
      <c r="J1118" s="227"/>
      <c r="K1118" s="227"/>
      <c r="L1118" s="224"/>
      <c r="M1118" s="224"/>
      <c r="N1118" s="224"/>
      <c r="O1118" s="224"/>
      <c r="P1118" s="224"/>
      <c r="Q1118" s="224"/>
      <c r="R1118" s="224"/>
      <c r="S1118" s="224"/>
      <c r="T1118" s="224"/>
      <c r="U1118" s="224"/>
      <c r="V1118" s="224"/>
    </row>
    <row r="1119" spans="1:22" s="101" customFormat="1" x14ac:dyDescent="0.3">
      <c r="A1119" s="222"/>
      <c r="B1119" s="235"/>
      <c r="C1119" s="227"/>
      <c r="D1119" s="344"/>
      <c r="E1119" s="235"/>
      <c r="F1119" s="235"/>
      <c r="G1119" s="227"/>
      <c r="H1119" s="227"/>
      <c r="I1119" s="350"/>
      <c r="J1119" s="227"/>
      <c r="K1119" s="227"/>
      <c r="L1119" s="224"/>
      <c r="M1119" s="224"/>
      <c r="N1119" s="224"/>
      <c r="O1119" s="224"/>
      <c r="P1119" s="224"/>
      <c r="Q1119" s="224"/>
      <c r="R1119" s="224"/>
      <c r="S1119" s="224"/>
      <c r="T1119" s="224"/>
      <c r="U1119" s="224"/>
      <c r="V1119" s="224"/>
    </row>
    <row r="1120" spans="1:22" s="101" customFormat="1" x14ac:dyDescent="0.3">
      <c r="A1120" s="222"/>
      <c r="B1120" s="235"/>
      <c r="C1120" s="227"/>
      <c r="D1120" s="344"/>
      <c r="E1120" s="235"/>
      <c r="F1120" s="235"/>
      <c r="G1120" s="227"/>
      <c r="H1120" s="227"/>
      <c r="I1120" s="350"/>
      <c r="J1120" s="227"/>
      <c r="K1120" s="227"/>
      <c r="L1120" s="224"/>
      <c r="M1120" s="224"/>
      <c r="N1120" s="224"/>
      <c r="O1120" s="224"/>
      <c r="P1120" s="224"/>
      <c r="Q1120" s="224"/>
      <c r="R1120" s="224"/>
      <c r="S1120" s="224"/>
      <c r="T1120" s="224"/>
      <c r="U1120" s="224"/>
      <c r="V1120" s="224"/>
    </row>
    <row r="1121" spans="1:22" s="101" customFormat="1" x14ac:dyDescent="0.3">
      <c r="A1121" s="222"/>
      <c r="B1121" s="235"/>
      <c r="C1121" s="227"/>
      <c r="D1121" s="344"/>
      <c r="E1121" s="235"/>
      <c r="F1121" s="235"/>
      <c r="G1121" s="227"/>
      <c r="H1121" s="227"/>
      <c r="I1121" s="350"/>
      <c r="J1121" s="227"/>
      <c r="K1121" s="227"/>
      <c r="L1121" s="224"/>
      <c r="M1121" s="224"/>
      <c r="N1121" s="224"/>
      <c r="O1121" s="224"/>
      <c r="P1121" s="224"/>
      <c r="Q1121" s="224"/>
      <c r="R1121" s="224"/>
      <c r="S1121" s="224"/>
      <c r="T1121" s="224"/>
      <c r="U1121" s="224"/>
      <c r="V1121" s="224"/>
    </row>
    <row r="1122" spans="1:22" s="101" customFormat="1" x14ac:dyDescent="0.3">
      <c r="A1122" s="222"/>
      <c r="B1122" s="235"/>
      <c r="C1122" s="227"/>
      <c r="D1122" s="344"/>
      <c r="E1122" s="235"/>
      <c r="F1122" s="235"/>
      <c r="G1122" s="227"/>
      <c r="H1122" s="227"/>
      <c r="I1122" s="350"/>
      <c r="J1122" s="227"/>
      <c r="K1122" s="227"/>
      <c r="L1122" s="224"/>
      <c r="M1122" s="224"/>
      <c r="N1122" s="224"/>
      <c r="O1122" s="224"/>
      <c r="P1122" s="224"/>
      <c r="Q1122" s="224"/>
      <c r="R1122" s="224"/>
      <c r="S1122" s="224"/>
      <c r="T1122" s="224"/>
      <c r="U1122" s="224"/>
      <c r="V1122" s="224"/>
    </row>
    <row r="1123" spans="1:22" s="101" customFormat="1" x14ac:dyDescent="0.3">
      <c r="A1123" s="222"/>
      <c r="B1123" s="235"/>
      <c r="C1123" s="227"/>
      <c r="D1123" s="344"/>
      <c r="E1123" s="235"/>
      <c r="F1123" s="235"/>
      <c r="G1123" s="227"/>
      <c r="H1123" s="227"/>
      <c r="I1123" s="350"/>
      <c r="J1123" s="227"/>
      <c r="K1123" s="227"/>
      <c r="L1123" s="224"/>
      <c r="M1123" s="224"/>
      <c r="N1123" s="224"/>
      <c r="O1123" s="224"/>
      <c r="P1123" s="224"/>
      <c r="Q1123" s="224"/>
      <c r="R1123" s="224"/>
      <c r="S1123" s="224"/>
      <c r="T1123" s="224"/>
      <c r="U1123" s="224"/>
      <c r="V1123" s="224"/>
    </row>
    <row r="1124" spans="1:22" s="101" customFormat="1" x14ac:dyDescent="0.3">
      <c r="A1124" s="222"/>
      <c r="B1124" s="235"/>
      <c r="C1124" s="227"/>
      <c r="D1124" s="344"/>
      <c r="E1124" s="235"/>
      <c r="F1124" s="235"/>
      <c r="G1124" s="227"/>
      <c r="H1124" s="227"/>
      <c r="I1124" s="350"/>
      <c r="J1124" s="227"/>
      <c r="K1124" s="227"/>
      <c r="L1124" s="224"/>
      <c r="M1124" s="224"/>
      <c r="N1124" s="224"/>
      <c r="O1124" s="224"/>
      <c r="P1124" s="224"/>
      <c r="Q1124" s="224"/>
      <c r="R1124" s="224"/>
      <c r="S1124" s="224"/>
      <c r="T1124" s="224"/>
      <c r="U1124" s="224"/>
      <c r="V1124" s="224"/>
    </row>
    <row r="1125" spans="1:22" s="101" customFormat="1" x14ac:dyDescent="0.3">
      <c r="A1125" s="222"/>
      <c r="B1125" s="235"/>
      <c r="C1125" s="227"/>
      <c r="D1125" s="344"/>
      <c r="E1125" s="235"/>
      <c r="F1125" s="235"/>
      <c r="G1125" s="227"/>
      <c r="H1125" s="227"/>
      <c r="I1125" s="350"/>
      <c r="J1125" s="227"/>
      <c r="K1125" s="227"/>
      <c r="L1125" s="224"/>
      <c r="M1125" s="224"/>
      <c r="N1125" s="224"/>
      <c r="O1125" s="224"/>
      <c r="P1125" s="224"/>
      <c r="Q1125" s="224"/>
      <c r="R1125" s="224"/>
      <c r="S1125" s="224"/>
      <c r="T1125" s="224"/>
      <c r="U1125" s="224"/>
      <c r="V1125" s="224"/>
    </row>
    <row r="1126" spans="1:22" s="101" customFormat="1" x14ac:dyDescent="0.3">
      <c r="A1126" s="222"/>
      <c r="B1126" s="235"/>
      <c r="C1126" s="227"/>
      <c r="D1126" s="344"/>
      <c r="E1126" s="235"/>
      <c r="F1126" s="235"/>
      <c r="G1126" s="227"/>
      <c r="H1126" s="227"/>
      <c r="I1126" s="350"/>
      <c r="J1126" s="227"/>
      <c r="K1126" s="227"/>
      <c r="L1126" s="224"/>
      <c r="M1126" s="224"/>
      <c r="N1126" s="224"/>
      <c r="O1126" s="224"/>
      <c r="P1126" s="224"/>
      <c r="Q1126" s="224"/>
      <c r="R1126" s="224"/>
      <c r="S1126" s="224"/>
      <c r="T1126" s="224"/>
      <c r="U1126" s="224"/>
      <c r="V1126" s="224"/>
    </row>
    <row r="1127" spans="1:22" s="101" customFormat="1" x14ac:dyDescent="0.3">
      <c r="A1127" s="222"/>
      <c r="B1127" s="235"/>
      <c r="C1127" s="227"/>
      <c r="D1127" s="344"/>
      <c r="E1127" s="235"/>
      <c r="F1127" s="235"/>
      <c r="G1127" s="227"/>
      <c r="H1127" s="227"/>
      <c r="I1127" s="350"/>
      <c r="J1127" s="227"/>
      <c r="K1127" s="227"/>
      <c r="L1127" s="224"/>
      <c r="M1127" s="224"/>
      <c r="N1127" s="224"/>
      <c r="O1127" s="224"/>
      <c r="P1127" s="224"/>
      <c r="Q1127" s="224"/>
      <c r="R1127" s="224"/>
      <c r="S1127" s="224"/>
      <c r="T1127" s="224"/>
      <c r="U1127" s="224"/>
      <c r="V1127" s="224"/>
    </row>
    <row r="1128" spans="1:22" s="101" customFormat="1" x14ac:dyDescent="0.3">
      <c r="A1128" s="222"/>
      <c r="B1128" s="235"/>
      <c r="C1128" s="227"/>
      <c r="D1128" s="344"/>
      <c r="E1128" s="235"/>
      <c r="F1128" s="235"/>
      <c r="G1128" s="227"/>
      <c r="H1128" s="227"/>
      <c r="I1128" s="350"/>
      <c r="J1128" s="227"/>
      <c r="K1128" s="227"/>
      <c r="L1128" s="224"/>
      <c r="M1128" s="224"/>
      <c r="N1128" s="224"/>
      <c r="O1128" s="224"/>
      <c r="P1128" s="224"/>
      <c r="Q1128" s="224"/>
      <c r="R1128" s="224"/>
      <c r="S1128" s="224"/>
      <c r="T1128" s="224"/>
      <c r="U1128" s="224"/>
      <c r="V1128" s="224"/>
    </row>
    <row r="1129" spans="1:22" s="101" customFormat="1" x14ac:dyDescent="0.3">
      <c r="A1129" s="222"/>
      <c r="B1129" s="235"/>
      <c r="C1129" s="227"/>
      <c r="D1129" s="344"/>
      <c r="E1129" s="235"/>
      <c r="F1129" s="235"/>
      <c r="G1129" s="227"/>
      <c r="H1129" s="227"/>
      <c r="I1129" s="350"/>
      <c r="J1129" s="227"/>
      <c r="K1129" s="227"/>
      <c r="L1129" s="224"/>
      <c r="M1129" s="224"/>
      <c r="N1129" s="224"/>
      <c r="O1129" s="224"/>
      <c r="P1129" s="224"/>
      <c r="Q1129" s="224"/>
      <c r="R1129" s="224"/>
      <c r="S1129" s="224"/>
      <c r="T1129" s="224"/>
      <c r="U1129" s="224"/>
      <c r="V1129" s="224"/>
    </row>
    <row r="1130" spans="1:22" s="101" customFormat="1" x14ac:dyDescent="0.3">
      <c r="A1130" s="222"/>
      <c r="B1130" s="235"/>
      <c r="C1130" s="227"/>
      <c r="D1130" s="344"/>
      <c r="E1130" s="235"/>
      <c r="F1130" s="235"/>
      <c r="G1130" s="227"/>
      <c r="H1130" s="227"/>
      <c r="I1130" s="350"/>
      <c r="J1130" s="227"/>
      <c r="K1130" s="227"/>
      <c r="L1130" s="224"/>
      <c r="M1130" s="224"/>
      <c r="N1130" s="224"/>
      <c r="O1130" s="224"/>
      <c r="P1130" s="224"/>
      <c r="Q1130" s="224"/>
      <c r="R1130" s="224"/>
      <c r="S1130" s="224"/>
      <c r="T1130" s="224"/>
      <c r="U1130" s="224"/>
      <c r="V1130" s="224"/>
    </row>
    <row r="1131" spans="1:22" s="101" customFormat="1" x14ac:dyDescent="0.3">
      <c r="A1131" s="222"/>
      <c r="B1131" s="235"/>
      <c r="C1131" s="227"/>
      <c r="D1131" s="344"/>
      <c r="E1131" s="235"/>
      <c r="F1131" s="235"/>
      <c r="G1131" s="227"/>
      <c r="H1131" s="227"/>
      <c r="I1131" s="350"/>
      <c r="J1131" s="227"/>
      <c r="K1131" s="227"/>
      <c r="L1131" s="224"/>
      <c r="M1131" s="224"/>
      <c r="N1131" s="224"/>
      <c r="O1131" s="224"/>
      <c r="P1131" s="224"/>
      <c r="Q1131" s="224"/>
      <c r="R1131" s="224"/>
      <c r="S1131" s="224"/>
      <c r="T1131" s="224"/>
      <c r="U1131" s="224"/>
      <c r="V1131" s="224"/>
    </row>
    <row r="1132" spans="1:22" s="101" customFormat="1" x14ac:dyDescent="0.3">
      <c r="A1132" s="222"/>
      <c r="B1132" s="235"/>
      <c r="C1132" s="227"/>
      <c r="D1132" s="344"/>
      <c r="E1132" s="235"/>
      <c r="F1132" s="235"/>
      <c r="G1132" s="227"/>
      <c r="H1132" s="227"/>
      <c r="I1132" s="350"/>
      <c r="J1132" s="227"/>
      <c r="K1132" s="227"/>
      <c r="L1132" s="224"/>
      <c r="M1132" s="224"/>
      <c r="N1132" s="224"/>
      <c r="O1132" s="224"/>
      <c r="P1132" s="224"/>
      <c r="Q1132" s="224"/>
      <c r="R1132" s="224"/>
      <c r="S1132" s="224"/>
      <c r="T1132" s="224"/>
      <c r="U1132" s="224"/>
      <c r="V1132" s="224"/>
    </row>
    <row r="1133" spans="1:22" s="101" customFormat="1" x14ac:dyDescent="0.3">
      <c r="A1133" s="222"/>
      <c r="B1133" s="235"/>
      <c r="C1133" s="227"/>
      <c r="D1133" s="344"/>
      <c r="E1133" s="235"/>
      <c r="F1133" s="235"/>
      <c r="G1133" s="227"/>
      <c r="H1133" s="227"/>
      <c r="I1133" s="350"/>
      <c r="J1133" s="227"/>
      <c r="K1133" s="227"/>
      <c r="L1133" s="224"/>
      <c r="M1133" s="224"/>
      <c r="N1133" s="224"/>
      <c r="O1133" s="224"/>
      <c r="P1133" s="224"/>
      <c r="Q1133" s="224"/>
      <c r="R1133" s="224"/>
      <c r="S1133" s="224"/>
      <c r="T1133" s="224"/>
      <c r="U1133" s="224"/>
      <c r="V1133" s="224"/>
    </row>
    <row r="1134" spans="1:22" s="101" customFormat="1" x14ac:dyDescent="0.3">
      <c r="A1134" s="222"/>
      <c r="B1134" s="235"/>
      <c r="C1134" s="227"/>
      <c r="D1134" s="344"/>
      <c r="E1134" s="235"/>
      <c r="F1134" s="235"/>
      <c r="G1134" s="227"/>
      <c r="H1134" s="227"/>
      <c r="I1134" s="350"/>
      <c r="J1134" s="227"/>
      <c r="K1134" s="227"/>
      <c r="L1134" s="224"/>
      <c r="M1134" s="224"/>
      <c r="N1134" s="224"/>
      <c r="O1134" s="224"/>
      <c r="P1134" s="224"/>
      <c r="Q1134" s="224"/>
      <c r="R1134" s="224"/>
      <c r="S1134" s="224"/>
      <c r="T1134" s="224"/>
      <c r="U1134" s="224"/>
      <c r="V1134" s="224"/>
    </row>
    <row r="1135" spans="1:22" s="101" customFormat="1" x14ac:dyDescent="0.3">
      <c r="A1135" s="222"/>
      <c r="B1135" s="235"/>
      <c r="C1135" s="227"/>
      <c r="D1135" s="344"/>
      <c r="E1135" s="235"/>
      <c r="F1135" s="235"/>
      <c r="G1135" s="227"/>
      <c r="H1135" s="227"/>
      <c r="I1135" s="350"/>
      <c r="J1135" s="227"/>
      <c r="K1135" s="227"/>
      <c r="L1135" s="224"/>
      <c r="M1135" s="224"/>
      <c r="N1135" s="224"/>
      <c r="O1135" s="224"/>
      <c r="P1135" s="224"/>
      <c r="Q1135" s="224"/>
      <c r="R1135" s="224"/>
      <c r="S1135" s="224"/>
      <c r="T1135" s="224"/>
      <c r="U1135" s="224"/>
      <c r="V1135" s="224"/>
    </row>
    <row r="1136" spans="1:22" s="101" customFormat="1" x14ac:dyDescent="0.3">
      <c r="A1136" s="222"/>
      <c r="B1136" s="235"/>
      <c r="C1136" s="227"/>
      <c r="D1136" s="344"/>
      <c r="E1136" s="235"/>
      <c r="F1136" s="235"/>
      <c r="G1136" s="227"/>
      <c r="H1136" s="227"/>
      <c r="I1136" s="350"/>
      <c r="J1136" s="227"/>
      <c r="K1136" s="227"/>
      <c r="L1136" s="224"/>
      <c r="M1136" s="224"/>
      <c r="N1136" s="224"/>
      <c r="O1136" s="224"/>
      <c r="P1136" s="224"/>
      <c r="Q1136" s="224"/>
      <c r="R1136" s="224"/>
      <c r="S1136" s="224"/>
      <c r="T1136" s="224"/>
      <c r="U1136" s="224"/>
      <c r="V1136" s="224"/>
    </row>
    <row r="1137" spans="1:22" s="101" customFormat="1" x14ac:dyDescent="0.3">
      <c r="A1137" s="222"/>
      <c r="B1137" s="235"/>
      <c r="C1137" s="227"/>
      <c r="D1137" s="344"/>
      <c r="E1137" s="235"/>
      <c r="F1137" s="235"/>
      <c r="G1137" s="227"/>
      <c r="H1137" s="227"/>
      <c r="I1137" s="350"/>
      <c r="J1137" s="227"/>
      <c r="K1137" s="227"/>
      <c r="L1137" s="224"/>
      <c r="M1137" s="224"/>
      <c r="N1137" s="224"/>
      <c r="O1137" s="224"/>
      <c r="P1137" s="224"/>
      <c r="Q1137" s="224"/>
      <c r="R1137" s="224"/>
      <c r="S1137" s="224"/>
      <c r="T1137" s="224"/>
      <c r="U1137" s="224"/>
      <c r="V1137" s="224"/>
    </row>
    <row r="1138" spans="1:22" s="101" customFormat="1" x14ac:dyDescent="0.3">
      <c r="A1138" s="222"/>
      <c r="B1138" s="235"/>
      <c r="C1138" s="227"/>
      <c r="D1138" s="344"/>
      <c r="E1138" s="235"/>
      <c r="F1138" s="235"/>
      <c r="G1138" s="227"/>
      <c r="H1138" s="227"/>
      <c r="I1138" s="350"/>
      <c r="J1138" s="227"/>
      <c r="K1138" s="227"/>
      <c r="L1138" s="224"/>
      <c r="M1138" s="224"/>
      <c r="N1138" s="224"/>
      <c r="O1138" s="224"/>
      <c r="P1138" s="224"/>
      <c r="Q1138" s="224"/>
      <c r="R1138" s="224"/>
      <c r="S1138" s="224"/>
      <c r="T1138" s="224"/>
      <c r="U1138" s="224"/>
      <c r="V1138" s="224"/>
    </row>
    <row r="1139" spans="1:22" s="101" customFormat="1" x14ac:dyDescent="0.3">
      <c r="A1139" s="222"/>
      <c r="B1139" s="235"/>
      <c r="C1139" s="227"/>
      <c r="D1139" s="344"/>
      <c r="E1139" s="235"/>
      <c r="F1139" s="235"/>
      <c r="G1139" s="227"/>
      <c r="H1139" s="227"/>
      <c r="I1139" s="350"/>
      <c r="J1139" s="227"/>
      <c r="K1139" s="227"/>
      <c r="L1139" s="224"/>
      <c r="M1139" s="224"/>
      <c r="N1139" s="224"/>
      <c r="O1139" s="224"/>
      <c r="P1139" s="224"/>
      <c r="Q1139" s="224"/>
      <c r="R1139" s="224"/>
      <c r="S1139" s="224"/>
      <c r="T1139" s="224"/>
      <c r="U1139" s="224"/>
      <c r="V1139" s="224"/>
    </row>
    <row r="1140" spans="1:22" s="101" customFormat="1" x14ac:dyDescent="0.3">
      <c r="A1140" s="222"/>
      <c r="B1140" s="235"/>
      <c r="C1140" s="227"/>
      <c r="D1140" s="344"/>
      <c r="E1140" s="235"/>
      <c r="F1140" s="235"/>
      <c r="G1140" s="227"/>
      <c r="H1140" s="227"/>
      <c r="I1140" s="350"/>
      <c r="J1140" s="227"/>
      <c r="K1140" s="227"/>
      <c r="L1140" s="224"/>
      <c r="M1140" s="224"/>
      <c r="N1140" s="224"/>
      <c r="O1140" s="224"/>
      <c r="P1140" s="224"/>
      <c r="Q1140" s="224"/>
      <c r="R1140" s="224"/>
      <c r="S1140" s="224"/>
      <c r="T1140" s="224"/>
      <c r="U1140" s="224"/>
      <c r="V1140" s="224"/>
    </row>
    <row r="1141" spans="1:22" s="101" customFormat="1" x14ac:dyDescent="0.3">
      <c r="A1141" s="222"/>
      <c r="B1141" s="235"/>
      <c r="C1141" s="227"/>
      <c r="D1141" s="344"/>
      <c r="E1141" s="235"/>
      <c r="F1141" s="235"/>
      <c r="G1141" s="227"/>
      <c r="H1141" s="227"/>
      <c r="I1141" s="350"/>
      <c r="J1141" s="227"/>
      <c r="K1141" s="227"/>
      <c r="L1141" s="224"/>
      <c r="M1141" s="224"/>
      <c r="N1141" s="224"/>
      <c r="O1141" s="224"/>
      <c r="P1141" s="224"/>
      <c r="Q1141" s="224"/>
      <c r="R1141" s="224"/>
      <c r="S1141" s="224"/>
      <c r="T1141" s="224"/>
      <c r="U1141" s="224"/>
      <c r="V1141" s="224"/>
    </row>
    <row r="1142" spans="1:22" s="101" customFormat="1" x14ac:dyDescent="0.3">
      <c r="A1142" s="222"/>
      <c r="B1142" s="235"/>
      <c r="C1142" s="227"/>
      <c r="D1142" s="344"/>
      <c r="E1142" s="235"/>
      <c r="F1142" s="235"/>
      <c r="G1142" s="227"/>
      <c r="H1142" s="227"/>
      <c r="I1142" s="350"/>
      <c r="J1142" s="227"/>
      <c r="K1142" s="227"/>
      <c r="L1142" s="224"/>
      <c r="M1142" s="224"/>
      <c r="N1142" s="224"/>
      <c r="O1142" s="224"/>
      <c r="P1142" s="224"/>
      <c r="Q1142" s="224"/>
      <c r="R1142" s="224"/>
      <c r="S1142" s="224"/>
      <c r="T1142" s="224"/>
      <c r="U1142" s="224"/>
      <c r="V1142" s="224"/>
    </row>
    <row r="1143" spans="1:22" s="101" customFormat="1" x14ac:dyDescent="0.3">
      <c r="A1143" s="222"/>
      <c r="B1143" s="235"/>
      <c r="C1143" s="227"/>
      <c r="D1143" s="344"/>
      <c r="E1143" s="235"/>
      <c r="F1143" s="235"/>
      <c r="G1143" s="227"/>
      <c r="H1143" s="227"/>
      <c r="I1143" s="350"/>
      <c r="J1143" s="227"/>
      <c r="K1143" s="227"/>
      <c r="L1143" s="224"/>
      <c r="M1143" s="224"/>
      <c r="N1143" s="224"/>
      <c r="O1143" s="224"/>
      <c r="P1143" s="224"/>
      <c r="Q1143" s="224"/>
      <c r="R1143" s="224"/>
      <c r="S1143" s="224"/>
      <c r="T1143" s="224"/>
      <c r="U1143" s="224"/>
      <c r="V1143" s="224"/>
    </row>
    <row r="1144" spans="1:22" s="101" customFormat="1" x14ac:dyDescent="0.3">
      <c r="A1144" s="222"/>
      <c r="B1144" s="235"/>
      <c r="C1144" s="227"/>
      <c r="D1144" s="344"/>
      <c r="E1144" s="235"/>
      <c r="F1144" s="235"/>
      <c r="G1144" s="227"/>
      <c r="H1144" s="227"/>
      <c r="I1144" s="350"/>
      <c r="J1144" s="227"/>
      <c r="K1144" s="227"/>
      <c r="L1144" s="224"/>
      <c r="M1144" s="224"/>
      <c r="N1144" s="224"/>
      <c r="O1144" s="224"/>
      <c r="P1144" s="224"/>
      <c r="Q1144" s="224"/>
      <c r="R1144" s="224"/>
      <c r="S1144" s="224"/>
      <c r="T1144" s="224"/>
      <c r="U1144" s="224"/>
      <c r="V1144" s="224"/>
    </row>
    <row r="1145" spans="1:22" s="101" customFormat="1" x14ac:dyDescent="0.3">
      <c r="A1145" s="222"/>
      <c r="B1145" s="235"/>
      <c r="C1145" s="227"/>
      <c r="D1145" s="344"/>
      <c r="E1145" s="235"/>
      <c r="F1145" s="235"/>
      <c r="G1145" s="227"/>
      <c r="H1145" s="227"/>
      <c r="I1145" s="350"/>
      <c r="J1145" s="227"/>
      <c r="K1145" s="227"/>
      <c r="L1145" s="224"/>
      <c r="M1145" s="224"/>
      <c r="N1145" s="224"/>
      <c r="O1145" s="224"/>
      <c r="P1145" s="224"/>
      <c r="Q1145" s="224"/>
      <c r="R1145" s="224"/>
      <c r="S1145" s="224"/>
      <c r="T1145" s="224"/>
      <c r="U1145" s="224"/>
      <c r="V1145" s="224"/>
    </row>
    <row r="1146" spans="1:22" s="101" customFormat="1" x14ac:dyDescent="0.3">
      <c r="A1146" s="222"/>
      <c r="B1146" s="235"/>
      <c r="C1146" s="227"/>
      <c r="D1146" s="344"/>
      <c r="E1146" s="235"/>
      <c r="F1146" s="235"/>
      <c r="G1146" s="227"/>
      <c r="H1146" s="227"/>
      <c r="I1146" s="350"/>
      <c r="J1146" s="227"/>
      <c r="K1146" s="227"/>
      <c r="L1146" s="224"/>
      <c r="M1146" s="224"/>
      <c r="N1146" s="224"/>
      <c r="O1146" s="224"/>
      <c r="P1146" s="224"/>
      <c r="Q1146" s="224"/>
      <c r="R1146" s="224"/>
      <c r="S1146" s="224"/>
      <c r="T1146" s="224"/>
      <c r="U1146" s="224"/>
      <c r="V1146" s="224"/>
    </row>
    <row r="1147" spans="1:22" s="101" customFormat="1" x14ac:dyDescent="0.3">
      <c r="A1147" s="222"/>
      <c r="B1147" s="235"/>
      <c r="C1147" s="227"/>
      <c r="D1147" s="344"/>
      <c r="E1147" s="235"/>
      <c r="F1147" s="235"/>
      <c r="G1147" s="227"/>
      <c r="H1147" s="227"/>
      <c r="I1147" s="350"/>
      <c r="J1147" s="227"/>
      <c r="K1147" s="227"/>
      <c r="L1147" s="224"/>
      <c r="M1147" s="224"/>
      <c r="N1147" s="224"/>
      <c r="O1147" s="224"/>
      <c r="P1147" s="224"/>
      <c r="Q1147" s="224"/>
      <c r="R1147" s="224"/>
      <c r="S1147" s="224"/>
      <c r="T1147" s="224"/>
      <c r="U1147" s="224"/>
      <c r="V1147" s="224"/>
    </row>
    <row r="1148" spans="1:22" s="101" customFormat="1" x14ac:dyDescent="0.3">
      <c r="A1148" s="222"/>
      <c r="B1148" s="235"/>
      <c r="C1148" s="227"/>
      <c r="D1148" s="344"/>
      <c r="E1148" s="235"/>
      <c r="F1148" s="235"/>
      <c r="G1148" s="227"/>
      <c r="H1148" s="227"/>
      <c r="I1148" s="350"/>
      <c r="J1148" s="227"/>
      <c r="K1148" s="227"/>
      <c r="L1148" s="224"/>
      <c r="M1148" s="224"/>
      <c r="N1148" s="224"/>
      <c r="O1148" s="224"/>
      <c r="P1148" s="224"/>
      <c r="Q1148" s="224"/>
      <c r="R1148" s="224"/>
      <c r="S1148" s="224"/>
      <c r="T1148" s="224"/>
      <c r="U1148" s="224"/>
      <c r="V1148" s="224"/>
    </row>
    <row r="1149" spans="1:22" s="101" customFormat="1" x14ac:dyDescent="0.3">
      <c r="A1149" s="222"/>
      <c r="B1149" s="235"/>
      <c r="C1149" s="227"/>
      <c r="D1149" s="344"/>
      <c r="E1149" s="235"/>
      <c r="F1149" s="235"/>
      <c r="G1149" s="227"/>
      <c r="H1149" s="227"/>
      <c r="I1149" s="350"/>
      <c r="J1149" s="227"/>
      <c r="K1149" s="227"/>
      <c r="L1149" s="224"/>
      <c r="M1149" s="224"/>
      <c r="N1149" s="224"/>
      <c r="O1149" s="224"/>
      <c r="P1149" s="224"/>
      <c r="Q1149" s="224"/>
      <c r="R1149" s="224"/>
      <c r="S1149" s="224"/>
      <c r="T1149" s="224"/>
      <c r="U1149" s="224"/>
      <c r="V1149" s="224"/>
    </row>
    <row r="1150" spans="1:22" s="101" customFormat="1" x14ac:dyDescent="0.3">
      <c r="A1150" s="222"/>
      <c r="B1150" s="235"/>
      <c r="C1150" s="227"/>
      <c r="D1150" s="344"/>
      <c r="E1150" s="235"/>
      <c r="F1150" s="235"/>
      <c r="G1150" s="227"/>
      <c r="H1150" s="227"/>
      <c r="I1150" s="350"/>
      <c r="J1150" s="227"/>
      <c r="K1150" s="227"/>
      <c r="L1150" s="224"/>
      <c r="M1150" s="224"/>
      <c r="N1150" s="224"/>
      <c r="O1150" s="224"/>
      <c r="P1150" s="224"/>
      <c r="Q1150" s="224"/>
      <c r="R1150" s="224"/>
      <c r="S1150" s="224"/>
      <c r="T1150" s="224"/>
      <c r="U1150" s="224"/>
      <c r="V1150" s="224"/>
    </row>
    <row r="1151" spans="1:22" s="101" customFormat="1" x14ac:dyDescent="0.3">
      <c r="A1151" s="222"/>
      <c r="B1151" s="235"/>
      <c r="C1151" s="227"/>
      <c r="D1151" s="344"/>
      <c r="E1151" s="235"/>
      <c r="F1151" s="235"/>
      <c r="G1151" s="227"/>
      <c r="H1151" s="227"/>
      <c r="I1151" s="350"/>
      <c r="J1151" s="227"/>
      <c r="K1151" s="227"/>
      <c r="L1151" s="224"/>
      <c r="M1151" s="224"/>
      <c r="N1151" s="224"/>
      <c r="O1151" s="224"/>
      <c r="P1151" s="224"/>
      <c r="Q1151" s="224"/>
      <c r="R1151" s="224"/>
      <c r="S1151" s="224"/>
      <c r="T1151" s="224"/>
      <c r="U1151" s="224"/>
      <c r="V1151" s="224"/>
    </row>
    <row r="1152" spans="1:22" s="101" customFormat="1" x14ac:dyDescent="0.3">
      <c r="A1152" s="222"/>
      <c r="B1152" s="235"/>
      <c r="C1152" s="227"/>
      <c r="D1152" s="344"/>
      <c r="E1152" s="235"/>
      <c r="F1152" s="235"/>
      <c r="G1152" s="227"/>
      <c r="H1152" s="227"/>
      <c r="I1152" s="350"/>
      <c r="J1152" s="227"/>
      <c r="K1152" s="227"/>
      <c r="L1152" s="224"/>
      <c r="M1152" s="224"/>
      <c r="N1152" s="224"/>
      <c r="O1152" s="224"/>
      <c r="P1152" s="224"/>
      <c r="Q1152" s="224"/>
      <c r="R1152" s="224"/>
      <c r="S1152" s="224"/>
      <c r="T1152" s="224"/>
      <c r="U1152" s="224"/>
      <c r="V1152" s="224"/>
    </row>
    <row r="1153" spans="1:22" s="101" customFormat="1" x14ac:dyDescent="0.3">
      <c r="A1153" s="222"/>
      <c r="B1153" s="235"/>
      <c r="C1153" s="227"/>
      <c r="D1153" s="344"/>
      <c r="E1153" s="235"/>
      <c r="F1153" s="235"/>
      <c r="G1153" s="227"/>
      <c r="H1153" s="227"/>
      <c r="I1153" s="350"/>
      <c r="J1153" s="227"/>
      <c r="K1153" s="227"/>
      <c r="L1153" s="224"/>
      <c r="M1153" s="224"/>
      <c r="N1153" s="224"/>
      <c r="O1153" s="224"/>
      <c r="P1153" s="224"/>
      <c r="Q1153" s="224"/>
      <c r="R1153" s="224"/>
      <c r="S1153" s="224"/>
      <c r="T1153" s="224"/>
      <c r="U1153" s="224"/>
      <c r="V1153" s="224"/>
    </row>
    <row r="1154" spans="1:22" s="101" customFormat="1" x14ac:dyDescent="0.3">
      <c r="A1154" s="222"/>
      <c r="B1154" s="235"/>
      <c r="C1154" s="227"/>
      <c r="D1154" s="344"/>
      <c r="E1154" s="235"/>
      <c r="F1154" s="235"/>
      <c r="G1154" s="227"/>
      <c r="H1154" s="227"/>
      <c r="I1154" s="350"/>
      <c r="J1154" s="227"/>
      <c r="K1154" s="227"/>
      <c r="L1154" s="224"/>
      <c r="M1154" s="224"/>
      <c r="N1154" s="224"/>
      <c r="O1154" s="224"/>
      <c r="P1154" s="224"/>
      <c r="Q1154" s="224"/>
      <c r="R1154" s="224"/>
      <c r="S1154" s="224"/>
      <c r="T1154" s="224"/>
      <c r="U1154" s="224"/>
      <c r="V1154" s="224"/>
    </row>
    <row r="1155" spans="1:22" s="101" customFormat="1" x14ac:dyDescent="0.3">
      <c r="A1155" s="222"/>
      <c r="B1155" s="235"/>
      <c r="C1155" s="227"/>
      <c r="D1155" s="344"/>
      <c r="E1155" s="235"/>
      <c r="F1155" s="235"/>
      <c r="G1155" s="227"/>
      <c r="H1155" s="227"/>
      <c r="I1155" s="350"/>
      <c r="J1155" s="227"/>
      <c r="K1155" s="227"/>
      <c r="L1155" s="224"/>
      <c r="M1155" s="224"/>
      <c r="N1155" s="224"/>
      <c r="O1155" s="224"/>
      <c r="P1155" s="224"/>
      <c r="Q1155" s="224"/>
      <c r="R1155" s="224"/>
      <c r="S1155" s="224"/>
      <c r="T1155" s="224"/>
      <c r="U1155" s="224"/>
      <c r="V1155" s="224"/>
    </row>
    <row r="1156" spans="1:22" s="101" customFormat="1" x14ac:dyDescent="0.3">
      <c r="A1156" s="222"/>
      <c r="B1156" s="235"/>
      <c r="C1156" s="227"/>
      <c r="D1156" s="344"/>
      <c r="E1156" s="235"/>
      <c r="F1156" s="235"/>
      <c r="G1156" s="227"/>
      <c r="H1156" s="227"/>
      <c r="I1156" s="350"/>
      <c r="J1156" s="227"/>
      <c r="K1156" s="227"/>
      <c r="L1156" s="224"/>
      <c r="M1156" s="224"/>
      <c r="N1156" s="224"/>
      <c r="O1156" s="224"/>
      <c r="P1156" s="224"/>
      <c r="Q1156" s="224"/>
      <c r="R1156" s="224"/>
      <c r="S1156" s="224"/>
      <c r="T1156" s="224"/>
      <c r="U1156" s="224"/>
      <c r="V1156" s="224"/>
    </row>
    <row r="1157" spans="1:22" s="101" customFormat="1" x14ac:dyDescent="0.3">
      <c r="A1157" s="222"/>
      <c r="B1157" s="235"/>
      <c r="C1157" s="227"/>
      <c r="D1157" s="344"/>
      <c r="E1157" s="235"/>
      <c r="F1157" s="235"/>
      <c r="G1157" s="227"/>
      <c r="H1157" s="227"/>
      <c r="I1157" s="350"/>
      <c r="J1157" s="227"/>
      <c r="K1157" s="227"/>
      <c r="L1157" s="224"/>
      <c r="M1157" s="224"/>
      <c r="N1157" s="224"/>
      <c r="O1157" s="224"/>
      <c r="P1157" s="224"/>
      <c r="Q1157" s="224"/>
      <c r="R1157" s="224"/>
      <c r="S1157" s="224"/>
      <c r="T1157" s="224"/>
      <c r="U1157" s="224"/>
      <c r="V1157" s="224"/>
    </row>
    <row r="1158" spans="1:22" s="101" customFormat="1" x14ac:dyDescent="0.3">
      <c r="A1158" s="222"/>
      <c r="B1158" s="235"/>
      <c r="C1158" s="227"/>
      <c r="D1158" s="344"/>
      <c r="E1158" s="235"/>
      <c r="F1158" s="235"/>
      <c r="G1158" s="227"/>
      <c r="H1158" s="227"/>
      <c r="I1158" s="350"/>
      <c r="J1158" s="227"/>
      <c r="K1158" s="227"/>
      <c r="L1158" s="224"/>
      <c r="M1158" s="224"/>
      <c r="N1158" s="224"/>
      <c r="O1158" s="224"/>
      <c r="P1158" s="224"/>
      <c r="Q1158" s="224"/>
      <c r="R1158" s="224"/>
      <c r="S1158" s="224"/>
      <c r="T1158" s="224"/>
      <c r="U1158" s="224"/>
      <c r="V1158" s="224"/>
    </row>
    <row r="1159" spans="1:22" s="101" customFormat="1" x14ac:dyDescent="0.3">
      <c r="A1159" s="222"/>
      <c r="B1159" s="235"/>
      <c r="C1159" s="227"/>
      <c r="D1159" s="344"/>
      <c r="E1159" s="235"/>
      <c r="F1159" s="235"/>
      <c r="G1159" s="227"/>
      <c r="H1159" s="227"/>
      <c r="I1159" s="350"/>
      <c r="J1159" s="227"/>
      <c r="K1159" s="227"/>
      <c r="L1159" s="224"/>
      <c r="M1159" s="224"/>
      <c r="N1159" s="224"/>
      <c r="O1159" s="224"/>
      <c r="P1159" s="224"/>
      <c r="Q1159" s="224"/>
      <c r="R1159" s="224"/>
      <c r="S1159" s="224"/>
      <c r="T1159" s="224"/>
      <c r="U1159" s="224"/>
      <c r="V1159" s="224"/>
    </row>
    <row r="1160" spans="1:22" s="101" customFormat="1" x14ac:dyDescent="0.3">
      <c r="A1160" s="222"/>
      <c r="B1160" s="235"/>
      <c r="C1160" s="227"/>
      <c r="D1160" s="344"/>
      <c r="E1160" s="235"/>
      <c r="F1160" s="235"/>
      <c r="G1160" s="227"/>
      <c r="H1160" s="227"/>
      <c r="I1160" s="350"/>
      <c r="J1160" s="227"/>
      <c r="K1160" s="227"/>
      <c r="L1160" s="224"/>
      <c r="M1160" s="224"/>
      <c r="N1160" s="224"/>
      <c r="O1160" s="224"/>
      <c r="P1160" s="224"/>
      <c r="Q1160" s="224"/>
      <c r="R1160" s="224"/>
      <c r="S1160" s="224"/>
      <c r="T1160" s="224"/>
      <c r="U1160" s="224"/>
      <c r="V1160" s="224"/>
    </row>
    <row r="1161" spans="1:22" s="101" customFormat="1" x14ac:dyDescent="0.3">
      <c r="A1161" s="222"/>
      <c r="B1161" s="235"/>
      <c r="C1161" s="227"/>
      <c r="D1161" s="344"/>
      <c r="E1161" s="235"/>
      <c r="F1161" s="235"/>
      <c r="G1161" s="227"/>
      <c r="H1161" s="227"/>
      <c r="I1161" s="350"/>
      <c r="J1161" s="227"/>
      <c r="K1161" s="227"/>
      <c r="L1161" s="224"/>
      <c r="M1161" s="224"/>
      <c r="N1161" s="224"/>
      <c r="O1161" s="224"/>
      <c r="P1161" s="224"/>
      <c r="Q1161" s="224"/>
      <c r="R1161" s="224"/>
      <c r="S1161" s="224"/>
      <c r="T1161" s="224"/>
      <c r="U1161" s="224"/>
      <c r="V1161" s="224"/>
    </row>
    <row r="1162" spans="1:22" s="101" customFormat="1" x14ac:dyDescent="0.3">
      <c r="A1162" s="222"/>
      <c r="B1162" s="235"/>
      <c r="C1162" s="227"/>
      <c r="D1162" s="344"/>
      <c r="E1162" s="235"/>
      <c r="F1162" s="235"/>
      <c r="G1162" s="227"/>
      <c r="H1162" s="227"/>
      <c r="I1162" s="350"/>
      <c r="J1162" s="227"/>
      <c r="K1162" s="227"/>
      <c r="L1162" s="224"/>
      <c r="M1162" s="224"/>
      <c r="N1162" s="224"/>
      <c r="O1162" s="224"/>
      <c r="P1162" s="224"/>
      <c r="Q1162" s="224"/>
      <c r="R1162" s="224"/>
      <c r="S1162" s="224"/>
      <c r="T1162" s="224"/>
      <c r="U1162" s="224"/>
      <c r="V1162" s="224"/>
    </row>
    <row r="1163" spans="1:22" s="101" customFormat="1" x14ac:dyDescent="0.3">
      <c r="A1163" s="222"/>
      <c r="B1163" s="235"/>
      <c r="C1163" s="227"/>
      <c r="D1163" s="344"/>
      <c r="E1163" s="235"/>
      <c r="F1163" s="235"/>
      <c r="G1163" s="227"/>
      <c r="H1163" s="227"/>
      <c r="I1163" s="350"/>
      <c r="J1163" s="227"/>
      <c r="K1163" s="227"/>
      <c r="L1163" s="224"/>
      <c r="M1163" s="224"/>
      <c r="N1163" s="224"/>
      <c r="O1163" s="224"/>
      <c r="P1163" s="224"/>
      <c r="Q1163" s="224"/>
      <c r="R1163" s="224"/>
      <c r="S1163" s="224"/>
      <c r="T1163" s="224"/>
      <c r="U1163" s="224"/>
      <c r="V1163" s="224"/>
    </row>
    <row r="1164" spans="1:22" s="101" customFormat="1" x14ac:dyDescent="0.3">
      <c r="A1164" s="222"/>
      <c r="B1164" s="235"/>
      <c r="C1164" s="227"/>
      <c r="D1164" s="344"/>
      <c r="E1164" s="235"/>
      <c r="F1164" s="235"/>
      <c r="G1164" s="227"/>
      <c r="H1164" s="227"/>
      <c r="I1164" s="350"/>
      <c r="J1164" s="227"/>
      <c r="K1164" s="227"/>
      <c r="L1164" s="224"/>
      <c r="M1164" s="224"/>
      <c r="N1164" s="224"/>
      <c r="O1164" s="224"/>
      <c r="P1164" s="224"/>
      <c r="Q1164" s="224"/>
      <c r="R1164" s="224"/>
      <c r="S1164" s="224"/>
      <c r="T1164" s="224"/>
      <c r="U1164" s="224"/>
      <c r="V1164" s="224"/>
    </row>
    <row r="1165" spans="1:22" s="101" customFormat="1" x14ac:dyDescent="0.3">
      <c r="A1165" s="222"/>
      <c r="B1165" s="235"/>
      <c r="C1165" s="227"/>
      <c r="D1165" s="344"/>
      <c r="E1165" s="235"/>
      <c r="F1165" s="235"/>
      <c r="G1165" s="227"/>
      <c r="H1165" s="227"/>
      <c r="I1165" s="350"/>
      <c r="J1165" s="227"/>
      <c r="K1165" s="227"/>
      <c r="L1165" s="224"/>
      <c r="M1165" s="224"/>
      <c r="N1165" s="224"/>
      <c r="O1165" s="224"/>
      <c r="P1165" s="224"/>
      <c r="Q1165" s="224"/>
      <c r="R1165" s="224"/>
      <c r="S1165" s="224"/>
      <c r="T1165" s="224"/>
      <c r="U1165" s="224"/>
      <c r="V1165" s="224"/>
    </row>
    <row r="1166" spans="1:22" s="101" customFormat="1" x14ac:dyDescent="0.3">
      <c r="A1166" s="222"/>
      <c r="B1166" s="235"/>
      <c r="C1166" s="227"/>
      <c r="D1166" s="344"/>
      <c r="E1166" s="235"/>
      <c r="F1166" s="235"/>
      <c r="G1166" s="227"/>
      <c r="H1166" s="227"/>
      <c r="I1166" s="350"/>
      <c r="J1166" s="227"/>
      <c r="K1166" s="227"/>
      <c r="L1166" s="224"/>
      <c r="M1166" s="224"/>
      <c r="N1166" s="224"/>
      <c r="O1166" s="224"/>
      <c r="P1166" s="224"/>
      <c r="Q1166" s="224"/>
      <c r="R1166" s="224"/>
      <c r="S1166" s="224"/>
      <c r="T1166" s="224"/>
      <c r="U1166" s="224"/>
      <c r="V1166" s="224"/>
    </row>
    <row r="1167" spans="1:22" s="101" customFormat="1" x14ac:dyDescent="0.3">
      <c r="A1167" s="222"/>
      <c r="B1167" s="235"/>
      <c r="C1167" s="227"/>
      <c r="D1167" s="344"/>
      <c r="E1167" s="235"/>
      <c r="F1167" s="235"/>
      <c r="G1167" s="227"/>
      <c r="H1167" s="227"/>
      <c r="I1167" s="350"/>
      <c r="J1167" s="227"/>
      <c r="K1167" s="227"/>
      <c r="L1167" s="224"/>
      <c r="M1167" s="224"/>
      <c r="N1167" s="224"/>
      <c r="O1167" s="224"/>
      <c r="P1167" s="224"/>
      <c r="Q1167" s="224"/>
      <c r="R1167" s="224"/>
      <c r="S1167" s="224"/>
      <c r="T1167" s="224"/>
      <c r="U1167" s="224"/>
      <c r="V1167" s="224"/>
    </row>
    <row r="1168" spans="1:22" s="101" customFormat="1" x14ac:dyDescent="0.3">
      <c r="A1168" s="222"/>
      <c r="B1168" s="235"/>
      <c r="C1168" s="227"/>
      <c r="D1168" s="344"/>
      <c r="E1168" s="235"/>
      <c r="F1168" s="235"/>
      <c r="G1168" s="227"/>
      <c r="H1168" s="227"/>
      <c r="I1168" s="350"/>
      <c r="J1168" s="227"/>
      <c r="K1168" s="227"/>
      <c r="L1168" s="224"/>
      <c r="M1168" s="224"/>
      <c r="N1168" s="224"/>
      <c r="O1168" s="224"/>
      <c r="P1168" s="224"/>
      <c r="Q1168" s="224"/>
      <c r="R1168" s="224"/>
      <c r="S1168" s="224"/>
      <c r="T1168" s="224"/>
      <c r="U1168" s="224"/>
      <c r="V1168" s="224"/>
    </row>
    <row r="1169" spans="1:22" s="101" customFormat="1" x14ac:dyDescent="0.3">
      <c r="A1169" s="222"/>
      <c r="B1169" s="235"/>
      <c r="C1169" s="227"/>
      <c r="D1169" s="344"/>
      <c r="E1169" s="235"/>
      <c r="F1169" s="235"/>
      <c r="G1169" s="227"/>
      <c r="H1169" s="227"/>
      <c r="I1169" s="350"/>
      <c r="J1169" s="227"/>
      <c r="K1169" s="227"/>
      <c r="L1169" s="224"/>
      <c r="M1169" s="224"/>
      <c r="N1169" s="224"/>
      <c r="O1169" s="224"/>
      <c r="P1169" s="224"/>
      <c r="Q1169" s="224"/>
      <c r="R1169" s="224"/>
      <c r="S1169" s="224"/>
      <c r="T1169" s="224"/>
      <c r="U1169" s="224"/>
      <c r="V1169" s="224"/>
    </row>
    <row r="1170" spans="1:22" s="101" customFormat="1" x14ac:dyDescent="0.3">
      <c r="A1170" s="222"/>
      <c r="B1170" s="235"/>
      <c r="C1170" s="227"/>
      <c r="D1170" s="344"/>
      <c r="E1170" s="235"/>
      <c r="F1170" s="235"/>
      <c r="G1170" s="227"/>
      <c r="H1170" s="227"/>
      <c r="I1170" s="350"/>
      <c r="J1170" s="227"/>
      <c r="K1170" s="227"/>
      <c r="L1170" s="224"/>
      <c r="M1170" s="224"/>
      <c r="N1170" s="224"/>
      <c r="O1170" s="224"/>
      <c r="P1170" s="224"/>
      <c r="Q1170" s="224"/>
      <c r="R1170" s="224"/>
      <c r="S1170" s="224"/>
      <c r="T1170" s="224"/>
      <c r="U1170" s="224"/>
      <c r="V1170" s="224"/>
    </row>
    <row r="1171" spans="1:22" s="101" customFormat="1" x14ac:dyDescent="0.3">
      <c r="A1171" s="222"/>
      <c r="B1171" s="235"/>
      <c r="C1171" s="227"/>
      <c r="D1171" s="344"/>
      <c r="E1171" s="235"/>
      <c r="F1171" s="235"/>
      <c r="G1171" s="227"/>
      <c r="H1171" s="227"/>
      <c r="I1171" s="350"/>
      <c r="J1171" s="227"/>
      <c r="K1171" s="227"/>
      <c r="L1171" s="224"/>
      <c r="M1171" s="224"/>
      <c r="N1171" s="224"/>
      <c r="O1171" s="224"/>
      <c r="P1171" s="224"/>
      <c r="Q1171" s="224"/>
      <c r="R1171" s="224"/>
      <c r="S1171" s="224"/>
      <c r="T1171" s="224"/>
      <c r="U1171" s="224"/>
      <c r="V1171" s="224"/>
    </row>
    <row r="1172" spans="1:22" s="101" customFormat="1" x14ac:dyDescent="0.3">
      <c r="A1172" s="222"/>
      <c r="B1172" s="235"/>
      <c r="C1172" s="227"/>
      <c r="D1172" s="344"/>
      <c r="E1172" s="235"/>
      <c r="F1172" s="235"/>
      <c r="G1172" s="227"/>
      <c r="H1172" s="227"/>
      <c r="I1172" s="350"/>
      <c r="J1172" s="227"/>
      <c r="K1172" s="227"/>
      <c r="L1172" s="224"/>
      <c r="M1172" s="224"/>
      <c r="N1172" s="224"/>
      <c r="O1172" s="224"/>
      <c r="P1172" s="224"/>
      <c r="Q1172" s="224"/>
      <c r="R1172" s="224"/>
      <c r="S1172" s="224"/>
      <c r="T1172" s="224"/>
      <c r="U1172" s="224"/>
      <c r="V1172" s="224"/>
    </row>
    <row r="1173" spans="1:22" s="101" customFormat="1" x14ac:dyDescent="0.3">
      <c r="A1173" s="222"/>
      <c r="B1173" s="235"/>
      <c r="C1173" s="227"/>
      <c r="D1173" s="344"/>
      <c r="E1173" s="235"/>
      <c r="F1173" s="235"/>
      <c r="G1173" s="227"/>
      <c r="H1173" s="227"/>
      <c r="I1173" s="350"/>
      <c r="J1173" s="227"/>
      <c r="K1173" s="227"/>
      <c r="L1173" s="224"/>
      <c r="M1173" s="224"/>
      <c r="N1173" s="224"/>
      <c r="O1173" s="224"/>
      <c r="P1173" s="224"/>
      <c r="Q1173" s="224"/>
      <c r="R1173" s="224"/>
      <c r="S1173" s="224"/>
      <c r="T1173" s="224"/>
      <c r="U1173" s="224"/>
      <c r="V1173" s="224"/>
    </row>
    <row r="1174" spans="1:22" s="101" customFormat="1" x14ac:dyDescent="0.3">
      <c r="A1174" s="222"/>
      <c r="B1174" s="235"/>
      <c r="C1174" s="227"/>
      <c r="D1174" s="344"/>
      <c r="E1174" s="235"/>
      <c r="F1174" s="235"/>
      <c r="G1174" s="227"/>
      <c r="H1174" s="227"/>
      <c r="I1174" s="350"/>
      <c r="J1174" s="227"/>
      <c r="K1174" s="227"/>
      <c r="L1174" s="224"/>
      <c r="M1174" s="224"/>
      <c r="N1174" s="224"/>
      <c r="O1174" s="224"/>
      <c r="P1174" s="224"/>
      <c r="Q1174" s="224"/>
      <c r="R1174" s="224"/>
      <c r="S1174" s="224"/>
      <c r="T1174" s="224"/>
      <c r="U1174" s="224"/>
      <c r="V1174" s="224"/>
    </row>
    <row r="1175" spans="1:22" s="101" customFormat="1" x14ac:dyDescent="0.3">
      <c r="A1175" s="222"/>
      <c r="B1175" s="235"/>
      <c r="C1175" s="227"/>
      <c r="D1175" s="344"/>
      <c r="E1175" s="235"/>
      <c r="F1175" s="235"/>
      <c r="G1175" s="227"/>
      <c r="H1175" s="227"/>
      <c r="I1175" s="350"/>
      <c r="J1175" s="227"/>
      <c r="K1175" s="227"/>
      <c r="L1175" s="224"/>
      <c r="M1175" s="224"/>
      <c r="N1175" s="224"/>
      <c r="O1175" s="224"/>
      <c r="P1175" s="224"/>
      <c r="Q1175" s="224"/>
      <c r="R1175" s="224"/>
      <c r="S1175" s="224"/>
      <c r="T1175" s="224"/>
      <c r="U1175" s="224"/>
      <c r="V1175" s="224"/>
    </row>
    <row r="1176" spans="1:22" s="101" customFormat="1" x14ac:dyDescent="0.3">
      <c r="A1176" s="222"/>
      <c r="B1176" s="235"/>
      <c r="C1176" s="227"/>
      <c r="D1176" s="344"/>
      <c r="E1176" s="235"/>
      <c r="F1176" s="235"/>
      <c r="G1176" s="227"/>
      <c r="H1176" s="227"/>
      <c r="I1176" s="350"/>
      <c r="J1176" s="227"/>
      <c r="K1176" s="227"/>
      <c r="L1176" s="224"/>
      <c r="M1176" s="224"/>
      <c r="N1176" s="224"/>
      <c r="O1176" s="224"/>
      <c r="P1176" s="224"/>
      <c r="Q1176" s="224"/>
      <c r="R1176" s="224"/>
      <c r="S1176" s="224"/>
      <c r="T1176" s="224"/>
      <c r="U1176" s="224"/>
      <c r="V1176" s="224"/>
    </row>
    <row r="1177" spans="1:22" x14ac:dyDescent="0.3">
      <c r="A1177" s="222"/>
      <c r="B1177" s="235"/>
      <c r="C1177" s="227"/>
      <c r="D1177" s="344"/>
      <c r="E1177" s="235"/>
      <c r="F1177" s="235"/>
      <c r="G1177" s="227"/>
      <c r="H1177" s="227"/>
      <c r="I1177" s="350"/>
      <c r="J1177" s="227"/>
      <c r="K1177" s="227"/>
      <c r="L1177" s="224"/>
      <c r="M1177" s="224"/>
      <c r="N1177" s="224"/>
      <c r="O1177" s="224"/>
      <c r="P1177" s="224"/>
      <c r="Q1177" s="224"/>
      <c r="R1177" s="224"/>
      <c r="S1177" s="224"/>
      <c r="T1177" s="224"/>
      <c r="U1177" s="224"/>
      <c r="V1177" s="224"/>
    </row>
    <row r="1178" spans="1:22" x14ac:dyDescent="0.3">
      <c r="A1178" s="222"/>
      <c r="B1178" s="235"/>
      <c r="C1178" s="227"/>
      <c r="D1178" s="344"/>
      <c r="E1178" s="235"/>
      <c r="F1178" s="235"/>
      <c r="G1178" s="227"/>
      <c r="H1178" s="227"/>
      <c r="I1178" s="350"/>
      <c r="J1178" s="227"/>
      <c r="K1178" s="227"/>
      <c r="L1178" s="224"/>
      <c r="M1178" s="224"/>
      <c r="N1178" s="224"/>
      <c r="O1178" s="224"/>
      <c r="P1178" s="224"/>
      <c r="Q1178" s="224"/>
      <c r="R1178" s="224"/>
      <c r="S1178" s="224"/>
      <c r="T1178" s="224"/>
      <c r="U1178" s="224"/>
      <c r="V1178" s="224"/>
    </row>
    <row r="1179" spans="1:22" x14ac:dyDescent="0.3">
      <c r="A1179" s="222"/>
      <c r="B1179" s="235"/>
      <c r="C1179" s="227"/>
      <c r="D1179" s="344"/>
      <c r="E1179" s="235"/>
      <c r="F1179" s="235"/>
      <c r="G1179" s="227"/>
      <c r="H1179" s="227"/>
      <c r="I1179" s="350"/>
      <c r="J1179" s="227"/>
      <c r="K1179" s="227"/>
      <c r="L1179" s="224"/>
      <c r="M1179" s="224"/>
      <c r="N1179" s="224"/>
      <c r="O1179" s="224"/>
      <c r="P1179" s="224"/>
      <c r="Q1179" s="224"/>
      <c r="R1179" s="224"/>
      <c r="S1179" s="224"/>
      <c r="T1179" s="224"/>
      <c r="U1179" s="224"/>
      <c r="V1179" s="224"/>
    </row>
    <row r="1180" spans="1:22" x14ac:dyDescent="0.3">
      <c r="A1180" s="222"/>
      <c r="B1180" s="235"/>
      <c r="C1180" s="227"/>
      <c r="D1180" s="344"/>
      <c r="E1180" s="235"/>
      <c r="F1180" s="235"/>
      <c r="G1180" s="227"/>
      <c r="H1180" s="227"/>
      <c r="I1180" s="350"/>
      <c r="J1180" s="227"/>
      <c r="K1180" s="227"/>
      <c r="L1180" s="224"/>
      <c r="M1180" s="224"/>
      <c r="N1180" s="224"/>
      <c r="O1180" s="224"/>
      <c r="P1180" s="224"/>
      <c r="Q1180" s="224"/>
      <c r="R1180" s="224"/>
      <c r="S1180" s="224"/>
      <c r="T1180" s="224"/>
      <c r="U1180" s="224"/>
      <c r="V1180" s="224"/>
    </row>
    <row r="1181" spans="1:22" x14ac:dyDescent="0.3">
      <c r="A1181" s="222"/>
      <c r="B1181" s="235"/>
      <c r="C1181" s="227"/>
      <c r="D1181" s="344"/>
      <c r="E1181" s="235"/>
      <c r="F1181" s="235"/>
      <c r="G1181" s="227"/>
      <c r="H1181" s="227"/>
      <c r="I1181" s="350"/>
      <c r="J1181" s="227"/>
      <c r="K1181" s="227"/>
      <c r="L1181" s="224"/>
      <c r="M1181" s="224"/>
      <c r="N1181" s="224"/>
      <c r="O1181" s="224"/>
      <c r="P1181" s="224"/>
      <c r="Q1181" s="224"/>
      <c r="R1181" s="224"/>
      <c r="S1181" s="224"/>
      <c r="T1181" s="224"/>
      <c r="U1181" s="224"/>
      <c r="V1181" s="224"/>
    </row>
    <row r="1182" spans="1:22" x14ac:dyDescent="0.3">
      <c r="A1182" s="222"/>
      <c r="B1182" s="235"/>
      <c r="C1182" s="227"/>
      <c r="D1182" s="344"/>
      <c r="E1182" s="235"/>
      <c r="F1182" s="235"/>
      <c r="G1182" s="227"/>
      <c r="H1182" s="227"/>
      <c r="I1182" s="350"/>
      <c r="J1182" s="227"/>
      <c r="K1182" s="227"/>
      <c r="L1182" s="224"/>
      <c r="M1182" s="224"/>
      <c r="N1182" s="224"/>
      <c r="O1182" s="224"/>
      <c r="P1182" s="224"/>
      <c r="Q1182" s="224"/>
      <c r="R1182" s="224"/>
      <c r="S1182" s="224"/>
      <c r="T1182" s="224"/>
      <c r="U1182" s="224"/>
      <c r="V1182" s="224"/>
    </row>
    <row r="1183" spans="1:22" x14ac:dyDescent="0.3">
      <c r="A1183" s="222"/>
      <c r="B1183" s="235"/>
      <c r="C1183" s="227"/>
      <c r="D1183" s="344"/>
      <c r="E1183" s="235"/>
      <c r="F1183" s="235"/>
      <c r="G1183" s="227"/>
      <c r="H1183" s="227"/>
      <c r="I1183" s="350"/>
      <c r="J1183" s="227"/>
      <c r="K1183" s="227"/>
      <c r="L1183" s="224"/>
      <c r="M1183" s="224"/>
      <c r="N1183" s="224"/>
      <c r="O1183" s="224"/>
      <c r="P1183" s="224"/>
      <c r="Q1183" s="224"/>
      <c r="R1183" s="224"/>
      <c r="S1183" s="224"/>
      <c r="T1183" s="224"/>
      <c r="U1183" s="224"/>
      <c r="V1183" s="224"/>
    </row>
    <row r="1184" spans="1:22" x14ac:dyDescent="0.3">
      <c r="A1184" s="222"/>
      <c r="B1184" s="235"/>
      <c r="C1184" s="227"/>
      <c r="D1184" s="344"/>
      <c r="E1184" s="235"/>
      <c r="F1184" s="235"/>
      <c r="G1184" s="227"/>
      <c r="H1184" s="227"/>
      <c r="I1184" s="350"/>
      <c r="J1184" s="227"/>
      <c r="K1184" s="227"/>
      <c r="L1184" s="224"/>
      <c r="M1184" s="224"/>
      <c r="N1184" s="224"/>
      <c r="O1184" s="224"/>
      <c r="P1184" s="224"/>
      <c r="Q1184" s="224"/>
      <c r="R1184" s="224"/>
      <c r="S1184" s="224"/>
      <c r="T1184" s="224"/>
      <c r="U1184" s="224"/>
      <c r="V1184" s="224"/>
    </row>
    <row r="1185" spans="1:22" x14ac:dyDescent="0.3">
      <c r="A1185" s="222"/>
      <c r="B1185" s="235"/>
      <c r="C1185" s="227"/>
      <c r="D1185" s="344"/>
      <c r="E1185" s="235"/>
      <c r="F1185" s="235"/>
      <c r="G1185" s="227"/>
      <c r="H1185" s="227"/>
      <c r="I1185" s="350"/>
      <c r="J1185" s="227"/>
      <c r="K1185" s="227"/>
      <c r="L1185" s="224"/>
      <c r="M1185" s="224"/>
      <c r="N1185" s="224"/>
      <c r="O1185" s="224"/>
      <c r="P1185" s="224"/>
      <c r="Q1185" s="224"/>
      <c r="R1185" s="224"/>
      <c r="S1185" s="224"/>
      <c r="T1185" s="224"/>
      <c r="U1185" s="224"/>
      <c r="V1185" s="224"/>
    </row>
    <row r="1186" spans="1:22" x14ac:dyDescent="0.3">
      <c r="A1186" s="222"/>
      <c r="B1186" s="235"/>
      <c r="C1186" s="227"/>
      <c r="D1186" s="344"/>
      <c r="E1186" s="235"/>
      <c r="F1186" s="235"/>
      <c r="G1186" s="227"/>
      <c r="H1186" s="227"/>
      <c r="I1186" s="350"/>
      <c r="J1186" s="227"/>
      <c r="K1186" s="227"/>
      <c r="L1186" s="224"/>
      <c r="M1186" s="224"/>
      <c r="N1186" s="224"/>
      <c r="O1186" s="224"/>
      <c r="P1186" s="224"/>
      <c r="Q1186" s="224"/>
      <c r="R1186" s="224"/>
      <c r="S1186" s="224"/>
      <c r="T1186" s="224"/>
      <c r="U1186" s="224"/>
      <c r="V1186" s="224"/>
    </row>
    <row r="1187" spans="1:22" x14ac:dyDescent="0.3">
      <c r="A1187" s="222"/>
      <c r="B1187" s="235"/>
      <c r="C1187" s="227"/>
      <c r="D1187" s="344"/>
      <c r="E1187" s="235"/>
      <c r="F1187" s="235"/>
      <c r="G1187" s="227"/>
      <c r="H1187" s="227"/>
      <c r="I1187" s="350"/>
      <c r="J1187" s="227"/>
      <c r="K1187" s="227"/>
      <c r="L1187" s="224"/>
      <c r="M1187" s="224"/>
      <c r="N1187" s="224"/>
      <c r="O1187" s="224"/>
      <c r="P1187" s="224"/>
      <c r="Q1187" s="224"/>
      <c r="R1187" s="224"/>
      <c r="S1187" s="224"/>
      <c r="T1187" s="224"/>
      <c r="U1187" s="224"/>
      <c r="V1187" s="224"/>
    </row>
    <row r="1188" spans="1:22" x14ac:dyDescent="0.3">
      <c r="A1188" s="222"/>
      <c r="B1188" s="235"/>
      <c r="C1188" s="227"/>
      <c r="D1188" s="344"/>
      <c r="E1188" s="235"/>
      <c r="F1188" s="235"/>
      <c r="G1188" s="227"/>
      <c r="H1188" s="227"/>
      <c r="I1188" s="350"/>
      <c r="J1188" s="227"/>
      <c r="K1188" s="227"/>
      <c r="L1188" s="224"/>
      <c r="M1188" s="224"/>
      <c r="N1188" s="224"/>
      <c r="O1188" s="224"/>
      <c r="P1188" s="224"/>
      <c r="Q1188" s="224"/>
      <c r="R1188" s="224"/>
      <c r="S1188" s="224"/>
      <c r="T1188" s="224"/>
      <c r="U1188" s="224"/>
      <c r="V1188" s="224"/>
    </row>
    <row r="1189" spans="1:22" x14ac:dyDescent="0.3">
      <c r="A1189" s="222"/>
      <c r="B1189" s="235"/>
      <c r="C1189" s="227"/>
      <c r="D1189" s="344"/>
      <c r="E1189" s="235"/>
      <c r="F1189" s="235"/>
      <c r="G1189" s="227"/>
      <c r="H1189" s="227"/>
      <c r="I1189" s="350"/>
      <c r="J1189" s="227"/>
      <c r="K1189" s="227"/>
      <c r="L1189" s="224"/>
      <c r="M1189" s="224"/>
      <c r="N1189" s="224"/>
      <c r="O1189" s="224"/>
      <c r="P1189" s="224"/>
      <c r="Q1189" s="224"/>
      <c r="R1189" s="224"/>
      <c r="S1189" s="224"/>
      <c r="T1189" s="224"/>
      <c r="U1189" s="224"/>
      <c r="V1189" s="224"/>
    </row>
    <row r="1190" spans="1:22" x14ac:dyDescent="0.3">
      <c r="A1190" s="222"/>
      <c r="B1190" s="235"/>
      <c r="C1190" s="227"/>
      <c r="D1190" s="344"/>
      <c r="E1190" s="235"/>
      <c r="F1190" s="235"/>
      <c r="G1190" s="227"/>
      <c r="H1190" s="227"/>
      <c r="I1190" s="350"/>
      <c r="J1190" s="227"/>
      <c r="K1190" s="227"/>
      <c r="L1190" s="224"/>
      <c r="M1190" s="224"/>
      <c r="N1190" s="224"/>
      <c r="O1190" s="224"/>
      <c r="P1190" s="224"/>
      <c r="Q1190" s="224"/>
      <c r="R1190" s="224"/>
      <c r="S1190" s="224"/>
      <c r="T1190" s="224"/>
      <c r="U1190" s="224"/>
      <c r="V1190" s="224"/>
    </row>
    <row r="1191" spans="1:22" x14ac:dyDescent="0.3">
      <c r="A1191" s="222"/>
      <c r="B1191" s="235"/>
      <c r="C1191" s="227"/>
      <c r="D1191" s="344"/>
      <c r="E1191" s="235"/>
      <c r="F1191" s="235"/>
      <c r="G1191" s="227"/>
      <c r="H1191" s="227"/>
      <c r="I1191" s="350"/>
      <c r="J1191" s="227"/>
      <c r="K1191" s="227"/>
      <c r="L1191" s="224"/>
      <c r="M1191" s="224"/>
      <c r="N1191" s="224"/>
      <c r="O1191" s="224"/>
      <c r="P1191" s="224"/>
      <c r="Q1191" s="224"/>
      <c r="R1191" s="224"/>
      <c r="S1191" s="224"/>
      <c r="T1191" s="224"/>
      <c r="U1191" s="224"/>
      <c r="V1191" s="224"/>
    </row>
    <row r="1192" spans="1:22" x14ac:dyDescent="0.3">
      <c r="A1192" s="222"/>
      <c r="B1192" s="235"/>
      <c r="C1192" s="227"/>
      <c r="D1192" s="344"/>
      <c r="E1192" s="235"/>
      <c r="F1192" s="235"/>
      <c r="G1192" s="227"/>
      <c r="H1192" s="227"/>
      <c r="I1192" s="350"/>
      <c r="J1192" s="227"/>
      <c r="K1192" s="227"/>
      <c r="L1192" s="224"/>
      <c r="M1192" s="224"/>
      <c r="N1192" s="224"/>
      <c r="O1192" s="224"/>
      <c r="P1192" s="224"/>
      <c r="Q1192" s="224"/>
      <c r="R1192" s="224"/>
      <c r="S1192" s="224"/>
      <c r="T1192" s="224"/>
      <c r="U1192" s="224"/>
      <c r="V1192" s="224"/>
    </row>
    <row r="1193" spans="1:22" x14ac:dyDescent="0.3">
      <c r="A1193" s="222"/>
      <c r="B1193" s="235"/>
      <c r="C1193" s="227"/>
      <c r="D1193" s="344"/>
      <c r="E1193" s="235"/>
      <c r="F1193" s="235"/>
      <c r="G1193" s="227"/>
      <c r="H1193" s="227"/>
      <c r="I1193" s="350"/>
      <c r="J1193" s="227"/>
      <c r="K1193" s="227"/>
      <c r="L1193" s="224"/>
      <c r="M1193" s="224"/>
      <c r="N1193" s="224"/>
      <c r="O1193" s="224"/>
      <c r="P1193" s="224"/>
      <c r="Q1193" s="224"/>
      <c r="R1193" s="224"/>
      <c r="S1193" s="224"/>
      <c r="T1193" s="224"/>
      <c r="U1193" s="224"/>
      <c r="V1193" s="224"/>
    </row>
    <row r="1194" spans="1:22" x14ac:dyDescent="0.3">
      <c r="A1194" s="222"/>
      <c r="B1194" s="235"/>
      <c r="C1194" s="227"/>
      <c r="D1194" s="344"/>
      <c r="E1194" s="235"/>
      <c r="F1194" s="235"/>
      <c r="G1194" s="227"/>
      <c r="H1194" s="227"/>
      <c r="I1194" s="350"/>
      <c r="J1194" s="227"/>
      <c r="K1194" s="227"/>
      <c r="L1194" s="224"/>
      <c r="M1194" s="224"/>
      <c r="N1194" s="224"/>
      <c r="O1194" s="224"/>
      <c r="P1194" s="224"/>
      <c r="Q1194" s="224"/>
      <c r="R1194" s="224"/>
      <c r="S1194" s="224"/>
      <c r="T1194" s="224"/>
      <c r="U1194" s="224"/>
      <c r="V1194" s="224"/>
    </row>
    <row r="1195" spans="1:22" x14ac:dyDescent="0.3">
      <c r="A1195" s="222"/>
      <c r="B1195" s="235"/>
      <c r="C1195" s="227"/>
      <c r="D1195" s="344"/>
      <c r="E1195" s="235"/>
      <c r="F1195" s="235"/>
      <c r="G1195" s="227"/>
      <c r="H1195" s="227"/>
      <c r="I1195" s="350"/>
      <c r="J1195" s="227"/>
      <c r="K1195" s="227"/>
      <c r="L1195" s="224"/>
      <c r="M1195" s="224"/>
      <c r="N1195" s="224"/>
      <c r="O1195" s="224"/>
      <c r="P1195" s="224"/>
      <c r="Q1195" s="224"/>
      <c r="R1195" s="224"/>
      <c r="S1195" s="224"/>
      <c r="T1195" s="224"/>
      <c r="U1195" s="224"/>
      <c r="V1195" s="224"/>
    </row>
    <row r="1196" spans="1:22" x14ac:dyDescent="0.3">
      <c r="A1196" s="222"/>
      <c r="B1196" s="235"/>
      <c r="C1196" s="227"/>
      <c r="D1196" s="344"/>
      <c r="E1196" s="235"/>
      <c r="F1196" s="235"/>
      <c r="G1196" s="227"/>
      <c r="H1196" s="227"/>
      <c r="I1196" s="350"/>
      <c r="J1196" s="227"/>
      <c r="K1196" s="227"/>
      <c r="L1196" s="224"/>
      <c r="M1196" s="224"/>
      <c r="N1196" s="224"/>
      <c r="O1196" s="224"/>
      <c r="P1196" s="224"/>
      <c r="Q1196" s="224"/>
      <c r="R1196" s="224"/>
      <c r="S1196" s="224"/>
      <c r="T1196" s="224"/>
      <c r="U1196" s="224"/>
      <c r="V1196" s="224"/>
    </row>
    <row r="1197" spans="1:22" x14ac:dyDescent="0.3">
      <c r="A1197" s="222"/>
      <c r="B1197" s="235"/>
      <c r="C1197" s="227"/>
      <c r="D1197" s="344"/>
      <c r="E1197" s="235"/>
      <c r="F1197" s="235"/>
      <c r="G1197" s="227"/>
      <c r="H1197" s="227"/>
      <c r="I1197" s="350"/>
      <c r="J1197" s="227"/>
      <c r="K1197" s="227"/>
      <c r="L1197" s="224"/>
      <c r="M1197" s="224"/>
      <c r="N1197" s="224"/>
      <c r="O1197" s="224"/>
      <c r="P1197" s="224"/>
      <c r="Q1197" s="224"/>
      <c r="R1197" s="224"/>
      <c r="S1197" s="224"/>
      <c r="T1197" s="224"/>
      <c r="U1197" s="224"/>
      <c r="V1197" s="224"/>
    </row>
    <row r="1198" spans="1:22" x14ac:dyDescent="0.3">
      <c r="A1198" s="222"/>
      <c r="B1198" s="235"/>
      <c r="C1198" s="227"/>
      <c r="D1198" s="344"/>
      <c r="E1198" s="235"/>
      <c r="F1198" s="235"/>
      <c r="G1198" s="227"/>
      <c r="H1198" s="227"/>
      <c r="I1198" s="350"/>
      <c r="J1198" s="227"/>
      <c r="K1198" s="227"/>
      <c r="L1198" s="224"/>
      <c r="M1198" s="224"/>
      <c r="N1198" s="224"/>
      <c r="O1198" s="224"/>
      <c r="P1198" s="224"/>
      <c r="Q1198" s="224"/>
      <c r="R1198" s="224"/>
      <c r="S1198" s="224"/>
      <c r="T1198" s="224"/>
      <c r="U1198" s="224"/>
      <c r="V1198" s="224"/>
    </row>
    <row r="1199" spans="1:22" x14ac:dyDescent="0.3">
      <c r="A1199" s="222"/>
      <c r="B1199" s="235"/>
      <c r="C1199" s="227"/>
      <c r="D1199" s="344"/>
      <c r="E1199" s="235"/>
      <c r="F1199" s="235"/>
      <c r="G1199" s="227"/>
      <c r="H1199" s="227"/>
      <c r="I1199" s="350"/>
      <c r="J1199" s="227"/>
      <c r="K1199" s="227"/>
      <c r="L1199" s="224"/>
      <c r="M1199" s="224"/>
      <c r="N1199" s="224"/>
      <c r="O1199" s="224"/>
      <c r="P1199" s="224"/>
      <c r="Q1199" s="224"/>
      <c r="R1199" s="224"/>
      <c r="S1199" s="224"/>
      <c r="T1199" s="224"/>
      <c r="U1199" s="224"/>
      <c r="V1199" s="224"/>
    </row>
    <row r="1200" spans="1:22" x14ac:dyDescent="0.3">
      <c r="A1200" s="222"/>
      <c r="B1200" s="235"/>
      <c r="C1200" s="227"/>
      <c r="D1200" s="344"/>
      <c r="E1200" s="235"/>
      <c r="F1200" s="235"/>
      <c r="G1200" s="227"/>
      <c r="H1200" s="227"/>
      <c r="I1200" s="350"/>
      <c r="J1200" s="227"/>
      <c r="K1200" s="227"/>
      <c r="L1200" s="224"/>
      <c r="M1200" s="224"/>
      <c r="N1200" s="224"/>
      <c r="O1200" s="224"/>
      <c r="P1200" s="224"/>
      <c r="Q1200" s="224"/>
      <c r="R1200" s="224"/>
      <c r="S1200" s="224"/>
      <c r="T1200" s="224"/>
      <c r="U1200" s="224"/>
      <c r="V1200" s="224"/>
    </row>
    <row r="1201" spans="1:22" x14ac:dyDescent="0.3">
      <c r="A1201" s="222"/>
      <c r="B1201" s="235"/>
      <c r="C1201" s="227"/>
      <c r="D1201" s="344"/>
      <c r="E1201" s="235"/>
      <c r="F1201" s="235"/>
      <c r="G1201" s="227"/>
      <c r="H1201" s="227"/>
      <c r="I1201" s="350"/>
      <c r="J1201" s="227"/>
      <c r="K1201" s="227"/>
      <c r="L1201" s="224"/>
      <c r="M1201" s="224"/>
      <c r="N1201" s="224"/>
      <c r="O1201" s="224"/>
      <c r="P1201" s="224"/>
      <c r="Q1201" s="224"/>
      <c r="R1201" s="224"/>
      <c r="S1201" s="224"/>
      <c r="T1201" s="224"/>
      <c r="U1201" s="224"/>
      <c r="V1201" s="224"/>
    </row>
    <row r="1202" spans="1:22" x14ac:dyDescent="0.3">
      <c r="A1202" s="222"/>
      <c r="B1202" s="235"/>
      <c r="C1202" s="227"/>
      <c r="D1202" s="344"/>
      <c r="E1202" s="235"/>
      <c r="F1202" s="235"/>
      <c r="G1202" s="227"/>
      <c r="H1202" s="227"/>
      <c r="I1202" s="350"/>
      <c r="J1202" s="227"/>
      <c r="K1202" s="227"/>
      <c r="L1202" s="224"/>
      <c r="M1202" s="224"/>
      <c r="N1202" s="224"/>
      <c r="O1202" s="224"/>
      <c r="P1202" s="224"/>
      <c r="Q1202" s="224"/>
      <c r="R1202" s="224"/>
      <c r="S1202" s="224"/>
      <c r="T1202" s="224"/>
      <c r="U1202" s="224"/>
      <c r="V1202" s="224"/>
    </row>
    <row r="1203" spans="1:22" x14ac:dyDescent="0.3">
      <c r="A1203" s="222"/>
      <c r="B1203" s="235"/>
      <c r="C1203" s="227"/>
      <c r="D1203" s="344"/>
      <c r="E1203" s="235"/>
      <c r="F1203" s="235"/>
      <c r="G1203" s="227"/>
      <c r="H1203" s="227"/>
      <c r="I1203" s="350"/>
      <c r="J1203" s="227"/>
      <c r="K1203" s="227"/>
      <c r="L1203" s="224"/>
      <c r="M1203" s="224"/>
      <c r="N1203" s="224"/>
      <c r="O1203" s="224"/>
      <c r="P1203" s="224"/>
      <c r="Q1203" s="224"/>
      <c r="R1203" s="224"/>
      <c r="S1203" s="224"/>
      <c r="T1203" s="224"/>
      <c r="U1203" s="224"/>
      <c r="V1203" s="224"/>
    </row>
    <row r="1204" spans="1:22" x14ac:dyDescent="0.3">
      <c r="A1204" s="222"/>
      <c r="B1204" s="235"/>
      <c r="C1204" s="227"/>
      <c r="D1204" s="344"/>
      <c r="E1204" s="235"/>
      <c r="F1204" s="235"/>
      <c r="G1204" s="227"/>
      <c r="H1204" s="227"/>
      <c r="I1204" s="350"/>
      <c r="J1204" s="227"/>
      <c r="K1204" s="227"/>
      <c r="L1204" s="224"/>
      <c r="M1204" s="224"/>
      <c r="N1204" s="224"/>
      <c r="O1204" s="224"/>
      <c r="P1204" s="224"/>
      <c r="Q1204" s="224"/>
      <c r="R1204" s="224"/>
      <c r="S1204" s="224"/>
      <c r="T1204" s="224"/>
      <c r="U1204" s="224"/>
      <c r="V1204" s="224"/>
    </row>
    <row r="1205" spans="1:22" x14ac:dyDescent="0.3">
      <c r="A1205" s="222"/>
      <c r="B1205" s="235"/>
      <c r="C1205" s="227"/>
      <c r="D1205" s="344"/>
      <c r="E1205" s="235"/>
      <c r="F1205" s="235"/>
      <c r="G1205" s="227"/>
      <c r="H1205" s="227"/>
      <c r="I1205" s="350"/>
      <c r="J1205" s="227"/>
      <c r="K1205" s="227"/>
      <c r="L1205" s="224"/>
      <c r="M1205" s="224"/>
      <c r="N1205" s="224"/>
      <c r="O1205" s="224"/>
      <c r="P1205" s="224"/>
      <c r="Q1205" s="224"/>
      <c r="R1205" s="224"/>
      <c r="S1205" s="224"/>
      <c r="T1205" s="224"/>
      <c r="U1205" s="224"/>
      <c r="V1205" s="224"/>
    </row>
    <row r="1206" spans="1:22" x14ac:dyDescent="0.3">
      <c r="A1206" s="222"/>
      <c r="B1206" s="235"/>
      <c r="C1206" s="227"/>
      <c r="D1206" s="344"/>
      <c r="E1206" s="235"/>
      <c r="F1206" s="235"/>
      <c r="G1206" s="227"/>
      <c r="H1206" s="227"/>
      <c r="I1206" s="350"/>
      <c r="J1206" s="227"/>
      <c r="K1206" s="227"/>
      <c r="L1206" s="224"/>
      <c r="M1206" s="224"/>
      <c r="N1206" s="224"/>
      <c r="O1206" s="224"/>
      <c r="P1206" s="224"/>
      <c r="Q1206" s="224"/>
      <c r="R1206" s="224"/>
      <c r="S1206" s="224"/>
      <c r="T1206" s="224"/>
      <c r="U1206" s="224"/>
      <c r="V1206" s="224"/>
    </row>
    <row r="1207" spans="1:22" x14ac:dyDescent="0.3">
      <c r="A1207" s="222"/>
      <c r="B1207" s="235"/>
      <c r="C1207" s="227"/>
      <c r="D1207" s="344"/>
      <c r="E1207" s="235"/>
      <c r="F1207" s="235"/>
      <c r="G1207" s="227"/>
      <c r="H1207" s="227"/>
      <c r="I1207" s="350"/>
      <c r="J1207" s="227"/>
      <c r="K1207" s="227"/>
      <c r="L1207" s="224"/>
      <c r="M1207" s="224"/>
      <c r="N1207" s="224"/>
      <c r="O1207" s="224"/>
      <c r="P1207" s="224"/>
      <c r="Q1207" s="224"/>
      <c r="R1207" s="224"/>
      <c r="S1207" s="224"/>
      <c r="T1207" s="224"/>
      <c r="U1207" s="224"/>
      <c r="V1207" s="224"/>
    </row>
    <row r="1208" spans="1:22" x14ac:dyDescent="0.3">
      <c r="A1208" s="222"/>
      <c r="B1208" s="235"/>
      <c r="C1208" s="227"/>
      <c r="D1208" s="344"/>
      <c r="E1208" s="235"/>
      <c r="F1208" s="235"/>
      <c r="G1208" s="227"/>
      <c r="H1208" s="227"/>
      <c r="I1208" s="350"/>
      <c r="J1208" s="227"/>
      <c r="K1208" s="227"/>
      <c r="L1208" s="224"/>
      <c r="M1208" s="224"/>
      <c r="N1208" s="224"/>
      <c r="O1208" s="224"/>
      <c r="P1208" s="224"/>
      <c r="Q1208" s="224"/>
      <c r="R1208" s="224"/>
      <c r="S1208" s="224"/>
      <c r="T1208" s="224"/>
      <c r="U1208" s="224"/>
      <c r="V1208" s="224"/>
    </row>
    <row r="1209" spans="1:22" x14ac:dyDescent="0.3">
      <c r="A1209" s="222"/>
      <c r="B1209" s="235"/>
      <c r="C1209" s="227"/>
      <c r="D1209" s="344"/>
      <c r="E1209" s="235"/>
      <c r="F1209" s="235"/>
      <c r="G1209" s="227"/>
      <c r="H1209" s="227"/>
      <c r="I1209" s="350"/>
      <c r="J1209" s="227"/>
      <c r="K1209" s="227"/>
      <c r="L1209" s="224"/>
      <c r="M1209" s="224"/>
      <c r="N1209" s="224"/>
      <c r="O1209" s="224"/>
      <c r="P1209" s="224"/>
      <c r="Q1209" s="224"/>
      <c r="R1209" s="224"/>
      <c r="S1209" s="224"/>
      <c r="T1209" s="224"/>
      <c r="U1209" s="224"/>
      <c r="V1209" s="224"/>
    </row>
    <row r="1210" spans="1:22" x14ac:dyDescent="0.3">
      <c r="A1210" s="222"/>
      <c r="B1210" s="235"/>
      <c r="C1210" s="227"/>
      <c r="D1210" s="344"/>
      <c r="E1210" s="235"/>
      <c r="F1210" s="235"/>
      <c r="G1210" s="227"/>
      <c r="H1210" s="227"/>
      <c r="I1210" s="350"/>
      <c r="J1210" s="227"/>
      <c r="K1210" s="227"/>
      <c r="L1210" s="224"/>
      <c r="M1210" s="224"/>
      <c r="N1210" s="224"/>
      <c r="O1210" s="224"/>
      <c r="P1210" s="224"/>
      <c r="Q1210" s="224"/>
      <c r="R1210" s="224"/>
      <c r="S1210" s="224"/>
      <c r="T1210" s="224"/>
      <c r="U1210" s="224"/>
      <c r="V1210" s="224"/>
    </row>
    <row r="1211" spans="1:22" x14ac:dyDescent="0.3">
      <c r="A1211" s="222"/>
      <c r="B1211" s="235"/>
      <c r="C1211" s="227"/>
      <c r="D1211" s="344"/>
      <c r="E1211" s="235"/>
      <c r="F1211" s="235"/>
      <c r="G1211" s="227"/>
      <c r="H1211" s="227"/>
      <c r="I1211" s="350"/>
      <c r="J1211" s="227"/>
      <c r="K1211" s="227"/>
      <c r="L1211" s="224"/>
      <c r="M1211" s="224"/>
      <c r="N1211" s="224"/>
      <c r="O1211" s="224"/>
      <c r="P1211" s="224"/>
      <c r="Q1211" s="224"/>
      <c r="R1211" s="224"/>
      <c r="S1211" s="224"/>
      <c r="T1211" s="224"/>
      <c r="U1211" s="224"/>
      <c r="V1211" s="224"/>
    </row>
    <row r="1212" spans="1:22" x14ac:dyDescent="0.3">
      <c r="A1212" s="222"/>
      <c r="B1212" s="235"/>
      <c r="C1212" s="227"/>
      <c r="D1212" s="344"/>
      <c r="E1212" s="235"/>
      <c r="F1212" s="235"/>
      <c r="G1212" s="227"/>
      <c r="H1212" s="227"/>
      <c r="I1212" s="350"/>
      <c r="J1212" s="227"/>
      <c r="K1212" s="227"/>
      <c r="L1212" s="224"/>
      <c r="M1212" s="224"/>
      <c r="N1212" s="224"/>
      <c r="O1212" s="224"/>
      <c r="P1212" s="224"/>
      <c r="Q1212" s="224"/>
      <c r="R1212" s="224"/>
      <c r="S1212" s="224"/>
      <c r="T1212" s="224"/>
      <c r="U1212" s="224"/>
      <c r="V1212" s="224"/>
    </row>
    <row r="1213" spans="1:22" x14ac:dyDescent="0.3">
      <c r="A1213" s="222"/>
      <c r="B1213" s="235"/>
      <c r="C1213" s="227"/>
      <c r="D1213" s="344"/>
      <c r="E1213" s="235"/>
      <c r="F1213" s="235"/>
      <c r="G1213" s="227"/>
      <c r="H1213" s="227"/>
      <c r="I1213" s="350"/>
      <c r="J1213" s="227"/>
      <c r="K1213" s="227"/>
      <c r="L1213" s="224"/>
      <c r="M1213" s="224"/>
      <c r="N1213" s="224"/>
      <c r="O1213" s="224"/>
      <c r="P1213" s="224"/>
      <c r="Q1213" s="224"/>
      <c r="R1213" s="224"/>
      <c r="S1213" s="224"/>
      <c r="T1213" s="224"/>
      <c r="U1213" s="224"/>
      <c r="V1213" s="224"/>
    </row>
    <row r="1214" spans="1:22" x14ac:dyDescent="0.3">
      <c r="A1214" s="222"/>
      <c r="B1214" s="235"/>
      <c r="C1214" s="227"/>
      <c r="D1214" s="344"/>
      <c r="E1214" s="235"/>
      <c r="F1214" s="235"/>
      <c r="G1214" s="227"/>
      <c r="H1214" s="227"/>
      <c r="I1214" s="350"/>
      <c r="J1214" s="227"/>
      <c r="K1214" s="227"/>
      <c r="L1214" s="224"/>
      <c r="M1214" s="224"/>
      <c r="N1214" s="224"/>
      <c r="O1214" s="224"/>
      <c r="P1214" s="224"/>
      <c r="Q1214" s="224"/>
      <c r="R1214" s="224"/>
      <c r="S1214" s="224"/>
      <c r="T1214" s="224"/>
      <c r="U1214" s="224"/>
      <c r="V1214" s="224"/>
    </row>
    <row r="1215" spans="1:22" x14ac:dyDescent="0.3">
      <c r="A1215" s="222"/>
      <c r="B1215" s="235"/>
      <c r="C1215" s="227"/>
      <c r="D1215" s="344"/>
      <c r="E1215" s="235"/>
      <c r="F1215" s="235"/>
      <c r="G1215" s="227"/>
      <c r="H1215" s="227"/>
      <c r="I1215" s="350"/>
      <c r="J1215" s="227"/>
      <c r="K1215" s="227"/>
      <c r="L1215" s="224"/>
      <c r="M1215" s="224"/>
      <c r="N1215" s="224"/>
      <c r="O1215" s="224"/>
      <c r="P1215" s="224"/>
      <c r="Q1215" s="224"/>
      <c r="R1215" s="224"/>
      <c r="S1215" s="224"/>
      <c r="T1215" s="224"/>
      <c r="U1215" s="224"/>
      <c r="V1215" s="224"/>
    </row>
    <row r="1216" spans="1:22" x14ac:dyDescent="0.3">
      <c r="A1216" s="222"/>
      <c r="B1216" s="235"/>
      <c r="C1216" s="227"/>
      <c r="D1216" s="344"/>
      <c r="E1216" s="235"/>
      <c r="F1216" s="235"/>
      <c r="G1216" s="227"/>
      <c r="H1216" s="227"/>
      <c r="I1216" s="350"/>
      <c r="J1216" s="227"/>
      <c r="K1216" s="227"/>
      <c r="L1216" s="224"/>
      <c r="M1216" s="224"/>
      <c r="N1216" s="224"/>
      <c r="O1216" s="224"/>
      <c r="P1216" s="224"/>
      <c r="Q1216" s="224"/>
      <c r="R1216" s="224"/>
      <c r="S1216" s="224"/>
      <c r="T1216" s="224"/>
      <c r="U1216" s="224"/>
      <c r="V1216" s="224"/>
    </row>
    <row r="1217" spans="1:22" x14ac:dyDescent="0.3">
      <c r="A1217" s="222"/>
      <c r="B1217" s="235"/>
      <c r="C1217" s="227"/>
      <c r="D1217" s="344"/>
      <c r="E1217" s="235"/>
      <c r="F1217" s="235"/>
      <c r="G1217" s="227"/>
      <c r="H1217" s="227"/>
      <c r="I1217" s="350"/>
      <c r="J1217" s="227"/>
      <c r="K1217" s="227"/>
      <c r="L1217" s="224"/>
      <c r="M1217" s="224"/>
      <c r="N1217" s="224"/>
      <c r="O1217" s="224"/>
      <c r="P1217" s="224"/>
      <c r="Q1217" s="224"/>
      <c r="R1217" s="224"/>
      <c r="S1217" s="224"/>
      <c r="T1217" s="224"/>
      <c r="U1217" s="224"/>
      <c r="V1217" s="224"/>
    </row>
    <row r="1218" spans="1:22" x14ac:dyDescent="0.3">
      <c r="A1218" s="222"/>
      <c r="B1218" s="235"/>
      <c r="C1218" s="227"/>
      <c r="D1218" s="344"/>
      <c r="E1218" s="235"/>
      <c r="F1218" s="235"/>
      <c r="G1218" s="227"/>
      <c r="H1218" s="227"/>
      <c r="I1218" s="350"/>
      <c r="J1218" s="227"/>
      <c r="K1218" s="227"/>
      <c r="L1218" s="224"/>
      <c r="M1218" s="224"/>
      <c r="N1218" s="224"/>
      <c r="O1218" s="224"/>
      <c r="P1218" s="224"/>
      <c r="Q1218" s="224"/>
      <c r="R1218" s="224"/>
      <c r="S1218" s="224"/>
      <c r="T1218" s="224"/>
      <c r="U1218" s="224"/>
      <c r="V1218" s="224"/>
    </row>
    <row r="1219" spans="1:22" x14ac:dyDescent="0.3">
      <c r="A1219" s="222"/>
      <c r="B1219" s="235"/>
      <c r="C1219" s="227"/>
      <c r="D1219" s="344"/>
      <c r="E1219" s="235"/>
      <c r="F1219" s="235"/>
      <c r="G1219" s="227"/>
      <c r="H1219" s="227"/>
      <c r="I1219" s="350"/>
      <c r="J1219" s="227"/>
      <c r="K1219" s="227"/>
      <c r="L1219" s="224"/>
      <c r="M1219" s="224"/>
      <c r="N1219" s="224"/>
      <c r="O1219" s="224"/>
      <c r="P1219" s="224"/>
      <c r="Q1219" s="224"/>
      <c r="R1219" s="224"/>
      <c r="S1219" s="224"/>
      <c r="T1219" s="224"/>
      <c r="U1219" s="224"/>
      <c r="V1219" s="224"/>
    </row>
    <row r="1220" spans="1:22" x14ac:dyDescent="0.3">
      <c r="A1220" s="222"/>
      <c r="B1220" s="235"/>
      <c r="C1220" s="227"/>
      <c r="D1220" s="344"/>
      <c r="E1220" s="235"/>
      <c r="F1220" s="235"/>
      <c r="G1220" s="227"/>
      <c r="H1220" s="227"/>
      <c r="I1220" s="350"/>
      <c r="J1220" s="227"/>
      <c r="K1220" s="227"/>
      <c r="L1220" s="224"/>
      <c r="M1220" s="224"/>
      <c r="N1220" s="224"/>
      <c r="O1220" s="224"/>
      <c r="P1220" s="224"/>
      <c r="Q1220" s="224"/>
      <c r="R1220" s="224"/>
      <c r="S1220" s="224"/>
      <c r="T1220" s="224"/>
      <c r="U1220" s="224"/>
      <c r="V1220" s="224"/>
    </row>
    <row r="1221" spans="1:22" x14ac:dyDescent="0.3">
      <c r="A1221" s="222"/>
      <c r="B1221" s="235"/>
      <c r="C1221" s="227"/>
      <c r="D1221" s="344"/>
      <c r="E1221" s="235"/>
      <c r="F1221" s="235"/>
      <c r="G1221" s="227"/>
      <c r="H1221" s="227"/>
      <c r="I1221" s="350"/>
      <c r="J1221" s="227"/>
      <c r="K1221" s="227"/>
      <c r="L1221" s="224"/>
      <c r="M1221" s="224"/>
      <c r="N1221" s="224"/>
      <c r="O1221" s="224"/>
      <c r="P1221" s="224"/>
      <c r="Q1221" s="224"/>
      <c r="R1221" s="224"/>
      <c r="S1221" s="224"/>
      <c r="T1221" s="224"/>
      <c r="U1221" s="224"/>
      <c r="V1221" s="224"/>
    </row>
    <row r="1222" spans="1:22" x14ac:dyDescent="0.3">
      <c r="A1222" s="222"/>
      <c r="B1222" s="235"/>
      <c r="C1222" s="227"/>
      <c r="D1222" s="344"/>
      <c r="E1222" s="235"/>
      <c r="F1222" s="235"/>
      <c r="G1222" s="227"/>
      <c r="H1222" s="227"/>
      <c r="I1222" s="350"/>
      <c r="J1222" s="227"/>
      <c r="K1222" s="227"/>
      <c r="L1222" s="224"/>
      <c r="M1222" s="224"/>
      <c r="N1222" s="224"/>
      <c r="O1222" s="224"/>
      <c r="P1222" s="224"/>
      <c r="Q1222" s="224"/>
      <c r="R1222" s="224"/>
      <c r="S1222" s="224"/>
      <c r="T1222" s="224"/>
      <c r="U1222" s="224"/>
      <c r="V1222" s="224"/>
    </row>
    <row r="1223" spans="1:22" x14ac:dyDescent="0.3">
      <c r="A1223" s="222"/>
      <c r="B1223" s="235"/>
      <c r="C1223" s="227"/>
      <c r="D1223" s="344"/>
      <c r="E1223" s="235"/>
      <c r="F1223" s="235"/>
      <c r="G1223" s="227"/>
      <c r="H1223" s="227"/>
      <c r="I1223" s="350"/>
      <c r="J1223" s="227"/>
      <c r="K1223" s="227"/>
      <c r="L1223" s="224"/>
      <c r="M1223" s="224"/>
      <c r="N1223" s="224"/>
      <c r="O1223" s="224"/>
      <c r="P1223" s="224"/>
      <c r="Q1223" s="224"/>
      <c r="R1223" s="224"/>
      <c r="S1223" s="224"/>
      <c r="T1223" s="224"/>
      <c r="U1223" s="224"/>
      <c r="V1223" s="224"/>
    </row>
    <row r="1224" spans="1:22" x14ac:dyDescent="0.3">
      <c r="A1224" s="222"/>
      <c r="B1224" s="235"/>
      <c r="C1224" s="227"/>
      <c r="D1224" s="344"/>
      <c r="E1224" s="235"/>
      <c r="F1224" s="235"/>
      <c r="G1224" s="227"/>
      <c r="H1224" s="227"/>
      <c r="I1224" s="350"/>
      <c r="J1224" s="227"/>
      <c r="K1224" s="227"/>
      <c r="L1224" s="224"/>
      <c r="M1224" s="224"/>
      <c r="N1224" s="224"/>
      <c r="O1224" s="224"/>
      <c r="P1224" s="224"/>
      <c r="Q1224" s="224"/>
      <c r="R1224" s="224"/>
      <c r="S1224" s="224"/>
      <c r="T1224" s="224"/>
      <c r="U1224" s="224"/>
      <c r="V1224" s="224"/>
    </row>
    <row r="1225" spans="1:22" x14ac:dyDescent="0.3">
      <c r="A1225" s="222"/>
      <c r="B1225" s="235"/>
      <c r="C1225" s="227"/>
      <c r="D1225" s="344"/>
      <c r="E1225" s="235"/>
      <c r="F1225" s="235"/>
      <c r="G1225" s="227"/>
      <c r="H1225" s="227"/>
      <c r="I1225" s="350"/>
      <c r="J1225" s="227"/>
      <c r="K1225" s="227"/>
      <c r="L1225" s="224"/>
      <c r="M1225" s="224"/>
      <c r="N1225" s="224"/>
      <c r="O1225" s="224"/>
      <c r="P1225" s="224"/>
      <c r="Q1225" s="224"/>
      <c r="R1225" s="224"/>
      <c r="S1225" s="224"/>
      <c r="T1225" s="224"/>
      <c r="U1225" s="224"/>
      <c r="V1225" s="224"/>
    </row>
    <row r="1226" spans="1:22" x14ac:dyDescent="0.3">
      <c r="A1226" s="222"/>
      <c r="B1226" s="235"/>
      <c r="C1226" s="227"/>
      <c r="D1226" s="344"/>
      <c r="E1226" s="235"/>
      <c r="F1226" s="235"/>
      <c r="G1226" s="227"/>
      <c r="H1226" s="227"/>
      <c r="I1226" s="350"/>
      <c r="J1226" s="227"/>
      <c r="K1226" s="227"/>
      <c r="L1226" s="224"/>
      <c r="M1226" s="224"/>
      <c r="N1226" s="224"/>
      <c r="O1226" s="224"/>
      <c r="P1226" s="224"/>
      <c r="Q1226" s="224"/>
      <c r="R1226" s="224"/>
      <c r="S1226" s="224"/>
      <c r="T1226" s="224"/>
      <c r="U1226" s="224"/>
      <c r="V1226" s="224"/>
    </row>
    <row r="1227" spans="1:22" x14ac:dyDescent="0.3">
      <c r="A1227" s="222"/>
      <c r="B1227" s="235"/>
      <c r="C1227" s="227"/>
      <c r="D1227" s="344"/>
      <c r="E1227" s="235"/>
      <c r="F1227" s="235"/>
      <c r="G1227" s="227"/>
      <c r="H1227" s="227"/>
      <c r="I1227" s="350"/>
      <c r="J1227" s="227"/>
      <c r="K1227" s="227"/>
      <c r="L1227" s="224"/>
      <c r="M1227" s="224"/>
      <c r="N1227" s="224"/>
      <c r="O1227" s="224"/>
      <c r="P1227" s="224"/>
      <c r="Q1227" s="224"/>
      <c r="R1227" s="224"/>
      <c r="S1227" s="224"/>
      <c r="T1227" s="224"/>
      <c r="U1227" s="224"/>
      <c r="V1227" s="224"/>
    </row>
    <row r="1228" spans="1:22" x14ac:dyDescent="0.3">
      <c r="A1228" s="222"/>
      <c r="B1228" s="235"/>
      <c r="C1228" s="227"/>
      <c r="D1228" s="344"/>
      <c r="E1228" s="235"/>
      <c r="F1228" s="235"/>
      <c r="G1228" s="227"/>
      <c r="H1228" s="227"/>
      <c r="I1228" s="350"/>
      <c r="J1228" s="227"/>
      <c r="K1228" s="227"/>
      <c r="L1228" s="224"/>
      <c r="M1228" s="224"/>
      <c r="N1228" s="224"/>
      <c r="O1228" s="224"/>
      <c r="P1228" s="224"/>
      <c r="Q1228" s="224"/>
      <c r="R1228" s="224"/>
      <c r="S1228" s="224"/>
      <c r="T1228" s="224"/>
      <c r="U1228" s="224"/>
      <c r="V1228" s="224"/>
    </row>
    <row r="1229" spans="1:22" x14ac:dyDescent="0.3">
      <c r="A1229" s="222"/>
      <c r="B1229" s="235"/>
      <c r="C1229" s="227"/>
      <c r="D1229" s="344"/>
      <c r="E1229" s="235"/>
      <c r="F1229" s="235"/>
      <c r="G1229" s="227"/>
      <c r="H1229" s="227"/>
      <c r="I1229" s="350"/>
      <c r="J1229" s="227"/>
      <c r="K1229" s="227"/>
      <c r="L1229" s="224"/>
      <c r="M1229" s="224"/>
      <c r="N1229" s="224"/>
      <c r="O1229" s="224"/>
      <c r="P1229" s="224"/>
      <c r="Q1229" s="224"/>
      <c r="R1229" s="224"/>
      <c r="S1229" s="224"/>
      <c r="T1229" s="224"/>
      <c r="U1229" s="224"/>
      <c r="V1229" s="224"/>
    </row>
    <row r="1230" spans="1:22" x14ac:dyDescent="0.3">
      <c r="A1230" s="222"/>
      <c r="B1230" s="235"/>
      <c r="C1230" s="227"/>
      <c r="D1230" s="344"/>
      <c r="E1230" s="235"/>
      <c r="F1230" s="235"/>
      <c r="G1230" s="227"/>
      <c r="H1230" s="227"/>
      <c r="I1230" s="350"/>
      <c r="J1230" s="227"/>
      <c r="K1230" s="227"/>
      <c r="L1230" s="224"/>
      <c r="M1230" s="224"/>
      <c r="N1230" s="224"/>
      <c r="O1230" s="224"/>
      <c r="P1230" s="224"/>
      <c r="Q1230" s="224"/>
      <c r="R1230" s="224"/>
      <c r="S1230" s="224"/>
      <c r="T1230" s="224"/>
      <c r="U1230" s="224"/>
      <c r="V1230" s="224"/>
    </row>
    <row r="1231" spans="1:22" x14ac:dyDescent="0.3">
      <c r="A1231" s="222"/>
      <c r="B1231" s="235"/>
      <c r="C1231" s="227"/>
      <c r="D1231" s="344"/>
      <c r="E1231" s="235"/>
      <c r="F1231" s="235"/>
      <c r="G1231" s="227"/>
      <c r="H1231" s="227"/>
      <c r="I1231" s="350"/>
      <c r="J1231" s="227"/>
      <c r="K1231" s="227"/>
      <c r="L1231" s="224"/>
      <c r="M1231" s="224"/>
      <c r="N1231" s="224"/>
      <c r="O1231" s="224"/>
      <c r="P1231" s="224"/>
      <c r="Q1231" s="224"/>
      <c r="R1231" s="224"/>
      <c r="S1231" s="224"/>
      <c r="T1231" s="224"/>
      <c r="U1231" s="224"/>
      <c r="V1231" s="224"/>
    </row>
    <row r="1232" spans="1:22" x14ac:dyDescent="0.3">
      <c r="A1232" s="222"/>
      <c r="B1232" s="235"/>
      <c r="C1232" s="227"/>
      <c r="D1232" s="344"/>
      <c r="E1232" s="235"/>
      <c r="F1232" s="235"/>
      <c r="G1232" s="227"/>
      <c r="H1232" s="227"/>
      <c r="I1232" s="350"/>
      <c r="J1232" s="227"/>
      <c r="K1232" s="227"/>
      <c r="L1232" s="224"/>
      <c r="M1232" s="224"/>
      <c r="N1232" s="224"/>
      <c r="O1232" s="224"/>
      <c r="P1232" s="224"/>
      <c r="Q1232" s="224"/>
      <c r="R1232" s="224"/>
      <c r="S1232" s="224"/>
      <c r="T1232" s="224"/>
      <c r="U1232" s="224"/>
      <c r="V1232" s="224"/>
    </row>
    <row r="1233" spans="1:22" x14ac:dyDescent="0.3">
      <c r="A1233" s="222"/>
      <c r="B1233" s="235"/>
      <c r="C1233" s="227"/>
      <c r="D1233" s="344"/>
      <c r="E1233" s="235"/>
      <c r="F1233" s="235"/>
      <c r="G1233" s="227"/>
      <c r="H1233" s="227"/>
      <c r="I1233" s="350"/>
      <c r="J1233" s="227"/>
      <c r="K1233" s="227"/>
      <c r="L1233" s="224"/>
      <c r="M1233" s="224"/>
      <c r="N1233" s="224"/>
      <c r="O1233" s="224"/>
      <c r="P1233" s="224"/>
      <c r="Q1233" s="224"/>
      <c r="R1233" s="224"/>
      <c r="S1233" s="224"/>
      <c r="T1233" s="224"/>
      <c r="U1233" s="224"/>
      <c r="V1233" s="224"/>
    </row>
    <row r="1234" spans="1:22" x14ac:dyDescent="0.3">
      <c r="A1234" s="222"/>
      <c r="B1234" s="235"/>
      <c r="C1234" s="227"/>
      <c r="D1234" s="344"/>
      <c r="E1234" s="235"/>
      <c r="F1234" s="235"/>
      <c r="G1234" s="227"/>
      <c r="H1234" s="227"/>
      <c r="I1234" s="350"/>
      <c r="J1234" s="227"/>
      <c r="K1234" s="227"/>
      <c r="L1234" s="224"/>
      <c r="M1234" s="224"/>
      <c r="N1234" s="224"/>
      <c r="O1234" s="224"/>
      <c r="P1234" s="224"/>
      <c r="Q1234" s="224"/>
      <c r="R1234" s="224"/>
      <c r="S1234" s="224"/>
      <c r="T1234" s="224"/>
      <c r="U1234" s="224"/>
      <c r="V1234" s="224"/>
    </row>
    <row r="1235" spans="1:22" x14ac:dyDescent="0.3">
      <c r="A1235" s="222"/>
      <c r="B1235" s="235"/>
      <c r="C1235" s="227"/>
      <c r="D1235" s="344"/>
      <c r="E1235" s="235"/>
      <c r="F1235" s="235"/>
      <c r="G1235" s="227"/>
      <c r="H1235" s="227"/>
      <c r="I1235" s="350"/>
      <c r="J1235" s="227"/>
      <c r="K1235" s="227"/>
      <c r="L1235" s="224"/>
      <c r="M1235" s="224"/>
      <c r="N1235" s="224"/>
      <c r="O1235" s="224"/>
      <c r="P1235" s="224"/>
      <c r="Q1235" s="224"/>
      <c r="R1235" s="224"/>
      <c r="S1235" s="224"/>
      <c r="T1235" s="224"/>
      <c r="U1235" s="224"/>
      <c r="V1235" s="224"/>
    </row>
    <row r="1236" spans="1:22" x14ac:dyDescent="0.3">
      <c r="A1236" s="222"/>
      <c r="B1236" s="235"/>
      <c r="C1236" s="227"/>
      <c r="D1236" s="344"/>
      <c r="E1236" s="235"/>
      <c r="F1236" s="235"/>
      <c r="G1236" s="227"/>
      <c r="H1236" s="227"/>
      <c r="I1236" s="350"/>
      <c r="J1236" s="227"/>
      <c r="K1236" s="227"/>
      <c r="L1236" s="224"/>
      <c r="M1236" s="224"/>
      <c r="N1236" s="224"/>
      <c r="O1236" s="224"/>
      <c r="P1236" s="224"/>
      <c r="Q1236" s="224"/>
      <c r="R1236" s="224"/>
      <c r="S1236" s="224"/>
      <c r="T1236" s="224"/>
      <c r="U1236" s="224"/>
      <c r="V1236" s="224"/>
    </row>
    <row r="1237" spans="1:22" x14ac:dyDescent="0.3">
      <c r="A1237" s="222"/>
      <c r="B1237" s="235"/>
      <c r="C1237" s="227"/>
      <c r="D1237" s="344"/>
      <c r="E1237" s="235"/>
      <c r="F1237" s="235"/>
      <c r="G1237" s="227"/>
      <c r="H1237" s="227"/>
      <c r="I1237" s="350"/>
      <c r="J1237" s="227"/>
      <c r="K1237" s="227"/>
      <c r="L1237" s="224"/>
      <c r="M1237" s="224"/>
      <c r="N1237" s="224"/>
      <c r="O1237" s="224"/>
      <c r="P1237" s="224"/>
      <c r="Q1237" s="224"/>
      <c r="R1237" s="224"/>
      <c r="S1237" s="224"/>
      <c r="T1237" s="224"/>
      <c r="U1237" s="224"/>
      <c r="V1237" s="224"/>
    </row>
    <row r="1238" spans="1:22" x14ac:dyDescent="0.3">
      <c r="A1238" s="222"/>
      <c r="B1238" s="235"/>
      <c r="C1238" s="227"/>
      <c r="D1238" s="344"/>
      <c r="E1238" s="235"/>
      <c r="F1238" s="235"/>
      <c r="G1238" s="227"/>
      <c r="H1238" s="227"/>
      <c r="I1238" s="350"/>
      <c r="J1238" s="227"/>
      <c r="K1238" s="227"/>
      <c r="L1238" s="224"/>
      <c r="M1238" s="224"/>
      <c r="N1238" s="224"/>
      <c r="O1238" s="224"/>
      <c r="P1238" s="224"/>
      <c r="Q1238" s="224"/>
      <c r="R1238" s="224"/>
      <c r="S1238" s="224"/>
      <c r="T1238" s="224"/>
      <c r="U1238" s="224"/>
      <c r="V1238" s="224"/>
    </row>
    <row r="1239" spans="1:22" x14ac:dyDescent="0.3">
      <c r="A1239" s="222"/>
      <c r="B1239" s="235"/>
      <c r="C1239" s="227"/>
      <c r="D1239" s="344"/>
      <c r="E1239" s="235"/>
      <c r="F1239" s="235"/>
      <c r="G1239" s="227"/>
      <c r="H1239" s="227"/>
      <c r="I1239" s="350"/>
      <c r="J1239" s="227"/>
      <c r="K1239" s="227"/>
      <c r="L1239" s="224"/>
      <c r="M1239" s="224"/>
      <c r="N1239" s="224"/>
      <c r="O1239" s="224"/>
      <c r="P1239" s="224"/>
      <c r="Q1239" s="224"/>
      <c r="R1239" s="224"/>
      <c r="S1239" s="224"/>
      <c r="T1239" s="224"/>
      <c r="U1239" s="224"/>
      <c r="V1239" s="224"/>
    </row>
    <row r="1240" spans="1:22" x14ac:dyDescent="0.3">
      <c r="A1240" s="222"/>
      <c r="B1240" s="235"/>
      <c r="C1240" s="227"/>
      <c r="D1240" s="344"/>
      <c r="E1240" s="235"/>
      <c r="F1240" s="235"/>
      <c r="G1240" s="227"/>
      <c r="H1240" s="227"/>
      <c r="I1240" s="350"/>
      <c r="J1240" s="227"/>
      <c r="K1240" s="227"/>
      <c r="L1240" s="224"/>
      <c r="M1240" s="224"/>
      <c r="N1240" s="224"/>
      <c r="O1240" s="224"/>
      <c r="P1240" s="224"/>
      <c r="Q1240" s="224"/>
      <c r="R1240" s="224"/>
      <c r="S1240" s="224"/>
      <c r="T1240" s="224"/>
      <c r="U1240" s="224"/>
      <c r="V1240" s="224"/>
    </row>
    <row r="1241" spans="1:22" x14ac:dyDescent="0.3">
      <c r="A1241" s="222"/>
      <c r="B1241" s="235"/>
      <c r="C1241" s="227"/>
      <c r="D1241" s="344"/>
      <c r="E1241" s="235"/>
      <c r="F1241" s="235"/>
      <c r="G1241" s="227"/>
      <c r="H1241" s="227"/>
      <c r="I1241" s="350"/>
      <c r="J1241" s="227"/>
      <c r="K1241" s="227"/>
      <c r="L1241" s="224"/>
      <c r="M1241" s="224"/>
      <c r="N1241" s="224"/>
      <c r="O1241" s="224"/>
      <c r="P1241" s="224"/>
      <c r="Q1241" s="224"/>
      <c r="R1241" s="224"/>
      <c r="S1241" s="224"/>
      <c r="T1241" s="224"/>
      <c r="U1241" s="224"/>
      <c r="V1241" s="224"/>
    </row>
    <row r="1242" spans="1:22" x14ac:dyDescent="0.3">
      <c r="A1242" s="222"/>
      <c r="B1242" s="235"/>
      <c r="C1242" s="227"/>
      <c r="D1242" s="344"/>
      <c r="E1242" s="235"/>
      <c r="F1242" s="235"/>
      <c r="G1242" s="227"/>
      <c r="H1242" s="227"/>
      <c r="I1242" s="350"/>
      <c r="J1242" s="227"/>
      <c r="K1242" s="227"/>
      <c r="L1242" s="224"/>
      <c r="M1242" s="224"/>
      <c r="N1242" s="224"/>
      <c r="O1242" s="224"/>
      <c r="P1242" s="224"/>
      <c r="Q1242" s="224"/>
      <c r="R1242" s="224"/>
      <c r="S1242" s="224"/>
      <c r="T1242" s="224"/>
      <c r="U1242" s="224"/>
      <c r="V1242" s="224"/>
    </row>
    <row r="1243" spans="1:22" x14ac:dyDescent="0.3">
      <c r="A1243" s="222"/>
      <c r="B1243" s="235"/>
      <c r="C1243" s="227"/>
      <c r="D1243" s="344"/>
      <c r="E1243" s="235"/>
      <c r="F1243" s="235"/>
      <c r="G1243" s="227"/>
      <c r="H1243" s="227"/>
      <c r="I1243" s="350"/>
      <c r="J1243" s="227"/>
      <c r="K1243" s="227"/>
      <c r="L1243" s="224"/>
      <c r="M1243" s="224"/>
      <c r="N1243" s="224"/>
      <c r="O1243" s="224"/>
      <c r="P1243" s="224"/>
      <c r="Q1243" s="224"/>
      <c r="R1243" s="224"/>
      <c r="S1243" s="224"/>
      <c r="T1243" s="224"/>
      <c r="U1243" s="224"/>
      <c r="V1243" s="224"/>
    </row>
    <row r="1244" spans="1:22" x14ac:dyDescent="0.3">
      <c r="A1244" s="222"/>
      <c r="B1244" s="235"/>
      <c r="C1244" s="227"/>
      <c r="D1244" s="344"/>
      <c r="E1244" s="235"/>
      <c r="F1244" s="235"/>
      <c r="G1244" s="227"/>
      <c r="H1244" s="227"/>
      <c r="I1244" s="350"/>
      <c r="J1244" s="227"/>
      <c r="K1244" s="227"/>
      <c r="L1244" s="224"/>
      <c r="M1244" s="224"/>
      <c r="N1244" s="224"/>
      <c r="O1244" s="224"/>
      <c r="P1244" s="224"/>
      <c r="Q1244" s="224"/>
      <c r="R1244" s="224"/>
      <c r="S1244" s="224"/>
      <c r="T1244" s="224"/>
      <c r="U1244" s="224"/>
      <c r="V1244" s="224"/>
    </row>
    <row r="1245" spans="1:22" x14ac:dyDescent="0.3">
      <c r="A1245" s="222"/>
      <c r="B1245" s="235"/>
      <c r="C1245" s="227"/>
      <c r="D1245" s="344"/>
      <c r="E1245" s="235"/>
      <c r="F1245" s="235"/>
      <c r="G1245" s="227"/>
      <c r="H1245" s="227"/>
      <c r="I1245" s="350"/>
      <c r="J1245" s="227"/>
      <c r="K1245" s="227"/>
      <c r="L1245" s="224"/>
      <c r="M1245" s="224"/>
      <c r="N1245" s="224"/>
      <c r="O1245" s="224"/>
      <c r="P1245" s="224"/>
      <c r="Q1245" s="224"/>
      <c r="R1245" s="224"/>
      <c r="S1245" s="224"/>
      <c r="T1245" s="224"/>
      <c r="U1245" s="224"/>
      <c r="V1245" s="224"/>
    </row>
    <row r="1246" spans="1:22" x14ac:dyDescent="0.3">
      <c r="A1246" s="222"/>
      <c r="B1246" s="235"/>
      <c r="C1246" s="227"/>
      <c r="D1246" s="344"/>
      <c r="E1246" s="235"/>
      <c r="F1246" s="235"/>
      <c r="G1246" s="227"/>
      <c r="H1246" s="227"/>
      <c r="I1246" s="350"/>
      <c r="J1246" s="227"/>
      <c r="K1246" s="227"/>
      <c r="L1246" s="224"/>
      <c r="M1246" s="224"/>
      <c r="N1246" s="224"/>
      <c r="O1246" s="224"/>
      <c r="P1246" s="224"/>
      <c r="Q1246" s="224"/>
      <c r="R1246" s="224"/>
      <c r="S1246" s="224"/>
      <c r="T1246" s="224"/>
      <c r="U1246" s="224"/>
      <c r="V1246" s="224"/>
    </row>
    <row r="1247" spans="1:22" x14ac:dyDescent="0.3">
      <c r="A1247" s="222"/>
      <c r="B1247" s="235"/>
      <c r="C1247" s="227"/>
      <c r="D1247" s="344"/>
      <c r="E1247" s="235"/>
      <c r="F1247" s="235"/>
      <c r="G1247" s="227"/>
      <c r="H1247" s="227"/>
      <c r="I1247" s="350"/>
      <c r="J1247" s="227"/>
      <c r="K1247" s="227"/>
      <c r="L1247" s="224"/>
      <c r="M1247" s="224"/>
      <c r="N1247" s="224"/>
      <c r="O1247" s="224"/>
      <c r="P1247" s="224"/>
      <c r="Q1247" s="224"/>
      <c r="R1247" s="224"/>
      <c r="S1247" s="224"/>
      <c r="T1247" s="224"/>
      <c r="U1247" s="224"/>
      <c r="V1247" s="224"/>
    </row>
    <row r="1248" spans="1:22" x14ac:dyDescent="0.3">
      <c r="A1248" s="222"/>
      <c r="B1248" s="235"/>
      <c r="C1248" s="227"/>
      <c r="D1248" s="344"/>
      <c r="E1248" s="235"/>
      <c r="F1248" s="235"/>
      <c r="G1248" s="227"/>
      <c r="H1248" s="227"/>
      <c r="I1248" s="350"/>
      <c r="J1248" s="227"/>
      <c r="K1248" s="227"/>
      <c r="L1248" s="224"/>
      <c r="M1248" s="224"/>
      <c r="N1248" s="224"/>
      <c r="O1248" s="224"/>
      <c r="P1248" s="224"/>
      <c r="Q1248" s="224"/>
      <c r="R1248" s="224"/>
      <c r="S1248" s="224"/>
      <c r="T1248" s="224"/>
      <c r="U1248" s="224"/>
      <c r="V1248" s="224"/>
    </row>
    <row r="1249" spans="1:22" x14ac:dyDescent="0.3">
      <c r="A1249" s="222"/>
      <c r="B1249" s="235"/>
      <c r="C1249" s="227"/>
      <c r="D1249" s="344"/>
      <c r="E1249" s="235"/>
      <c r="F1249" s="235"/>
      <c r="G1249" s="227"/>
      <c r="H1249" s="227"/>
      <c r="I1249" s="350"/>
      <c r="J1249" s="227"/>
      <c r="K1249" s="227"/>
      <c r="L1249" s="224"/>
      <c r="M1249" s="224"/>
      <c r="N1249" s="224"/>
      <c r="O1249" s="224"/>
      <c r="P1249" s="224"/>
      <c r="Q1249" s="224"/>
      <c r="R1249" s="224"/>
      <c r="S1249" s="224"/>
      <c r="T1249" s="224"/>
      <c r="U1249" s="224"/>
      <c r="V1249" s="224"/>
    </row>
    <row r="1250" spans="1:22" x14ac:dyDescent="0.3">
      <c r="A1250" s="222"/>
      <c r="B1250" s="235"/>
      <c r="C1250" s="227"/>
      <c r="D1250" s="344"/>
      <c r="E1250" s="235"/>
      <c r="F1250" s="235"/>
      <c r="G1250" s="227"/>
      <c r="H1250" s="227"/>
      <c r="I1250" s="350"/>
      <c r="J1250" s="227"/>
      <c r="K1250" s="227"/>
      <c r="L1250" s="224"/>
      <c r="M1250" s="224"/>
      <c r="N1250" s="224"/>
      <c r="O1250" s="224"/>
      <c r="P1250" s="224"/>
      <c r="Q1250" s="224"/>
      <c r="R1250" s="224"/>
      <c r="S1250" s="224"/>
      <c r="T1250" s="224"/>
      <c r="U1250" s="224"/>
      <c r="V1250" s="224"/>
    </row>
    <row r="1251" spans="1:22" x14ac:dyDescent="0.3">
      <c r="A1251" s="222"/>
      <c r="B1251" s="235"/>
      <c r="C1251" s="227"/>
      <c r="D1251" s="344"/>
      <c r="E1251" s="235"/>
      <c r="F1251" s="235"/>
      <c r="G1251" s="227"/>
      <c r="H1251" s="227"/>
      <c r="I1251" s="350"/>
      <c r="J1251" s="227"/>
      <c r="K1251" s="227"/>
      <c r="L1251" s="224"/>
      <c r="M1251" s="224"/>
      <c r="N1251" s="224"/>
      <c r="O1251" s="224"/>
      <c r="P1251" s="224"/>
      <c r="Q1251" s="224"/>
      <c r="R1251" s="224"/>
      <c r="S1251" s="224"/>
      <c r="T1251" s="224"/>
      <c r="U1251" s="224"/>
      <c r="V1251" s="224"/>
    </row>
    <row r="1252" spans="1:22" x14ac:dyDescent="0.3">
      <c r="A1252" s="222"/>
      <c r="B1252" s="235"/>
      <c r="C1252" s="227"/>
      <c r="D1252" s="344"/>
      <c r="E1252" s="235"/>
      <c r="F1252" s="235"/>
      <c r="G1252" s="227"/>
      <c r="H1252" s="227"/>
      <c r="I1252" s="350"/>
      <c r="J1252" s="227"/>
      <c r="K1252" s="227"/>
      <c r="L1252" s="224"/>
      <c r="M1252" s="224"/>
      <c r="N1252" s="224"/>
      <c r="O1252" s="224"/>
      <c r="P1252" s="224"/>
      <c r="Q1252" s="224"/>
      <c r="R1252" s="224"/>
      <c r="S1252" s="224"/>
      <c r="T1252" s="224"/>
      <c r="U1252" s="224"/>
      <c r="V1252" s="224"/>
    </row>
    <row r="1253" spans="1:22" x14ac:dyDescent="0.3">
      <c r="A1253" s="222"/>
      <c r="B1253" s="235"/>
      <c r="C1253" s="227"/>
      <c r="D1253" s="344"/>
      <c r="E1253" s="235"/>
      <c r="F1253" s="235"/>
      <c r="G1253" s="227"/>
      <c r="H1253" s="227"/>
      <c r="I1253" s="350"/>
      <c r="J1253" s="227"/>
      <c r="K1253" s="227"/>
      <c r="L1253" s="224"/>
      <c r="M1253" s="224"/>
      <c r="N1253" s="224"/>
      <c r="O1253" s="224"/>
      <c r="P1253" s="224"/>
      <c r="Q1253" s="224"/>
      <c r="R1253" s="224"/>
      <c r="S1253" s="224"/>
      <c r="T1253" s="224"/>
      <c r="U1253" s="224"/>
      <c r="V1253" s="224"/>
    </row>
    <row r="1254" spans="1:22" x14ac:dyDescent="0.3">
      <c r="A1254" s="222"/>
      <c r="B1254" s="235"/>
      <c r="C1254" s="227"/>
      <c r="D1254" s="344"/>
      <c r="E1254" s="235"/>
      <c r="F1254" s="235"/>
      <c r="G1254" s="227"/>
      <c r="H1254" s="227"/>
      <c r="I1254" s="350"/>
      <c r="J1254" s="227"/>
      <c r="K1254" s="227"/>
      <c r="L1254" s="224"/>
      <c r="M1254" s="224"/>
      <c r="N1254" s="224"/>
      <c r="O1254" s="224"/>
      <c r="P1254" s="224"/>
      <c r="Q1254" s="224"/>
      <c r="R1254" s="224"/>
      <c r="S1254" s="224"/>
      <c r="T1254" s="224"/>
      <c r="U1254" s="224"/>
      <c r="V1254" s="224"/>
    </row>
    <row r="1255" spans="1:22" x14ac:dyDescent="0.3">
      <c r="A1255" s="222"/>
      <c r="B1255" s="235"/>
      <c r="C1255" s="227"/>
      <c r="D1255" s="344"/>
      <c r="E1255" s="235"/>
      <c r="F1255" s="235"/>
      <c r="G1255" s="227"/>
      <c r="H1255" s="227"/>
      <c r="I1255" s="350"/>
      <c r="J1255" s="227"/>
      <c r="K1255" s="227"/>
      <c r="L1255" s="224"/>
      <c r="M1255" s="224"/>
      <c r="N1255" s="224"/>
      <c r="O1255" s="224"/>
      <c r="P1255" s="224"/>
      <c r="Q1255" s="224"/>
      <c r="R1255" s="224"/>
      <c r="S1255" s="224"/>
      <c r="T1255" s="224"/>
      <c r="U1255" s="224"/>
      <c r="V1255" s="224"/>
    </row>
    <row r="1256" spans="1:22" x14ac:dyDescent="0.3">
      <c r="A1256" s="222"/>
      <c r="B1256" s="235"/>
      <c r="C1256" s="227"/>
      <c r="D1256" s="344"/>
      <c r="E1256" s="235"/>
      <c r="F1256" s="235"/>
      <c r="G1256" s="227"/>
      <c r="H1256" s="227"/>
      <c r="I1256" s="350"/>
      <c r="J1256" s="227"/>
      <c r="K1256" s="227"/>
      <c r="L1256" s="224"/>
      <c r="M1256" s="224"/>
      <c r="N1256" s="224"/>
      <c r="O1256" s="224"/>
      <c r="P1256" s="224"/>
      <c r="Q1256" s="224"/>
      <c r="R1256" s="224"/>
      <c r="S1256" s="224"/>
      <c r="T1256" s="224"/>
      <c r="U1256" s="224"/>
      <c r="V1256" s="224"/>
    </row>
    <row r="1257" spans="1:22" x14ac:dyDescent="0.3">
      <c r="A1257" s="222"/>
      <c r="B1257" s="235"/>
      <c r="C1257" s="227"/>
      <c r="D1257" s="344"/>
      <c r="E1257" s="235"/>
      <c r="F1257" s="235"/>
      <c r="G1257" s="227"/>
      <c r="H1257" s="227"/>
      <c r="I1257" s="350"/>
      <c r="J1257" s="227"/>
      <c r="K1257" s="227"/>
      <c r="L1257" s="224"/>
      <c r="M1257" s="224"/>
      <c r="N1257" s="224"/>
      <c r="O1257" s="224"/>
      <c r="P1257" s="224"/>
      <c r="Q1257" s="224"/>
      <c r="R1257" s="224"/>
      <c r="S1257" s="224"/>
      <c r="T1257" s="224"/>
      <c r="U1257" s="224"/>
      <c r="V1257" s="224"/>
    </row>
    <row r="1258" spans="1:22" x14ac:dyDescent="0.3">
      <c r="A1258" s="222"/>
      <c r="B1258" s="235"/>
      <c r="C1258" s="227"/>
      <c r="D1258" s="344"/>
      <c r="E1258" s="235"/>
      <c r="F1258" s="235"/>
      <c r="G1258" s="227"/>
      <c r="H1258" s="227"/>
      <c r="I1258" s="350"/>
      <c r="J1258" s="227"/>
      <c r="K1258" s="227"/>
      <c r="L1258" s="224"/>
      <c r="M1258" s="224"/>
      <c r="N1258" s="224"/>
      <c r="O1258" s="224"/>
      <c r="P1258" s="224"/>
      <c r="Q1258" s="224"/>
      <c r="R1258" s="224"/>
      <c r="S1258" s="224"/>
      <c r="T1258" s="224"/>
      <c r="U1258" s="224"/>
      <c r="V1258" s="224"/>
    </row>
    <row r="1259" spans="1:22" x14ac:dyDescent="0.3">
      <c r="A1259" s="222"/>
      <c r="B1259" s="235"/>
      <c r="C1259" s="227"/>
      <c r="D1259" s="344"/>
      <c r="E1259" s="235"/>
      <c r="F1259" s="235"/>
      <c r="G1259" s="227"/>
      <c r="H1259" s="227"/>
      <c r="I1259" s="350"/>
      <c r="J1259" s="227"/>
      <c r="K1259" s="227"/>
      <c r="L1259" s="224"/>
      <c r="M1259" s="224"/>
      <c r="N1259" s="224"/>
      <c r="O1259" s="224"/>
      <c r="P1259" s="224"/>
      <c r="Q1259" s="224"/>
      <c r="R1259" s="224"/>
      <c r="S1259" s="224"/>
      <c r="T1259" s="224"/>
      <c r="U1259" s="224"/>
      <c r="V1259" s="224"/>
    </row>
    <row r="1260" spans="1:22" x14ac:dyDescent="0.3">
      <c r="A1260" s="222"/>
      <c r="B1260" s="235"/>
      <c r="C1260" s="227"/>
      <c r="D1260" s="344"/>
      <c r="E1260" s="235"/>
      <c r="F1260" s="235"/>
      <c r="G1260" s="227"/>
      <c r="H1260" s="227"/>
      <c r="I1260" s="350"/>
      <c r="J1260" s="227"/>
      <c r="K1260" s="227"/>
      <c r="L1260" s="224"/>
      <c r="M1260" s="224"/>
      <c r="N1260" s="224"/>
      <c r="O1260" s="224"/>
      <c r="P1260" s="224"/>
      <c r="Q1260" s="224"/>
      <c r="R1260" s="224"/>
      <c r="S1260" s="224"/>
      <c r="T1260" s="224"/>
      <c r="U1260" s="224"/>
      <c r="V1260" s="224"/>
    </row>
    <row r="1261" spans="1:22" x14ac:dyDescent="0.3">
      <c r="A1261" s="222"/>
      <c r="B1261" s="235"/>
      <c r="C1261" s="227"/>
      <c r="D1261" s="344"/>
      <c r="E1261" s="235"/>
      <c r="F1261" s="235"/>
      <c r="G1261" s="227"/>
      <c r="H1261" s="227"/>
      <c r="I1261" s="350"/>
      <c r="J1261" s="227"/>
      <c r="K1261" s="227"/>
      <c r="L1261" s="224"/>
      <c r="M1261" s="224"/>
      <c r="N1261" s="224"/>
      <c r="O1261" s="224"/>
      <c r="P1261" s="224"/>
      <c r="Q1261" s="224"/>
      <c r="R1261" s="224"/>
      <c r="S1261" s="224"/>
      <c r="T1261" s="224"/>
      <c r="U1261" s="224"/>
      <c r="V1261" s="224"/>
    </row>
    <row r="1262" spans="1:22" x14ac:dyDescent="0.3">
      <c r="A1262" s="222"/>
      <c r="B1262" s="235"/>
      <c r="C1262" s="227"/>
      <c r="D1262" s="344"/>
      <c r="E1262" s="235"/>
      <c r="F1262" s="235"/>
      <c r="G1262" s="227"/>
      <c r="H1262" s="227"/>
      <c r="I1262" s="350"/>
      <c r="J1262" s="227"/>
      <c r="K1262" s="227"/>
      <c r="L1262" s="224"/>
      <c r="M1262" s="224"/>
      <c r="N1262" s="224"/>
      <c r="O1262" s="224"/>
      <c r="P1262" s="224"/>
      <c r="Q1262" s="224"/>
      <c r="R1262" s="224"/>
      <c r="S1262" s="224"/>
      <c r="T1262" s="224"/>
      <c r="U1262" s="224"/>
      <c r="V1262" s="224"/>
    </row>
    <row r="1263" spans="1:22" x14ac:dyDescent="0.3">
      <c r="A1263" s="222"/>
      <c r="B1263" s="235"/>
      <c r="C1263" s="227"/>
      <c r="D1263" s="344"/>
      <c r="E1263" s="235"/>
      <c r="F1263" s="235"/>
      <c r="G1263" s="227"/>
      <c r="H1263" s="227"/>
      <c r="I1263" s="350"/>
      <c r="J1263" s="227"/>
      <c r="K1263" s="227"/>
      <c r="L1263" s="224"/>
      <c r="M1263" s="224"/>
      <c r="N1263" s="224"/>
      <c r="O1263" s="224"/>
      <c r="P1263" s="224"/>
      <c r="Q1263" s="224"/>
      <c r="R1263" s="224"/>
      <c r="S1263" s="224"/>
      <c r="T1263" s="224"/>
      <c r="U1263" s="224"/>
      <c r="V1263" s="224"/>
    </row>
    <row r="1264" spans="1:22" x14ac:dyDescent="0.3">
      <c r="A1264" s="222"/>
      <c r="B1264" s="235"/>
      <c r="C1264" s="227"/>
      <c r="D1264" s="344"/>
      <c r="E1264" s="235"/>
      <c r="F1264" s="235"/>
      <c r="G1264" s="227"/>
      <c r="H1264" s="227"/>
      <c r="I1264" s="350"/>
      <c r="J1264" s="227"/>
      <c r="K1264" s="227"/>
      <c r="L1264" s="224"/>
      <c r="M1264" s="224"/>
      <c r="N1264" s="224"/>
      <c r="O1264" s="224"/>
      <c r="P1264" s="224"/>
      <c r="Q1264" s="224"/>
      <c r="R1264" s="224"/>
      <c r="S1264" s="224"/>
      <c r="T1264" s="224"/>
      <c r="U1264" s="224"/>
      <c r="V1264" s="224"/>
    </row>
    <row r="1265" spans="1:22" x14ac:dyDescent="0.3">
      <c r="A1265" s="222"/>
      <c r="B1265" s="235"/>
      <c r="C1265" s="227"/>
      <c r="D1265" s="344"/>
      <c r="E1265" s="235"/>
      <c r="F1265" s="235"/>
      <c r="G1265" s="227"/>
      <c r="H1265" s="227"/>
      <c r="I1265" s="350"/>
      <c r="J1265" s="227"/>
      <c r="K1265" s="227"/>
      <c r="L1265" s="224"/>
      <c r="M1265" s="224"/>
      <c r="N1265" s="224"/>
      <c r="O1265" s="224"/>
      <c r="P1265" s="224"/>
      <c r="Q1265" s="224"/>
      <c r="R1265" s="224"/>
      <c r="S1265" s="224"/>
      <c r="T1265" s="224"/>
      <c r="U1265" s="224"/>
      <c r="V1265" s="224"/>
    </row>
    <row r="1266" spans="1:22" x14ac:dyDescent="0.3">
      <c r="A1266" s="222"/>
      <c r="B1266" s="235"/>
      <c r="C1266" s="227"/>
      <c r="D1266" s="344"/>
      <c r="E1266" s="235"/>
      <c r="F1266" s="235"/>
      <c r="G1266" s="227"/>
      <c r="H1266" s="227"/>
      <c r="I1266" s="350"/>
      <c r="J1266" s="227"/>
      <c r="K1266" s="227"/>
      <c r="L1266" s="224"/>
      <c r="M1266" s="224"/>
      <c r="N1266" s="224"/>
      <c r="O1266" s="224"/>
      <c r="P1266" s="224"/>
      <c r="Q1266" s="224"/>
      <c r="R1266" s="224"/>
      <c r="S1266" s="224"/>
      <c r="T1266" s="224"/>
      <c r="U1266" s="224"/>
      <c r="V1266" s="224"/>
    </row>
    <row r="1267" spans="1:22" x14ac:dyDescent="0.3">
      <c r="A1267" s="222"/>
      <c r="B1267" s="235"/>
      <c r="C1267" s="227"/>
      <c r="D1267" s="344"/>
      <c r="E1267" s="235"/>
      <c r="F1267" s="235"/>
      <c r="G1267" s="227"/>
      <c r="H1267" s="227"/>
      <c r="I1267" s="350"/>
      <c r="J1267" s="227"/>
      <c r="K1267" s="227"/>
      <c r="L1267" s="224"/>
      <c r="M1267" s="224"/>
      <c r="N1267" s="224"/>
      <c r="O1267" s="224"/>
      <c r="P1267" s="224"/>
      <c r="Q1267" s="224"/>
      <c r="R1267" s="224"/>
      <c r="S1267" s="224"/>
      <c r="T1267" s="224"/>
      <c r="U1267" s="224"/>
      <c r="V1267" s="224"/>
    </row>
    <row r="1268" spans="1:22" x14ac:dyDescent="0.3">
      <c r="A1268" s="222"/>
      <c r="B1268" s="235"/>
      <c r="C1268" s="227"/>
      <c r="D1268" s="344"/>
      <c r="E1268" s="235"/>
      <c r="F1268" s="235"/>
      <c r="G1268" s="227"/>
      <c r="H1268" s="227"/>
      <c r="I1268" s="350"/>
      <c r="J1268" s="227"/>
      <c r="K1268" s="227"/>
      <c r="L1268" s="224"/>
      <c r="M1268" s="224"/>
      <c r="N1268" s="224"/>
      <c r="O1268" s="224"/>
      <c r="P1268" s="224"/>
      <c r="Q1268" s="224"/>
      <c r="R1268" s="224"/>
      <c r="S1268" s="224"/>
      <c r="T1268" s="224"/>
      <c r="U1268" s="224"/>
      <c r="V1268" s="224"/>
    </row>
    <row r="1269" spans="1:22" x14ac:dyDescent="0.3">
      <c r="A1269" s="222"/>
      <c r="B1269" s="235"/>
      <c r="C1269" s="227"/>
      <c r="D1269" s="344"/>
      <c r="E1269" s="235"/>
      <c r="F1269" s="235"/>
      <c r="G1269" s="227"/>
      <c r="H1269" s="227"/>
      <c r="I1269" s="350"/>
      <c r="J1269" s="227"/>
      <c r="K1269" s="227"/>
      <c r="L1269" s="224"/>
      <c r="M1269" s="224"/>
      <c r="N1269" s="224"/>
      <c r="O1269" s="224"/>
      <c r="P1269" s="224"/>
      <c r="Q1269" s="224"/>
      <c r="R1269" s="224"/>
      <c r="S1269" s="224"/>
      <c r="T1269" s="224"/>
      <c r="U1269" s="224"/>
      <c r="V1269" s="224"/>
    </row>
    <row r="1270" spans="1:22" x14ac:dyDescent="0.3">
      <c r="A1270" s="222"/>
      <c r="B1270" s="235"/>
      <c r="C1270" s="227"/>
      <c r="D1270" s="344"/>
      <c r="E1270" s="235"/>
      <c r="F1270" s="235"/>
      <c r="G1270" s="227"/>
      <c r="H1270" s="227"/>
      <c r="I1270" s="350"/>
      <c r="J1270" s="227"/>
      <c r="K1270" s="227"/>
      <c r="L1270" s="224"/>
      <c r="M1270" s="224"/>
      <c r="N1270" s="224"/>
      <c r="O1270" s="224"/>
      <c r="P1270" s="224"/>
      <c r="Q1270" s="224"/>
      <c r="R1270" s="224"/>
      <c r="S1270" s="224"/>
      <c r="T1270" s="224"/>
      <c r="U1270" s="224"/>
      <c r="V1270" s="224"/>
    </row>
    <row r="1271" spans="1:22" x14ac:dyDescent="0.3">
      <c r="A1271" s="222"/>
      <c r="B1271" s="235"/>
      <c r="C1271" s="227"/>
      <c r="D1271" s="344"/>
      <c r="E1271" s="235"/>
      <c r="F1271" s="235"/>
      <c r="G1271" s="227"/>
      <c r="H1271" s="227"/>
      <c r="I1271" s="350"/>
      <c r="J1271" s="227"/>
      <c r="K1271" s="227"/>
      <c r="L1271" s="224"/>
      <c r="M1271" s="224"/>
      <c r="N1271" s="224"/>
      <c r="O1271" s="224"/>
      <c r="P1271" s="224"/>
      <c r="Q1271" s="224"/>
      <c r="R1271" s="224"/>
      <c r="S1271" s="224"/>
      <c r="T1271" s="224"/>
      <c r="U1271" s="224"/>
      <c r="V1271" s="224"/>
    </row>
    <row r="1272" spans="1:22" x14ac:dyDescent="0.3">
      <c r="A1272" s="222"/>
      <c r="B1272" s="235"/>
      <c r="C1272" s="227"/>
      <c r="D1272" s="344"/>
      <c r="E1272" s="235"/>
      <c r="F1272" s="235"/>
      <c r="G1272" s="227"/>
      <c r="H1272" s="227"/>
      <c r="I1272" s="350"/>
      <c r="J1272" s="227"/>
      <c r="K1272" s="227"/>
      <c r="L1272" s="224"/>
      <c r="M1272" s="224"/>
      <c r="N1272" s="224"/>
      <c r="O1272" s="224"/>
      <c r="P1272" s="224"/>
      <c r="Q1272" s="224"/>
      <c r="R1272" s="224"/>
      <c r="S1272" s="224"/>
      <c r="T1272" s="224"/>
      <c r="U1272" s="224"/>
      <c r="V1272" s="224"/>
    </row>
    <row r="1273" spans="1:22" x14ac:dyDescent="0.3">
      <c r="A1273" s="222"/>
      <c r="B1273" s="235"/>
      <c r="C1273" s="227"/>
      <c r="D1273" s="344"/>
      <c r="E1273" s="235"/>
      <c r="F1273" s="235"/>
      <c r="G1273" s="227"/>
      <c r="H1273" s="227"/>
      <c r="I1273" s="350"/>
      <c r="J1273" s="227"/>
      <c r="K1273" s="227"/>
      <c r="L1273" s="224"/>
      <c r="M1273" s="224"/>
      <c r="N1273" s="224"/>
      <c r="O1273" s="224"/>
      <c r="P1273" s="224"/>
      <c r="Q1273" s="224"/>
      <c r="R1273" s="224"/>
      <c r="S1273" s="224"/>
      <c r="T1273" s="224"/>
      <c r="U1273" s="224"/>
      <c r="V1273" s="224"/>
    </row>
    <row r="1274" spans="1:22" x14ac:dyDescent="0.3">
      <c r="A1274" s="222"/>
      <c r="B1274" s="235"/>
      <c r="C1274" s="227"/>
      <c r="D1274" s="344"/>
      <c r="E1274" s="235"/>
      <c r="F1274" s="235"/>
      <c r="G1274" s="227"/>
      <c r="H1274" s="227"/>
      <c r="I1274" s="350"/>
      <c r="J1274" s="227"/>
      <c r="K1274" s="227"/>
      <c r="L1274" s="224"/>
      <c r="M1274" s="224"/>
      <c r="N1274" s="224"/>
      <c r="O1274" s="224"/>
      <c r="P1274" s="224"/>
      <c r="Q1274" s="224"/>
      <c r="R1274" s="224"/>
      <c r="S1274" s="224"/>
      <c r="T1274" s="224"/>
      <c r="U1274" s="224"/>
      <c r="V1274" s="224"/>
    </row>
    <row r="1275" spans="1:22" x14ac:dyDescent="0.3">
      <c r="A1275" s="222"/>
      <c r="B1275" s="235"/>
      <c r="C1275" s="227"/>
      <c r="D1275" s="344"/>
      <c r="E1275" s="235"/>
      <c r="F1275" s="235"/>
      <c r="G1275" s="227"/>
      <c r="H1275" s="227"/>
      <c r="I1275" s="350"/>
      <c r="J1275" s="227"/>
      <c r="K1275" s="227"/>
      <c r="L1275" s="224"/>
      <c r="M1275" s="224"/>
      <c r="N1275" s="224"/>
      <c r="O1275" s="224"/>
      <c r="P1275" s="224"/>
      <c r="Q1275" s="224"/>
      <c r="R1275" s="224"/>
      <c r="S1275" s="224"/>
      <c r="T1275" s="224"/>
      <c r="U1275" s="224"/>
      <c r="V1275" s="224"/>
    </row>
    <row r="1276" spans="1:22" x14ac:dyDescent="0.3">
      <c r="A1276" s="222"/>
      <c r="B1276" s="235"/>
      <c r="C1276" s="227"/>
      <c r="D1276" s="344"/>
      <c r="E1276" s="235"/>
      <c r="F1276" s="235"/>
      <c r="G1276" s="227"/>
      <c r="H1276" s="227"/>
      <c r="I1276" s="350"/>
      <c r="J1276" s="227"/>
      <c r="K1276" s="227"/>
      <c r="L1276" s="224"/>
      <c r="M1276" s="224"/>
      <c r="N1276" s="224"/>
      <c r="O1276" s="224"/>
      <c r="P1276" s="224"/>
      <c r="Q1276" s="224"/>
      <c r="R1276" s="224"/>
      <c r="S1276" s="224"/>
      <c r="T1276" s="224"/>
      <c r="U1276" s="224"/>
      <c r="V1276" s="224"/>
    </row>
    <row r="1277" spans="1:22" x14ac:dyDescent="0.3">
      <c r="A1277" s="222"/>
      <c r="B1277" s="235"/>
      <c r="C1277" s="227"/>
      <c r="D1277" s="344"/>
      <c r="E1277" s="235"/>
      <c r="F1277" s="235"/>
      <c r="G1277" s="227"/>
      <c r="H1277" s="227"/>
      <c r="I1277" s="350"/>
      <c r="J1277" s="227"/>
      <c r="K1277" s="227"/>
      <c r="L1277" s="224"/>
      <c r="M1277" s="224"/>
      <c r="N1277" s="224"/>
      <c r="O1277" s="224"/>
      <c r="P1277" s="224"/>
      <c r="Q1277" s="224"/>
      <c r="R1277" s="224"/>
      <c r="S1277" s="224"/>
      <c r="T1277" s="224"/>
      <c r="U1277" s="224"/>
      <c r="V1277" s="224"/>
    </row>
    <row r="1278" spans="1:22" x14ac:dyDescent="0.3">
      <c r="A1278" s="222"/>
      <c r="B1278" s="235"/>
      <c r="C1278" s="227"/>
      <c r="D1278" s="344"/>
      <c r="E1278" s="235"/>
      <c r="F1278" s="235"/>
      <c r="G1278" s="227"/>
      <c r="H1278" s="227"/>
      <c r="I1278" s="350"/>
      <c r="J1278" s="227"/>
      <c r="K1278" s="227"/>
      <c r="L1278" s="224"/>
      <c r="M1278" s="224"/>
      <c r="N1278" s="224"/>
      <c r="O1278" s="224"/>
      <c r="P1278" s="224"/>
      <c r="Q1278" s="224"/>
      <c r="R1278" s="224"/>
      <c r="S1278" s="224"/>
      <c r="T1278" s="224"/>
      <c r="U1278" s="224"/>
      <c r="V1278" s="224"/>
    </row>
    <row r="1279" spans="1:22" x14ac:dyDescent="0.3">
      <c r="A1279" s="222"/>
      <c r="B1279" s="235"/>
      <c r="C1279" s="227"/>
      <c r="D1279" s="344"/>
      <c r="E1279" s="235"/>
      <c r="F1279" s="235"/>
      <c r="G1279" s="227"/>
      <c r="H1279" s="227"/>
      <c r="I1279" s="350"/>
      <c r="J1279" s="227"/>
      <c r="K1279" s="227"/>
      <c r="L1279" s="224"/>
      <c r="M1279" s="224"/>
      <c r="N1279" s="224"/>
      <c r="O1279" s="224"/>
      <c r="P1279" s="224"/>
      <c r="Q1279" s="224"/>
      <c r="R1279" s="224"/>
      <c r="S1279" s="224"/>
      <c r="T1279" s="224"/>
      <c r="U1279" s="224"/>
      <c r="V1279" s="224"/>
    </row>
    <row r="1280" spans="1:22" x14ac:dyDescent="0.3">
      <c r="A1280" s="222"/>
      <c r="B1280" s="235"/>
      <c r="C1280" s="227"/>
      <c r="D1280" s="344"/>
      <c r="E1280" s="235"/>
      <c r="F1280" s="235"/>
      <c r="G1280" s="227"/>
      <c r="H1280" s="227"/>
      <c r="I1280" s="350"/>
      <c r="J1280" s="227"/>
      <c r="K1280" s="227"/>
      <c r="L1280" s="224"/>
      <c r="M1280" s="224"/>
      <c r="N1280" s="224"/>
      <c r="O1280" s="224"/>
      <c r="P1280" s="224"/>
      <c r="Q1280" s="224"/>
      <c r="R1280" s="224"/>
      <c r="S1280" s="224"/>
      <c r="T1280" s="224"/>
      <c r="U1280" s="224"/>
      <c r="V1280" s="224"/>
    </row>
    <row r="1281" spans="1:22" x14ac:dyDescent="0.3">
      <c r="A1281" s="222"/>
      <c r="B1281" s="235"/>
      <c r="C1281" s="227"/>
      <c r="D1281" s="344"/>
      <c r="E1281" s="235"/>
      <c r="F1281" s="235"/>
      <c r="G1281" s="227"/>
      <c r="H1281" s="227"/>
      <c r="I1281" s="350"/>
      <c r="J1281" s="227"/>
      <c r="K1281" s="227"/>
      <c r="L1281" s="224"/>
      <c r="M1281" s="224"/>
      <c r="N1281" s="224"/>
      <c r="O1281" s="224"/>
      <c r="P1281" s="224"/>
      <c r="Q1281" s="224"/>
      <c r="R1281" s="224"/>
      <c r="S1281" s="224"/>
      <c r="T1281" s="224"/>
      <c r="U1281" s="224"/>
      <c r="V1281" s="224"/>
    </row>
    <row r="1282" spans="1:22" x14ac:dyDescent="0.3">
      <c r="A1282" s="222"/>
      <c r="B1282" s="235"/>
      <c r="C1282" s="227"/>
      <c r="D1282" s="344"/>
      <c r="E1282" s="235"/>
      <c r="F1282" s="235"/>
      <c r="G1282" s="227"/>
      <c r="H1282" s="227"/>
      <c r="I1282" s="350"/>
      <c r="J1282" s="227"/>
      <c r="K1282" s="227"/>
      <c r="L1282" s="224"/>
      <c r="M1282" s="224"/>
      <c r="N1282" s="224"/>
      <c r="O1282" s="224"/>
      <c r="P1282" s="224"/>
      <c r="Q1282" s="224"/>
      <c r="R1282" s="224"/>
      <c r="S1282" s="224"/>
      <c r="T1282" s="224"/>
      <c r="U1282" s="224"/>
      <c r="V1282" s="224"/>
    </row>
    <row r="1283" spans="1:22" x14ac:dyDescent="0.3">
      <c r="A1283" s="222"/>
      <c r="B1283" s="235"/>
      <c r="C1283" s="227"/>
      <c r="D1283" s="344"/>
      <c r="E1283" s="235"/>
      <c r="F1283" s="235"/>
      <c r="G1283" s="227"/>
      <c r="H1283" s="227"/>
      <c r="I1283" s="350"/>
      <c r="J1283" s="227"/>
      <c r="K1283" s="227"/>
      <c r="L1283" s="224"/>
      <c r="M1283" s="224"/>
      <c r="N1283" s="224"/>
      <c r="O1283" s="224"/>
      <c r="P1283" s="224"/>
      <c r="Q1283" s="224"/>
      <c r="R1283" s="224"/>
      <c r="S1283" s="224"/>
      <c r="T1283" s="224"/>
      <c r="U1283" s="224"/>
      <c r="V1283" s="224"/>
    </row>
    <row r="1284" spans="1:22" x14ac:dyDescent="0.3">
      <c r="A1284" s="222"/>
      <c r="B1284" s="235"/>
      <c r="C1284" s="227"/>
      <c r="D1284" s="344"/>
      <c r="E1284" s="235"/>
      <c r="F1284" s="235"/>
      <c r="G1284" s="227"/>
      <c r="H1284" s="227"/>
      <c r="I1284" s="350"/>
      <c r="J1284" s="227"/>
      <c r="K1284" s="227"/>
      <c r="L1284" s="224"/>
      <c r="M1284" s="224"/>
      <c r="N1284" s="224"/>
      <c r="O1284" s="224"/>
      <c r="P1284" s="224"/>
      <c r="Q1284" s="224"/>
      <c r="R1284" s="224"/>
      <c r="S1284" s="224"/>
      <c r="T1284" s="224"/>
      <c r="U1284" s="224"/>
      <c r="V1284" s="224"/>
    </row>
    <row r="1285" spans="1:22" x14ac:dyDescent="0.3">
      <c r="A1285" s="222"/>
      <c r="B1285" s="235"/>
      <c r="C1285" s="227"/>
      <c r="D1285" s="344"/>
      <c r="E1285" s="235"/>
      <c r="F1285" s="235"/>
      <c r="G1285" s="227"/>
      <c r="H1285" s="227"/>
      <c r="I1285" s="350"/>
      <c r="J1285" s="227"/>
      <c r="K1285" s="227"/>
      <c r="L1285" s="224"/>
      <c r="M1285" s="224"/>
      <c r="N1285" s="224"/>
      <c r="O1285" s="224"/>
      <c r="P1285" s="224"/>
      <c r="Q1285" s="224"/>
      <c r="R1285" s="224"/>
      <c r="S1285" s="224"/>
      <c r="T1285" s="224"/>
      <c r="U1285" s="224"/>
      <c r="V1285" s="224"/>
    </row>
    <row r="1286" spans="1:22" x14ac:dyDescent="0.3">
      <c r="A1286" s="222"/>
      <c r="B1286" s="235"/>
      <c r="C1286" s="227"/>
      <c r="D1286" s="344"/>
      <c r="E1286" s="235"/>
      <c r="F1286" s="235"/>
      <c r="G1286" s="227"/>
      <c r="H1286" s="227"/>
      <c r="I1286" s="350"/>
      <c r="J1286" s="227"/>
      <c r="K1286" s="227"/>
      <c r="L1286" s="224"/>
      <c r="M1286" s="224"/>
      <c r="N1286" s="224"/>
      <c r="O1286" s="224"/>
      <c r="P1286" s="224"/>
      <c r="Q1286" s="224"/>
      <c r="R1286" s="224"/>
      <c r="S1286" s="224"/>
      <c r="T1286" s="224"/>
      <c r="U1286" s="224"/>
      <c r="V1286" s="224"/>
    </row>
    <row r="1287" spans="1:22" x14ac:dyDescent="0.3">
      <c r="A1287" s="222"/>
      <c r="B1287" s="235"/>
      <c r="C1287" s="227"/>
      <c r="D1287" s="344"/>
      <c r="E1287" s="235"/>
      <c r="F1287" s="235"/>
      <c r="G1287" s="227"/>
      <c r="H1287" s="227"/>
      <c r="I1287" s="350"/>
      <c r="J1287" s="227"/>
      <c r="K1287" s="227"/>
      <c r="L1287" s="224"/>
      <c r="M1287" s="224"/>
      <c r="N1287" s="224"/>
      <c r="O1287" s="224"/>
      <c r="P1287" s="224"/>
      <c r="Q1287" s="224"/>
      <c r="R1287" s="224"/>
      <c r="S1287" s="224"/>
      <c r="T1287" s="224"/>
      <c r="U1287" s="224"/>
      <c r="V1287" s="224"/>
    </row>
    <row r="1288" spans="1:22" x14ac:dyDescent="0.3">
      <c r="A1288" s="222"/>
      <c r="B1288" s="235"/>
      <c r="C1288" s="227"/>
      <c r="D1288" s="344"/>
      <c r="E1288" s="235"/>
      <c r="F1288" s="235"/>
      <c r="G1288" s="227"/>
      <c r="H1288" s="227"/>
      <c r="I1288" s="350"/>
      <c r="J1288" s="227"/>
      <c r="K1288" s="227"/>
      <c r="L1288" s="224"/>
      <c r="M1288" s="224"/>
      <c r="N1288" s="224"/>
      <c r="O1288" s="224"/>
      <c r="P1288" s="224"/>
      <c r="Q1288" s="224"/>
      <c r="R1288" s="224"/>
      <c r="S1288" s="224"/>
      <c r="T1288" s="224"/>
      <c r="U1288" s="224"/>
      <c r="V1288" s="224"/>
    </row>
    <row r="1289" spans="1:22" x14ac:dyDescent="0.3">
      <c r="A1289" s="222"/>
      <c r="B1289" s="235"/>
      <c r="C1289" s="227"/>
      <c r="D1289" s="344"/>
      <c r="E1289" s="235"/>
      <c r="F1289" s="235"/>
      <c r="G1289" s="227"/>
      <c r="H1289" s="227"/>
      <c r="I1289" s="350"/>
      <c r="J1289" s="227"/>
      <c r="K1289" s="227"/>
      <c r="L1289" s="224"/>
      <c r="M1289" s="224"/>
      <c r="N1289" s="224"/>
      <c r="O1289" s="224"/>
      <c r="P1289" s="224"/>
      <c r="Q1289" s="224"/>
      <c r="R1289" s="224"/>
      <c r="S1289" s="224"/>
      <c r="T1289" s="224"/>
      <c r="U1289" s="224"/>
      <c r="V1289" s="224"/>
    </row>
    <row r="1290" spans="1:22" x14ac:dyDescent="0.3">
      <c r="A1290" s="222"/>
      <c r="B1290" s="235"/>
      <c r="C1290" s="227"/>
      <c r="D1290" s="344"/>
      <c r="E1290" s="235"/>
      <c r="F1290" s="235"/>
      <c r="G1290" s="227"/>
      <c r="H1290" s="227"/>
      <c r="I1290" s="350"/>
      <c r="J1290" s="227"/>
      <c r="K1290" s="227"/>
      <c r="L1290" s="224"/>
      <c r="M1290" s="224"/>
      <c r="N1290" s="224"/>
      <c r="O1290" s="224"/>
      <c r="P1290" s="224"/>
      <c r="Q1290" s="224"/>
      <c r="R1290" s="224"/>
      <c r="S1290" s="224"/>
      <c r="T1290" s="224"/>
      <c r="U1290" s="224"/>
      <c r="V1290" s="224"/>
    </row>
    <row r="1291" spans="1:22" x14ac:dyDescent="0.3">
      <c r="A1291" s="222"/>
      <c r="B1291" s="235"/>
      <c r="C1291" s="227"/>
      <c r="D1291" s="344"/>
      <c r="E1291" s="235"/>
      <c r="F1291" s="235"/>
      <c r="G1291" s="227"/>
      <c r="H1291" s="227"/>
      <c r="I1291" s="350"/>
      <c r="J1291" s="227"/>
      <c r="K1291" s="227"/>
      <c r="L1291" s="224"/>
      <c r="M1291" s="224"/>
      <c r="N1291" s="224"/>
      <c r="O1291" s="224"/>
      <c r="P1291" s="224"/>
      <c r="Q1291" s="224"/>
      <c r="R1291" s="224"/>
      <c r="S1291" s="224"/>
      <c r="T1291" s="224"/>
      <c r="U1291" s="224"/>
      <c r="V1291" s="224"/>
    </row>
    <row r="1292" spans="1:22" x14ac:dyDescent="0.3">
      <c r="A1292" s="222"/>
      <c r="B1292" s="235"/>
      <c r="C1292" s="227"/>
      <c r="D1292" s="344"/>
      <c r="E1292" s="235"/>
      <c r="F1292" s="235"/>
      <c r="G1292" s="227"/>
      <c r="H1292" s="227"/>
      <c r="I1292" s="350"/>
      <c r="J1292" s="227"/>
      <c r="K1292" s="227"/>
      <c r="L1292" s="224"/>
      <c r="M1292" s="224"/>
      <c r="N1292" s="224"/>
      <c r="O1292" s="224"/>
      <c r="P1292" s="224"/>
      <c r="Q1292" s="224"/>
      <c r="R1292" s="224"/>
      <c r="S1292" s="224"/>
      <c r="T1292" s="224"/>
      <c r="U1292" s="224"/>
      <c r="V1292" s="224"/>
    </row>
    <row r="1293" spans="1:22" x14ac:dyDescent="0.3">
      <c r="A1293" s="222"/>
      <c r="B1293" s="235"/>
      <c r="C1293" s="227"/>
      <c r="D1293" s="344"/>
      <c r="E1293" s="235"/>
      <c r="F1293" s="235"/>
      <c r="G1293" s="227"/>
      <c r="H1293" s="227"/>
      <c r="I1293" s="350"/>
      <c r="J1293" s="227"/>
      <c r="K1293" s="227"/>
      <c r="L1293" s="224"/>
      <c r="M1293" s="224"/>
      <c r="N1293" s="224"/>
      <c r="O1293" s="224"/>
      <c r="P1293" s="224"/>
      <c r="Q1293" s="224"/>
      <c r="R1293" s="224"/>
      <c r="S1293" s="224"/>
      <c r="T1293" s="224"/>
      <c r="U1293" s="224"/>
      <c r="V1293" s="224"/>
    </row>
    <row r="1294" spans="1:22" x14ac:dyDescent="0.3">
      <c r="A1294" s="222"/>
      <c r="B1294" s="235"/>
      <c r="C1294" s="227"/>
      <c r="D1294" s="344"/>
      <c r="E1294" s="235"/>
      <c r="F1294" s="235"/>
      <c r="G1294" s="227"/>
      <c r="H1294" s="227"/>
      <c r="I1294" s="350"/>
      <c r="J1294" s="227"/>
      <c r="K1294" s="227"/>
      <c r="L1294" s="224"/>
      <c r="M1294" s="224"/>
      <c r="N1294" s="224"/>
      <c r="O1294" s="224"/>
      <c r="P1294" s="224"/>
      <c r="Q1294" s="224"/>
      <c r="R1294" s="224"/>
      <c r="S1294" s="224"/>
      <c r="T1294" s="224"/>
      <c r="U1294" s="224"/>
      <c r="V1294" s="224"/>
    </row>
    <row r="1295" spans="1:22" x14ac:dyDescent="0.3">
      <c r="A1295" s="222"/>
      <c r="B1295" s="235"/>
      <c r="C1295" s="227"/>
      <c r="D1295" s="344"/>
      <c r="E1295" s="235"/>
      <c r="F1295" s="235"/>
      <c r="G1295" s="227"/>
      <c r="H1295" s="227"/>
      <c r="I1295" s="350"/>
      <c r="J1295" s="227"/>
      <c r="K1295" s="227"/>
      <c r="L1295" s="224"/>
      <c r="M1295" s="224"/>
      <c r="N1295" s="224"/>
      <c r="O1295" s="224"/>
      <c r="P1295" s="224"/>
      <c r="Q1295" s="224"/>
      <c r="R1295" s="224"/>
      <c r="S1295" s="224"/>
      <c r="T1295" s="224"/>
      <c r="U1295" s="224"/>
      <c r="V1295" s="224"/>
    </row>
    <row r="1296" spans="1:22" x14ac:dyDescent="0.3">
      <c r="A1296" s="222"/>
      <c r="B1296" s="235"/>
      <c r="C1296" s="227"/>
      <c r="D1296" s="344"/>
      <c r="E1296" s="235"/>
      <c r="F1296" s="235"/>
      <c r="G1296" s="227"/>
      <c r="H1296" s="227"/>
      <c r="I1296" s="350"/>
      <c r="J1296" s="227"/>
      <c r="K1296" s="227"/>
      <c r="L1296" s="224"/>
      <c r="M1296" s="224"/>
      <c r="N1296" s="224"/>
      <c r="O1296" s="224"/>
      <c r="P1296" s="224"/>
      <c r="Q1296" s="224"/>
      <c r="R1296" s="224"/>
      <c r="S1296" s="224"/>
      <c r="T1296" s="224"/>
      <c r="U1296" s="224"/>
      <c r="V1296" s="224"/>
    </row>
    <row r="1297" spans="1:22" x14ac:dyDescent="0.3">
      <c r="A1297" s="222"/>
      <c r="B1297" s="235"/>
      <c r="C1297" s="227"/>
      <c r="D1297" s="344"/>
      <c r="E1297" s="235"/>
      <c r="F1297" s="235"/>
      <c r="G1297" s="227"/>
      <c r="H1297" s="227"/>
      <c r="I1297" s="350"/>
      <c r="J1297" s="227"/>
      <c r="K1297" s="227"/>
      <c r="L1297" s="224"/>
      <c r="M1297" s="224"/>
      <c r="N1297" s="224"/>
      <c r="O1297" s="224"/>
      <c r="P1297" s="224"/>
      <c r="Q1297" s="224"/>
      <c r="R1297" s="224"/>
      <c r="S1297" s="224"/>
      <c r="T1297" s="224"/>
      <c r="U1297" s="224"/>
      <c r="V1297" s="224"/>
    </row>
    <row r="1298" spans="1:22" x14ac:dyDescent="0.3">
      <c r="A1298" s="222"/>
      <c r="B1298" s="235"/>
      <c r="C1298" s="227"/>
      <c r="D1298" s="344"/>
      <c r="E1298" s="235"/>
      <c r="F1298" s="235"/>
      <c r="G1298" s="227"/>
      <c r="H1298" s="227"/>
      <c r="I1298" s="350"/>
      <c r="J1298" s="227"/>
      <c r="K1298" s="227"/>
      <c r="L1298" s="224"/>
      <c r="M1298" s="224"/>
      <c r="N1298" s="224"/>
      <c r="O1298" s="224"/>
      <c r="P1298" s="224"/>
      <c r="Q1298" s="224"/>
      <c r="R1298" s="224"/>
      <c r="S1298" s="224"/>
      <c r="T1298" s="224"/>
      <c r="U1298" s="224"/>
      <c r="V1298" s="224"/>
    </row>
    <row r="1299" spans="1:22" x14ac:dyDescent="0.3">
      <c r="A1299" s="222"/>
      <c r="B1299" s="235"/>
      <c r="C1299" s="227"/>
      <c r="D1299" s="344"/>
      <c r="E1299" s="235"/>
      <c r="F1299" s="235"/>
      <c r="G1299" s="227"/>
      <c r="H1299" s="227"/>
      <c r="I1299" s="350"/>
      <c r="J1299" s="227"/>
      <c r="K1299" s="227"/>
      <c r="L1299" s="224"/>
      <c r="M1299" s="224"/>
      <c r="N1299" s="224"/>
      <c r="O1299" s="224"/>
      <c r="P1299" s="224"/>
      <c r="Q1299" s="224"/>
      <c r="R1299" s="224"/>
      <c r="S1299" s="224"/>
      <c r="T1299" s="224"/>
      <c r="U1299" s="224"/>
      <c r="V1299" s="224"/>
    </row>
    <row r="1300" spans="1:22" x14ac:dyDescent="0.3">
      <c r="A1300" s="222"/>
      <c r="B1300" s="235"/>
      <c r="C1300" s="227"/>
      <c r="D1300" s="344"/>
      <c r="E1300" s="235"/>
      <c r="F1300" s="235"/>
      <c r="G1300" s="227"/>
      <c r="H1300" s="227"/>
      <c r="I1300" s="350"/>
      <c r="J1300" s="227"/>
      <c r="K1300" s="227"/>
      <c r="L1300" s="224"/>
      <c r="M1300" s="224"/>
      <c r="N1300" s="224"/>
      <c r="O1300" s="224"/>
      <c r="P1300" s="224"/>
      <c r="Q1300" s="224"/>
      <c r="R1300" s="224"/>
      <c r="S1300" s="224"/>
      <c r="T1300" s="224"/>
      <c r="U1300" s="224"/>
      <c r="V1300" s="224"/>
    </row>
    <row r="1301" spans="1:22" x14ac:dyDescent="0.3">
      <c r="A1301" s="222"/>
      <c r="B1301" s="235"/>
      <c r="C1301" s="227"/>
      <c r="D1301" s="344"/>
      <c r="E1301" s="235"/>
      <c r="F1301" s="235"/>
      <c r="G1301" s="227"/>
      <c r="H1301" s="227"/>
      <c r="I1301" s="350"/>
      <c r="J1301" s="227"/>
      <c r="K1301" s="227"/>
      <c r="L1301" s="224"/>
      <c r="M1301" s="224"/>
      <c r="N1301" s="224"/>
      <c r="O1301" s="224"/>
      <c r="P1301" s="224"/>
      <c r="Q1301" s="224"/>
      <c r="R1301" s="224"/>
      <c r="S1301" s="224"/>
      <c r="T1301" s="224"/>
      <c r="U1301" s="224"/>
      <c r="V1301" s="224"/>
    </row>
    <row r="1302" spans="1:22" x14ac:dyDescent="0.3">
      <c r="A1302" s="222"/>
      <c r="B1302" s="235"/>
      <c r="C1302" s="227"/>
      <c r="D1302" s="344"/>
      <c r="E1302" s="235"/>
      <c r="F1302" s="235"/>
      <c r="G1302" s="227"/>
      <c r="H1302" s="227"/>
      <c r="I1302" s="350"/>
      <c r="J1302" s="227"/>
      <c r="K1302" s="227"/>
      <c r="L1302" s="224"/>
      <c r="M1302" s="224"/>
      <c r="N1302" s="224"/>
      <c r="O1302" s="224"/>
      <c r="P1302" s="224"/>
      <c r="Q1302" s="224"/>
      <c r="R1302" s="224"/>
      <c r="S1302" s="224"/>
      <c r="T1302" s="224"/>
      <c r="U1302" s="224"/>
      <c r="V1302" s="224"/>
    </row>
    <row r="1303" spans="1:22" x14ac:dyDescent="0.3">
      <c r="A1303" s="222"/>
      <c r="B1303" s="235"/>
      <c r="C1303" s="227"/>
      <c r="D1303" s="344"/>
      <c r="E1303" s="235"/>
      <c r="F1303" s="235"/>
      <c r="G1303" s="227"/>
      <c r="H1303" s="227"/>
      <c r="I1303" s="350"/>
      <c r="J1303" s="227"/>
      <c r="K1303" s="227"/>
      <c r="L1303" s="224"/>
      <c r="M1303" s="224"/>
      <c r="N1303" s="224"/>
      <c r="O1303" s="224"/>
      <c r="P1303" s="224"/>
      <c r="Q1303" s="224"/>
      <c r="R1303" s="224"/>
      <c r="S1303" s="224"/>
      <c r="T1303" s="224"/>
      <c r="U1303" s="224"/>
      <c r="V1303" s="224"/>
    </row>
    <row r="1304" spans="1:22" x14ac:dyDescent="0.3">
      <c r="A1304" s="222"/>
      <c r="B1304" s="235"/>
      <c r="C1304" s="227"/>
      <c r="D1304" s="344"/>
      <c r="E1304" s="235"/>
      <c r="F1304" s="235"/>
      <c r="G1304" s="227"/>
      <c r="H1304" s="227"/>
      <c r="I1304" s="350"/>
      <c r="J1304" s="227"/>
      <c r="K1304" s="227"/>
      <c r="L1304" s="224"/>
      <c r="M1304" s="224"/>
      <c r="N1304" s="224"/>
      <c r="O1304" s="224"/>
      <c r="P1304" s="224"/>
      <c r="Q1304" s="224"/>
      <c r="R1304" s="224"/>
      <c r="S1304" s="224"/>
      <c r="T1304" s="224"/>
      <c r="U1304" s="224"/>
      <c r="V1304" s="224"/>
    </row>
    <row r="1305" spans="1:22" x14ac:dyDescent="0.3">
      <c r="A1305" s="222"/>
      <c r="B1305" s="235"/>
      <c r="C1305" s="227"/>
      <c r="D1305" s="344"/>
      <c r="E1305" s="235"/>
      <c r="F1305" s="235"/>
      <c r="G1305" s="227"/>
      <c r="H1305" s="227"/>
      <c r="I1305" s="350"/>
      <c r="J1305" s="227"/>
      <c r="K1305" s="227"/>
      <c r="L1305" s="224"/>
      <c r="M1305" s="224"/>
      <c r="N1305" s="224"/>
      <c r="O1305" s="224"/>
      <c r="P1305" s="224"/>
      <c r="Q1305" s="224"/>
      <c r="R1305" s="224"/>
      <c r="S1305" s="224"/>
      <c r="T1305" s="224"/>
      <c r="U1305" s="224"/>
      <c r="V1305" s="224"/>
    </row>
    <row r="1306" spans="1:22" x14ac:dyDescent="0.3">
      <c r="A1306" s="222"/>
      <c r="B1306" s="235"/>
      <c r="C1306" s="227"/>
      <c r="D1306" s="344"/>
      <c r="E1306" s="235"/>
      <c r="F1306" s="235"/>
      <c r="G1306" s="227"/>
      <c r="H1306" s="227"/>
      <c r="I1306" s="350"/>
      <c r="J1306" s="227"/>
      <c r="K1306" s="227"/>
      <c r="L1306" s="224"/>
      <c r="M1306" s="224"/>
      <c r="N1306" s="224"/>
      <c r="O1306" s="224"/>
      <c r="P1306" s="224"/>
      <c r="Q1306" s="224"/>
      <c r="R1306" s="224"/>
      <c r="S1306" s="224"/>
      <c r="T1306" s="224"/>
      <c r="U1306" s="224"/>
      <c r="V1306" s="224"/>
    </row>
    <row r="1307" spans="1:22" x14ac:dyDescent="0.3">
      <c r="A1307" s="222"/>
      <c r="B1307" s="235"/>
      <c r="C1307" s="227"/>
      <c r="D1307" s="344"/>
      <c r="E1307" s="235"/>
      <c r="F1307" s="235"/>
      <c r="G1307" s="227"/>
      <c r="H1307" s="227"/>
      <c r="I1307" s="350"/>
      <c r="J1307" s="227"/>
      <c r="K1307" s="227"/>
      <c r="L1307" s="224"/>
      <c r="M1307" s="224"/>
      <c r="N1307" s="224"/>
      <c r="O1307" s="224"/>
      <c r="P1307" s="224"/>
      <c r="Q1307" s="224"/>
      <c r="R1307" s="224"/>
      <c r="S1307" s="224"/>
      <c r="T1307" s="224"/>
      <c r="U1307" s="224"/>
      <c r="V1307" s="224"/>
    </row>
    <row r="1308" spans="1:22" x14ac:dyDescent="0.3">
      <c r="A1308" s="222"/>
      <c r="B1308" s="235"/>
      <c r="C1308" s="227"/>
      <c r="D1308" s="344"/>
      <c r="E1308" s="235"/>
      <c r="F1308" s="235"/>
      <c r="G1308" s="227"/>
      <c r="H1308" s="227"/>
      <c r="I1308" s="350"/>
      <c r="J1308" s="227"/>
      <c r="K1308" s="227"/>
      <c r="L1308" s="224"/>
      <c r="M1308" s="224"/>
      <c r="N1308" s="224"/>
      <c r="O1308" s="224"/>
      <c r="P1308" s="224"/>
      <c r="Q1308" s="224"/>
      <c r="R1308" s="224"/>
      <c r="S1308" s="224"/>
      <c r="T1308" s="224"/>
      <c r="U1308" s="224"/>
      <c r="V1308" s="224"/>
    </row>
    <row r="1309" spans="1:22" x14ac:dyDescent="0.3">
      <c r="A1309" s="222"/>
      <c r="B1309" s="235"/>
      <c r="C1309" s="227"/>
      <c r="D1309" s="344"/>
      <c r="E1309" s="235"/>
      <c r="F1309" s="235"/>
      <c r="G1309" s="227"/>
      <c r="H1309" s="227"/>
      <c r="I1309" s="350"/>
      <c r="J1309" s="227"/>
      <c r="K1309" s="227"/>
      <c r="L1309" s="224"/>
      <c r="M1309" s="224"/>
      <c r="N1309" s="224"/>
      <c r="O1309" s="224"/>
      <c r="P1309" s="224"/>
      <c r="Q1309" s="224"/>
      <c r="R1309" s="224"/>
      <c r="S1309" s="224"/>
      <c r="T1309" s="224"/>
      <c r="U1309" s="224"/>
      <c r="V1309" s="224"/>
    </row>
    <row r="1310" spans="1:22" x14ac:dyDescent="0.3">
      <c r="A1310" s="222"/>
      <c r="B1310" s="235"/>
      <c r="C1310" s="227"/>
      <c r="D1310" s="344"/>
      <c r="E1310" s="235"/>
      <c r="F1310" s="235"/>
      <c r="G1310" s="227"/>
      <c r="H1310" s="227"/>
      <c r="I1310" s="350"/>
      <c r="J1310" s="227"/>
      <c r="K1310" s="227"/>
      <c r="L1310" s="224"/>
      <c r="M1310" s="224"/>
      <c r="N1310" s="224"/>
      <c r="O1310" s="224"/>
      <c r="P1310" s="224"/>
      <c r="Q1310" s="224"/>
      <c r="R1310" s="224"/>
      <c r="S1310" s="224"/>
      <c r="T1310" s="224"/>
      <c r="U1310" s="224"/>
      <c r="V1310" s="224"/>
    </row>
    <row r="1311" spans="1:22" x14ac:dyDescent="0.3">
      <c r="A1311" s="222"/>
      <c r="B1311" s="235"/>
      <c r="C1311" s="227"/>
      <c r="D1311" s="344"/>
      <c r="E1311" s="235"/>
      <c r="F1311" s="235"/>
      <c r="G1311" s="227"/>
      <c r="H1311" s="227"/>
      <c r="I1311" s="350"/>
      <c r="J1311" s="227"/>
      <c r="K1311" s="227"/>
      <c r="L1311" s="224"/>
      <c r="M1311" s="224"/>
      <c r="N1311" s="224"/>
      <c r="O1311" s="224"/>
      <c r="P1311" s="224"/>
      <c r="Q1311" s="224"/>
      <c r="R1311" s="224"/>
      <c r="S1311" s="224"/>
      <c r="T1311" s="224"/>
      <c r="U1311" s="224"/>
      <c r="V1311" s="224"/>
    </row>
    <row r="1312" spans="1:22" x14ac:dyDescent="0.3">
      <c r="A1312" s="222"/>
      <c r="B1312" s="235"/>
      <c r="C1312" s="227"/>
      <c r="D1312" s="344"/>
      <c r="E1312" s="235"/>
      <c r="F1312" s="235"/>
      <c r="G1312" s="227"/>
      <c r="H1312" s="227"/>
      <c r="I1312" s="350"/>
      <c r="J1312" s="227"/>
      <c r="K1312" s="227"/>
      <c r="L1312" s="224"/>
      <c r="M1312" s="224"/>
      <c r="N1312" s="224"/>
      <c r="O1312" s="224"/>
      <c r="P1312" s="224"/>
      <c r="Q1312" s="224"/>
      <c r="R1312" s="224"/>
      <c r="S1312" s="224"/>
      <c r="T1312" s="224"/>
      <c r="U1312" s="224"/>
      <c r="V1312" s="224"/>
    </row>
    <row r="1313" spans="1:22" x14ac:dyDescent="0.3">
      <c r="A1313" s="222"/>
      <c r="B1313" s="235"/>
      <c r="C1313" s="227"/>
      <c r="D1313" s="344"/>
      <c r="E1313" s="235"/>
      <c r="F1313" s="235"/>
      <c r="G1313" s="227"/>
      <c r="H1313" s="227"/>
      <c r="I1313" s="350"/>
      <c r="J1313" s="227"/>
      <c r="K1313" s="227"/>
      <c r="L1313" s="224"/>
      <c r="M1313" s="224"/>
      <c r="N1313" s="224"/>
      <c r="O1313" s="224"/>
      <c r="P1313" s="224"/>
      <c r="Q1313" s="224"/>
      <c r="R1313" s="224"/>
      <c r="S1313" s="224"/>
      <c r="T1313" s="224"/>
      <c r="U1313" s="224"/>
      <c r="V1313" s="224"/>
    </row>
    <row r="1314" spans="1:22" x14ac:dyDescent="0.3">
      <c r="A1314" s="222"/>
      <c r="B1314" s="235"/>
      <c r="C1314" s="227"/>
      <c r="D1314" s="344"/>
      <c r="E1314" s="235"/>
      <c r="F1314" s="235"/>
      <c r="G1314" s="227"/>
      <c r="H1314" s="227"/>
      <c r="I1314" s="350"/>
      <c r="J1314" s="227"/>
      <c r="K1314" s="227"/>
      <c r="L1314" s="224"/>
      <c r="M1314" s="224"/>
      <c r="N1314" s="224"/>
      <c r="O1314" s="224"/>
      <c r="P1314" s="224"/>
      <c r="Q1314" s="224"/>
      <c r="R1314" s="224"/>
      <c r="S1314" s="224"/>
      <c r="T1314" s="224"/>
      <c r="U1314" s="224"/>
      <c r="V1314" s="224"/>
    </row>
    <row r="1315" spans="1:22" x14ac:dyDescent="0.3">
      <c r="A1315" s="222"/>
      <c r="B1315" s="235"/>
      <c r="C1315" s="227"/>
      <c r="D1315" s="344"/>
      <c r="E1315" s="235"/>
      <c r="F1315" s="235"/>
      <c r="G1315" s="227"/>
      <c r="H1315" s="227"/>
      <c r="I1315" s="350"/>
      <c r="J1315" s="227"/>
      <c r="K1315" s="227"/>
      <c r="L1315" s="224"/>
      <c r="M1315" s="224"/>
      <c r="N1315" s="224"/>
      <c r="O1315" s="224"/>
      <c r="P1315" s="224"/>
      <c r="Q1315" s="224"/>
      <c r="R1315" s="224"/>
      <c r="S1315" s="224"/>
      <c r="T1315" s="224"/>
      <c r="U1315" s="224"/>
      <c r="V1315" s="224"/>
    </row>
    <row r="1316" spans="1:22" x14ac:dyDescent="0.3">
      <c r="A1316" s="222"/>
      <c r="B1316" s="235"/>
      <c r="C1316" s="227"/>
      <c r="D1316" s="344"/>
      <c r="E1316" s="235"/>
      <c r="F1316" s="235"/>
      <c r="G1316" s="227"/>
      <c r="H1316" s="227"/>
      <c r="I1316" s="350"/>
      <c r="J1316" s="227"/>
      <c r="K1316" s="227"/>
      <c r="L1316" s="224"/>
      <c r="M1316" s="224"/>
      <c r="N1316" s="224"/>
      <c r="O1316" s="224"/>
      <c r="P1316" s="224"/>
      <c r="Q1316" s="224"/>
      <c r="R1316" s="224"/>
      <c r="S1316" s="224"/>
      <c r="T1316" s="224"/>
      <c r="U1316" s="224"/>
      <c r="V1316" s="224"/>
    </row>
    <row r="1317" spans="1:22" x14ac:dyDescent="0.3">
      <c r="A1317" s="222"/>
      <c r="B1317" s="235"/>
      <c r="C1317" s="227"/>
      <c r="D1317" s="344"/>
      <c r="E1317" s="235"/>
      <c r="F1317" s="235"/>
      <c r="G1317" s="227"/>
      <c r="H1317" s="227"/>
      <c r="I1317" s="350"/>
      <c r="J1317" s="227"/>
      <c r="K1317" s="227"/>
      <c r="L1317" s="224"/>
      <c r="M1317" s="224"/>
      <c r="N1317" s="224"/>
      <c r="O1317" s="224"/>
      <c r="P1317" s="224"/>
      <c r="Q1317" s="224"/>
      <c r="R1317" s="224"/>
      <c r="S1317" s="224"/>
      <c r="T1317" s="224"/>
      <c r="U1317" s="224"/>
      <c r="V1317" s="224"/>
    </row>
    <row r="1318" spans="1:22" x14ac:dyDescent="0.3">
      <c r="A1318" s="222"/>
      <c r="B1318" s="235"/>
      <c r="C1318" s="227"/>
      <c r="D1318" s="344"/>
      <c r="E1318" s="235"/>
      <c r="F1318" s="235"/>
      <c r="G1318" s="227"/>
      <c r="H1318" s="227"/>
      <c r="I1318" s="350"/>
      <c r="J1318" s="227"/>
      <c r="K1318" s="227"/>
      <c r="L1318" s="224"/>
      <c r="M1318" s="224"/>
      <c r="N1318" s="224"/>
      <c r="O1318" s="224"/>
      <c r="P1318" s="224"/>
      <c r="Q1318" s="224"/>
      <c r="R1318" s="224"/>
      <c r="S1318" s="224"/>
      <c r="T1318" s="224"/>
      <c r="U1318" s="224"/>
      <c r="V1318" s="224"/>
    </row>
    <row r="1319" spans="1:22" x14ac:dyDescent="0.3">
      <c r="A1319" s="222"/>
      <c r="B1319" s="235"/>
      <c r="C1319" s="227"/>
      <c r="D1319" s="344"/>
      <c r="E1319" s="235"/>
      <c r="F1319" s="235"/>
      <c r="G1319" s="227"/>
      <c r="H1319" s="227"/>
      <c r="I1319" s="350"/>
      <c r="J1319" s="227"/>
      <c r="K1319" s="227"/>
      <c r="L1319" s="224"/>
      <c r="M1319" s="224"/>
      <c r="N1319" s="224"/>
      <c r="O1319" s="224"/>
      <c r="P1319" s="224"/>
      <c r="Q1319" s="224"/>
      <c r="R1319" s="224"/>
      <c r="S1319" s="224"/>
      <c r="T1319" s="224"/>
      <c r="U1319" s="224"/>
      <c r="V1319" s="224"/>
    </row>
    <row r="1320" spans="1:22" x14ac:dyDescent="0.3">
      <c r="A1320" s="222"/>
      <c r="B1320" s="235"/>
      <c r="C1320" s="227"/>
      <c r="D1320" s="344"/>
      <c r="E1320" s="235"/>
      <c r="F1320" s="235"/>
      <c r="G1320" s="227"/>
      <c r="H1320" s="227"/>
      <c r="I1320" s="350"/>
      <c r="J1320" s="227"/>
      <c r="K1320" s="227"/>
      <c r="L1320" s="224"/>
      <c r="M1320" s="224"/>
      <c r="N1320" s="224"/>
      <c r="O1320" s="224"/>
      <c r="P1320" s="224"/>
      <c r="Q1320" s="224"/>
      <c r="R1320" s="224"/>
      <c r="S1320" s="224"/>
      <c r="T1320" s="224"/>
      <c r="U1320" s="224"/>
      <c r="V1320" s="224"/>
    </row>
    <row r="1321" spans="1:22" x14ac:dyDescent="0.3">
      <c r="A1321" s="222"/>
      <c r="B1321" s="235"/>
      <c r="C1321" s="227"/>
      <c r="D1321" s="344"/>
      <c r="E1321" s="235"/>
      <c r="F1321" s="235"/>
      <c r="G1321" s="227"/>
      <c r="H1321" s="227"/>
      <c r="I1321" s="350"/>
      <c r="J1321" s="227"/>
      <c r="K1321" s="227"/>
      <c r="L1321" s="224"/>
      <c r="M1321" s="224"/>
      <c r="N1321" s="224"/>
      <c r="O1321" s="224"/>
      <c r="P1321" s="224"/>
      <c r="Q1321" s="224"/>
      <c r="R1321" s="224"/>
      <c r="S1321" s="224"/>
      <c r="T1321" s="224"/>
      <c r="U1321" s="224"/>
      <c r="V1321" s="224"/>
    </row>
    <row r="1322" spans="1:22" x14ac:dyDescent="0.3">
      <c r="A1322" s="222"/>
      <c r="B1322" s="235"/>
      <c r="C1322" s="227"/>
      <c r="D1322" s="344"/>
      <c r="E1322" s="235"/>
      <c r="F1322" s="235"/>
      <c r="G1322" s="227"/>
      <c r="H1322" s="227"/>
      <c r="I1322" s="350"/>
      <c r="J1322" s="227"/>
      <c r="K1322" s="227"/>
      <c r="L1322" s="224"/>
      <c r="M1322" s="224"/>
      <c r="N1322" s="224"/>
      <c r="O1322" s="224"/>
      <c r="P1322" s="224"/>
      <c r="Q1322" s="224"/>
      <c r="R1322" s="224"/>
      <c r="S1322" s="224"/>
      <c r="T1322" s="224"/>
      <c r="U1322" s="224"/>
      <c r="V1322" s="224"/>
    </row>
    <row r="1323" spans="1:22" x14ac:dyDescent="0.3">
      <c r="A1323" s="222"/>
      <c r="B1323" s="235"/>
      <c r="C1323" s="227"/>
      <c r="D1323" s="344"/>
      <c r="E1323" s="235"/>
      <c r="F1323" s="235"/>
      <c r="G1323" s="227"/>
      <c r="H1323" s="227"/>
      <c r="I1323" s="350"/>
      <c r="J1323" s="227"/>
      <c r="K1323" s="227"/>
      <c r="L1323" s="224"/>
      <c r="M1323" s="224"/>
      <c r="N1323" s="224"/>
      <c r="O1323" s="224"/>
      <c r="P1323" s="224"/>
      <c r="Q1323" s="224"/>
      <c r="R1323" s="224"/>
      <c r="S1323" s="224"/>
      <c r="T1323" s="224"/>
      <c r="U1323" s="224"/>
      <c r="V1323" s="224"/>
    </row>
    <row r="1324" spans="1:22" x14ac:dyDescent="0.3">
      <c r="A1324" s="222"/>
      <c r="B1324" s="235"/>
      <c r="C1324" s="227"/>
      <c r="D1324" s="344"/>
      <c r="E1324" s="235"/>
      <c r="F1324" s="235"/>
      <c r="G1324" s="227"/>
      <c r="H1324" s="227"/>
      <c r="I1324" s="350"/>
      <c r="J1324" s="227"/>
      <c r="K1324" s="227"/>
      <c r="L1324" s="224"/>
      <c r="M1324" s="224"/>
      <c r="N1324" s="224"/>
      <c r="O1324" s="224"/>
      <c r="P1324" s="224"/>
      <c r="Q1324" s="224"/>
      <c r="R1324" s="224"/>
      <c r="S1324" s="224"/>
      <c r="T1324" s="224"/>
      <c r="U1324" s="224"/>
      <c r="V1324" s="224"/>
    </row>
    <row r="1325" spans="1:22" x14ac:dyDescent="0.3">
      <c r="A1325" s="222"/>
      <c r="B1325" s="235"/>
      <c r="C1325" s="227"/>
      <c r="D1325" s="344"/>
      <c r="E1325" s="235"/>
      <c r="F1325" s="235"/>
      <c r="G1325" s="227"/>
      <c r="H1325" s="227"/>
      <c r="I1325" s="350"/>
      <c r="J1325" s="227"/>
      <c r="K1325" s="227"/>
      <c r="L1325" s="224"/>
      <c r="M1325" s="224"/>
      <c r="N1325" s="224"/>
      <c r="O1325" s="224"/>
      <c r="P1325" s="224"/>
      <c r="Q1325" s="224"/>
      <c r="R1325" s="224"/>
      <c r="S1325" s="224"/>
      <c r="T1325" s="224"/>
      <c r="U1325" s="224"/>
      <c r="V1325" s="224"/>
    </row>
    <row r="1326" spans="1:22" x14ac:dyDescent="0.3">
      <c r="A1326" s="222"/>
      <c r="B1326" s="235"/>
      <c r="C1326" s="227"/>
      <c r="D1326" s="344"/>
      <c r="E1326" s="235"/>
      <c r="F1326" s="235"/>
      <c r="G1326" s="227"/>
      <c r="H1326" s="227"/>
      <c r="I1326" s="350"/>
      <c r="J1326" s="227"/>
      <c r="K1326" s="227"/>
      <c r="L1326" s="224"/>
      <c r="M1326" s="224"/>
      <c r="N1326" s="224"/>
      <c r="O1326" s="224"/>
      <c r="P1326" s="224"/>
      <c r="Q1326" s="224"/>
      <c r="R1326" s="224"/>
      <c r="S1326" s="224"/>
      <c r="T1326" s="224"/>
      <c r="U1326" s="224"/>
      <c r="V1326" s="224"/>
    </row>
    <row r="1327" spans="1:22" x14ac:dyDescent="0.3">
      <c r="A1327" s="222"/>
      <c r="B1327" s="235"/>
      <c r="C1327" s="227"/>
      <c r="D1327" s="344"/>
      <c r="E1327" s="235"/>
      <c r="F1327" s="235"/>
      <c r="G1327" s="227"/>
      <c r="H1327" s="227"/>
      <c r="I1327" s="350"/>
      <c r="J1327" s="227"/>
      <c r="K1327" s="227"/>
      <c r="L1327" s="224"/>
      <c r="M1327" s="224"/>
      <c r="N1327" s="224"/>
      <c r="O1327" s="224"/>
      <c r="P1327" s="224"/>
      <c r="Q1327" s="224"/>
      <c r="R1327" s="224"/>
      <c r="S1327" s="224"/>
      <c r="T1327" s="224"/>
      <c r="U1327" s="224"/>
      <c r="V1327" s="224"/>
    </row>
    <row r="1328" spans="1:22" x14ac:dyDescent="0.3">
      <c r="A1328" s="222"/>
      <c r="B1328" s="235"/>
      <c r="C1328" s="227"/>
      <c r="D1328" s="344"/>
      <c r="E1328" s="235"/>
      <c r="F1328" s="235"/>
      <c r="G1328" s="227"/>
      <c r="H1328" s="227"/>
      <c r="I1328" s="350"/>
      <c r="J1328" s="227"/>
      <c r="K1328" s="227"/>
      <c r="L1328" s="224"/>
      <c r="M1328" s="224"/>
      <c r="N1328" s="224"/>
      <c r="O1328" s="224"/>
      <c r="P1328" s="224"/>
      <c r="Q1328" s="224"/>
      <c r="R1328" s="224"/>
      <c r="S1328" s="224"/>
      <c r="T1328" s="224"/>
      <c r="U1328" s="224"/>
      <c r="V1328" s="224"/>
    </row>
    <row r="1329" spans="1:22" x14ac:dyDescent="0.3">
      <c r="A1329" s="222"/>
      <c r="B1329" s="235"/>
      <c r="C1329" s="227"/>
      <c r="D1329" s="344"/>
      <c r="E1329" s="235"/>
      <c r="F1329" s="235"/>
      <c r="G1329" s="227"/>
      <c r="H1329" s="227"/>
      <c r="I1329" s="350"/>
      <c r="J1329" s="227"/>
      <c r="K1329" s="227"/>
      <c r="L1329" s="224"/>
      <c r="M1329" s="224"/>
      <c r="N1329" s="224"/>
      <c r="O1329" s="224"/>
      <c r="P1329" s="224"/>
      <c r="Q1329" s="224"/>
      <c r="R1329" s="224"/>
      <c r="S1329" s="224"/>
      <c r="T1329" s="224"/>
      <c r="U1329" s="224"/>
      <c r="V1329" s="224"/>
    </row>
    <row r="1330" spans="1:22" x14ac:dyDescent="0.3">
      <c r="A1330" s="222"/>
      <c r="B1330" s="235"/>
      <c r="C1330" s="227"/>
      <c r="D1330" s="344"/>
      <c r="E1330" s="235"/>
      <c r="F1330" s="235"/>
      <c r="G1330" s="227"/>
      <c r="H1330" s="227"/>
      <c r="I1330" s="350"/>
      <c r="J1330" s="227"/>
      <c r="K1330" s="227"/>
      <c r="L1330" s="224"/>
      <c r="M1330" s="224"/>
      <c r="N1330" s="224"/>
      <c r="O1330" s="224"/>
      <c r="P1330" s="224"/>
      <c r="Q1330" s="224"/>
      <c r="R1330" s="224"/>
      <c r="S1330" s="224"/>
      <c r="T1330" s="224"/>
      <c r="U1330" s="224"/>
      <c r="V1330" s="224"/>
    </row>
    <row r="1331" spans="1:22" x14ac:dyDescent="0.3">
      <c r="A1331" s="222"/>
      <c r="B1331" s="235"/>
      <c r="C1331" s="227"/>
      <c r="D1331" s="344"/>
      <c r="E1331" s="235"/>
      <c r="F1331" s="235"/>
      <c r="G1331" s="227"/>
      <c r="H1331" s="227"/>
      <c r="I1331" s="350"/>
      <c r="J1331" s="227"/>
      <c r="K1331" s="227"/>
      <c r="L1331" s="224"/>
      <c r="M1331" s="224"/>
      <c r="N1331" s="224"/>
      <c r="O1331" s="224"/>
      <c r="P1331" s="224"/>
      <c r="Q1331" s="224"/>
      <c r="R1331" s="224"/>
      <c r="S1331" s="224"/>
      <c r="T1331" s="224"/>
      <c r="U1331" s="224"/>
      <c r="V1331" s="224"/>
    </row>
    <row r="1332" spans="1:22" x14ac:dyDescent="0.3">
      <c r="A1332" s="222"/>
      <c r="B1332" s="235"/>
      <c r="C1332" s="227"/>
      <c r="D1332" s="344"/>
      <c r="E1332" s="235"/>
      <c r="F1332" s="235"/>
      <c r="G1332" s="227"/>
      <c r="H1332" s="227"/>
      <c r="I1332" s="350"/>
      <c r="J1332" s="227"/>
      <c r="K1332" s="227"/>
      <c r="L1332" s="224"/>
      <c r="M1332" s="224"/>
      <c r="N1332" s="224"/>
      <c r="O1332" s="224"/>
      <c r="P1332" s="224"/>
      <c r="Q1332" s="224"/>
      <c r="R1332" s="224"/>
      <c r="S1332" s="224"/>
      <c r="T1332" s="224"/>
      <c r="U1332" s="224"/>
      <c r="V1332" s="224"/>
    </row>
    <row r="1333" spans="1:22" x14ac:dyDescent="0.3">
      <c r="A1333" s="222"/>
      <c r="B1333" s="235"/>
      <c r="C1333" s="227"/>
      <c r="D1333" s="344"/>
      <c r="E1333" s="235"/>
      <c r="F1333" s="235"/>
      <c r="G1333" s="227"/>
      <c r="H1333" s="227"/>
      <c r="I1333" s="350"/>
      <c r="J1333" s="227"/>
      <c r="K1333" s="227"/>
      <c r="L1333" s="224"/>
      <c r="M1333" s="224"/>
      <c r="N1333" s="224"/>
      <c r="O1333" s="224"/>
      <c r="P1333" s="224"/>
      <c r="Q1333" s="224"/>
      <c r="R1333" s="224"/>
      <c r="S1333" s="224"/>
      <c r="T1333" s="224"/>
      <c r="U1333" s="224"/>
      <c r="V1333" s="224"/>
    </row>
    <row r="1334" spans="1:22" x14ac:dyDescent="0.3">
      <c r="A1334" s="222"/>
      <c r="B1334" s="235"/>
      <c r="C1334" s="227"/>
      <c r="D1334" s="344"/>
      <c r="E1334" s="235"/>
      <c r="F1334" s="235"/>
      <c r="G1334" s="227"/>
      <c r="H1334" s="227"/>
      <c r="I1334" s="350"/>
      <c r="J1334" s="227"/>
      <c r="K1334" s="227"/>
      <c r="L1334" s="224"/>
      <c r="M1334" s="224"/>
      <c r="N1334" s="224"/>
      <c r="O1334" s="224"/>
      <c r="P1334" s="224"/>
      <c r="Q1334" s="224"/>
      <c r="R1334" s="224"/>
      <c r="S1334" s="224"/>
      <c r="T1334" s="224"/>
      <c r="U1334" s="224"/>
      <c r="V1334" s="224"/>
    </row>
    <row r="1335" spans="1:22" x14ac:dyDescent="0.3">
      <c r="A1335" s="222"/>
      <c r="B1335" s="235"/>
      <c r="C1335" s="227"/>
      <c r="D1335" s="344"/>
      <c r="E1335" s="235"/>
      <c r="F1335" s="235"/>
      <c r="G1335" s="227"/>
      <c r="H1335" s="227"/>
      <c r="I1335" s="350"/>
      <c r="J1335" s="227"/>
      <c r="K1335" s="227"/>
      <c r="L1335" s="224"/>
      <c r="M1335" s="224"/>
      <c r="N1335" s="224"/>
      <c r="O1335" s="224"/>
      <c r="P1335" s="224"/>
      <c r="Q1335" s="224"/>
      <c r="R1335" s="224"/>
      <c r="S1335" s="224"/>
      <c r="T1335" s="224"/>
      <c r="U1335" s="224"/>
      <c r="V1335" s="224"/>
    </row>
    <row r="1336" spans="1:22" x14ac:dyDescent="0.3">
      <c r="A1336" s="222"/>
      <c r="B1336" s="235"/>
      <c r="C1336" s="227"/>
      <c r="D1336" s="344"/>
      <c r="E1336" s="235"/>
      <c r="F1336" s="235"/>
      <c r="G1336" s="227"/>
      <c r="H1336" s="227"/>
      <c r="I1336" s="350"/>
      <c r="J1336" s="227"/>
      <c r="K1336" s="227"/>
      <c r="L1336" s="224"/>
      <c r="M1336" s="224"/>
      <c r="N1336" s="224"/>
      <c r="O1336" s="224"/>
      <c r="P1336" s="224"/>
      <c r="Q1336" s="224"/>
      <c r="R1336" s="224"/>
      <c r="S1336" s="224"/>
      <c r="T1336" s="224"/>
      <c r="U1336" s="224"/>
      <c r="V1336" s="224"/>
    </row>
    <row r="1337" spans="1:22" x14ac:dyDescent="0.3">
      <c r="A1337" s="222"/>
      <c r="B1337" s="235"/>
      <c r="C1337" s="227"/>
      <c r="D1337" s="344"/>
      <c r="E1337" s="235"/>
      <c r="F1337" s="235"/>
      <c r="G1337" s="227"/>
      <c r="H1337" s="227"/>
      <c r="I1337" s="350"/>
      <c r="J1337" s="227"/>
      <c r="K1337" s="227"/>
      <c r="L1337" s="224"/>
      <c r="M1337" s="224"/>
      <c r="N1337" s="224"/>
      <c r="O1337" s="224"/>
      <c r="P1337" s="224"/>
      <c r="Q1337" s="224"/>
      <c r="R1337" s="224"/>
      <c r="S1337" s="224"/>
      <c r="T1337" s="224"/>
      <c r="U1337" s="224"/>
      <c r="V1337" s="224"/>
    </row>
    <row r="1338" spans="1:22" x14ac:dyDescent="0.3">
      <c r="A1338" s="222"/>
      <c r="B1338" s="235"/>
      <c r="C1338" s="227"/>
      <c r="D1338" s="344"/>
      <c r="E1338" s="235"/>
      <c r="F1338" s="235"/>
      <c r="G1338" s="227"/>
      <c r="H1338" s="227"/>
      <c r="I1338" s="350"/>
      <c r="J1338" s="227"/>
      <c r="K1338" s="227"/>
      <c r="L1338" s="224"/>
      <c r="M1338" s="224"/>
      <c r="N1338" s="224"/>
      <c r="O1338" s="224"/>
      <c r="P1338" s="224"/>
      <c r="Q1338" s="224"/>
      <c r="R1338" s="224"/>
      <c r="S1338" s="224"/>
      <c r="T1338" s="224"/>
      <c r="U1338" s="224"/>
      <c r="V1338" s="224"/>
    </row>
    <row r="1339" spans="1:22" x14ac:dyDescent="0.3">
      <c r="A1339" s="222"/>
      <c r="B1339" s="235"/>
      <c r="C1339" s="227"/>
      <c r="D1339" s="344"/>
      <c r="E1339" s="235"/>
      <c r="F1339" s="235"/>
      <c r="G1339" s="227"/>
      <c r="H1339" s="227"/>
      <c r="I1339" s="350"/>
      <c r="J1339" s="227"/>
      <c r="K1339" s="227"/>
      <c r="L1339" s="224"/>
      <c r="M1339" s="224"/>
      <c r="N1339" s="224"/>
      <c r="O1339" s="224"/>
      <c r="P1339" s="224"/>
      <c r="Q1339" s="224"/>
      <c r="R1339" s="224"/>
      <c r="S1339" s="224"/>
      <c r="T1339" s="224"/>
      <c r="U1339" s="224"/>
      <c r="V1339" s="224"/>
    </row>
    <row r="1340" spans="1:22" x14ac:dyDescent="0.3">
      <c r="A1340" s="222"/>
      <c r="B1340" s="235"/>
      <c r="C1340" s="227"/>
      <c r="D1340" s="344"/>
      <c r="E1340" s="235"/>
      <c r="F1340" s="235"/>
      <c r="G1340" s="227"/>
      <c r="H1340" s="227"/>
      <c r="I1340" s="350"/>
      <c r="J1340" s="227"/>
      <c r="K1340" s="227"/>
      <c r="L1340" s="224"/>
      <c r="M1340" s="224"/>
      <c r="N1340" s="224"/>
      <c r="O1340" s="224"/>
      <c r="P1340" s="224"/>
      <c r="Q1340" s="224"/>
      <c r="R1340" s="224"/>
      <c r="S1340" s="224"/>
      <c r="T1340" s="224"/>
      <c r="U1340" s="224"/>
      <c r="V1340" s="224"/>
    </row>
    <row r="1341" spans="1:22" x14ac:dyDescent="0.3">
      <c r="A1341" s="222"/>
      <c r="B1341" s="235"/>
      <c r="C1341" s="227"/>
      <c r="D1341" s="344"/>
      <c r="E1341" s="235"/>
      <c r="F1341" s="235"/>
      <c r="G1341" s="227"/>
      <c r="H1341" s="227"/>
      <c r="I1341" s="350"/>
      <c r="J1341" s="227"/>
      <c r="K1341" s="227"/>
      <c r="L1341" s="224"/>
      <c r="M1341" s="224"/>
      <c r="N1341" s="224"/>
      <c r="O1341" s="224"/>
      <c r="P1341" s="224"/>
      <c r="Q1341" s="224"/>
      <c r="R1341" s="224"/>
      <c r="S1341" s="224"/>
      <c r="T1341" s="224"/>
      <c r="U1341" s="224"/>
      <c r="V1341" s="224"/>
    </row>
    <row r="1342" spans="1:22" x14ac:dyDescent="0.3">
      <c r="A1342" s="222"/>
      <c r="B1342" s="235"/>
      <c r="C1342" s="227"/>
      <c r="D1342" s="344"/>
      <c r="E1342" s="235"/>
      <c r="F1342" s="235"/>
      <c r="G1342" s="227"/>
      <c r="H1342" s="227"/>
      <c r="I1342" s="350"/>
      <c r="J1342" s="227"/>
      <c r="K1342" s="227"/>
      <c r="L1342" s="224"/>
      <c r="M1342" s="224"/>
      <c r="N1342" s="224"/>
      <c r="O1342" s="224"/>
      <c r="P1342" s="224"/>
      <c r="Q1342" s="224"/>
      <c r="R1342" s="224"/>
      <c r="S1342" s="224"/>
      <c r="T1342" s="224"/>
      <c r="U1342" s="224"/>
      <c r="V1342" s="224"/>
    </row>
    <row r="1343" spans="1:22" x14ac:dyDescent="0.3">
      <c r="A1343" s="222"/>
      <c r="B1343" s="235"/>
      <c r="C1343" s="227"/>
      <c r="D1343" s="344"/>
      <c r="E1343" s="235"/>
      <c r="F1343" s="235"/>
      <c r="G1343" s="227"/>
      <c r="H1343" s="227"/>
      <c r="I1343" s="350"/>
      <c r="J1343" s="227"/>
      <c r="K1343" s="227"/>
      <c r="L1343" s="224"/>
      <c r="M1343" s="224"/>
      <c r="N1343" s="224"/>
      <c r="O1343" s="224"/>
      <c r="P1343" s="224"/>
      <c r="Q1343" s="224"/>
      <c r="R1343" s="224"/>
      <c r="S1343" s="224"/>
      <c r="T1343" s="224"/>
      <c r="U1343" s="224"/>
      <c r="V1343" s="224"/>
    </row>
    <row r="1344" spans="1:22" x14ac:dyDescent="0.3">
      <c r="A1344" s="222"/>
      <c r="B1344" s="235"/>
      <c r="C1344" s="227"/>
      <c r="D1344" s="344"/>
      <c r="E1344" s="235"/>
      <c r="F1344" s="235"/>
      <c r="G1344" s="227"/>
      <c r="H1344" s="227"/>
      <c r="I1344" s="350"/>
      <c r="J1344" s="227"/>
      <c r="K1344" s="227"/>
      <c r="L1344" s="224"/>
      <c r="M1344" s="224"/>
      <c r="N1344" s="224"/>
      <c r="O1344" s="224"/>
      <c r="P1344" s="224"/>
      <c r="Q1344" s="224"/>
      <c r="R1344" s="224"/>
      <c r="S1344" s="224"/>
      <c r="T1344" s="224"/>
      <c r="U1344" s="224"/>
      <c r="V1344" s="224"/>
    </row>
    <row r="1345" spans="1:22" x14ac:dyDescent="0.3">
      <c r="A1345" s="222"/>
      <c r="B1345" s="235"/>
      <c r="C1345" s="227"/>
      <c r="D1345" s="344"/>
      <c r="E1345" s="235"/>
      <c r="F1345" s="235"/>
      <c r="G1345" s="227"/>
      <c r="H1345" s="227"/>
      <c r="I1345" s="350"/>
      <c r="J1345" s="227"/>
      <c r="K1345" s="227"/>
      <c r="L1345" s="224"/>
      <c r="M1345" s="224"/>
      <c r="N1345" s="224"/>
      <c r="O1345" s="224"/>
      <c r="P1345" s="224"/>
      <c r="Q1345" s="224"/>
      <c r="R1345" s="224"/>
      <c r="S1345" s="224"/>
      <c r="T1345" s="224"/>
      <c r="U1345" s="224"/>
      <c r="V1345" s="224"/>
    </row>
    <row r="1346" spans="1:22" x14ac:dyDescent="0.3">
      <c r="A1346" s="222"/>
      <c r="B1346" s="235"/>
      <c r="C1346" s="227"/>
      <c r="D1346" s="344"/>
      <c r="E1346" s="235"/>
      <c r="F1346" s="235"/>
      <c r="G1346" s="227"/>
      <c r="H1346" s="227"/>
      <c r="I1346" s="350"/>
      <c r="J1346" s="227"/>
      <c r="K1346" s="227"/>
      <c r="L1346" s="224"/>
      <c r="M1346" s="224"/>
      <c r="N1346" s="224"/>
      <c r="O1346" s="224"/>
      <c r="P1346" s="224"/>
      <c r="Q1346" s="224"/>
      <c r="R1346" s="224"/>
      <c r="S1346" s="224"/>
      <c r="T1346" s="224"/>
      <c r="U1346" s="224"/>
      <c r="V1346" s="224"/>
    </row>
    <row r="1347" spans="1:22" x14ac:dyDescent="0.3">
      <c r="A1347" s="222"/>
      <c r="B1347" s="235"/>
      <c r="C1347" s="227"/>
      <c r="D1347" s="344"/>
      <c r="E1347" s="235"/>
      <c r="F1347" s="235"/>
      <c r="G1347" s="227"/>
      <c r="H1347" s="227"/>
      <c r="I1347" s="350"/>
      <c r="J1347" s="227"/>
      <c r="K1347" s="227"/>
      <c r="L1347" s="224"/>
      <c r="M1347" s="224"/>
      <c r="N1347" s="224"/>
      <c r="O1347" s="224"/>
      <c r="P1347" s="224"/>
      <c r="Q1347" s="224"/>
      <c r="R1347" s="224"/>
      <c r="S1347" s="224"/>
      <c r="T1347" s="224"/>
      <c r="U1347" s="224"/>
      <c r="V1347" s="224"/>
    </row>
    <row r="1348" spans="1:22" x14ac:dyDescent="0.3">
      <c r="A1348" s="222"/>
      <c r="B1348" s="235"/>
      <c r="C1348" s="227"/>
      <c r="D1348" s="344"/>
      <c r="E1348" s="235"/>
      <c r="F1348" s="235"/>
      <c r="G1348" s="227"/>
      <c r="H1348" s="227"/>
      <c r="I1348" s="350"/>
      <c r="J1348" s="227"/>
      <c r="K1348" s="227"/>
      <c r="L1348" s="224"/>
      <c r="M1348" s="224"/>
      <c r="N1348" s="224"/>
      <c r="O1348" s="224"/>
      <c r="P1348" s="224"/>
      <c r="Q1348" s="224"/>
      <c r="R1348" s="224"/>
      <c r="S1348" s="224"/>
      <c r="T1348" s="224"/>
      <c r="U1348" s="224"/>
      <c r="V1348" s="224"/>
    </row>
    <row r="1349" spans="1:22" x14ac:dyDescent="0.3">
      <c r="A1349" s="222"/>
      <c r="B1349" s="235"/>
      <c r="C1349" s="227"/>
      <c r="D1349" s="344"/>
      <c r="E1349" s="235"/>
      <c r="F1349" s="235"/>
      <c r="G1349" s="227"/>
      <c r="H1349" s="227"/>
      <c r="I1349" s="350"/>
      <c r="J1349" s="227"/>
      <c r="K1349" s="227"/>
      <c r="L1349" s="224"/>
      <c r="M1349" s="224"/>
      <c r="N1349" s="224"/>
      <c r="O1349" s="224"/>
      <c r="P1349" s="224"/>
      <c r="Q1349" s="224"/>
      <c r="R1349" s="224"/>
      <c r="S1349" s="224"/>
      <c r="T1349" s="224"/>
      <c r="U1349" s="224"/>
      <c r="V1349" s="224"/>
    </row>
    <row r="1350" spans="1:22" x14ac:dyDescent="0.3">
      <c r="A1350" s="222"/>
      <c r="B1350" s="235"/>
      <c r="C1350" s="227"/>
      <c r="D1350" s="344"/>
      <c r="E1350" s="235"/>
      <c r="F1350" s="235"/>
      <c r="G1350" s="227"/>
      <c r="H1350" s="227"/>
      <c r="I1350" s="350"/>
      <c r="J1350" s="227"/>
      <c r="K1350" s="227"/>
      <c r="L1350" s="224"/>
      <c r="M1350" s="224"/>
      <c r="N1350" s="224"/>
      <c r="O1350" s="224"/>
      <c r="P1350" s="224"/>
      <c r="Q1350" s="224"/>
      <c r="R1350" s="224"/>
      <c r="S1350" s="224"/>
      <c r="T1350" s="224"/>
      <c r="U1350" s="224"/>
      <c r="V1350" s="224"/>
    </row>
    <row r="1351" spans="1:22" x14ac:dyDescent="0.3">
      <c r="A1351" s="222"/>
      <c r="B1351" s="235"/>
      <c r="C1351" s="227"/>
      <c r="D1351" s="344"/>
      <c r="E1351" s="235"/>
      <c r="F1351" s="235"/>
      <c r="G1351" s="227"/>
      <c r="H1351" s="227"/>
      <c r="I1351" s="350"/>
      <c r="J1351" s="227"/>
      <c r="K1351" s="227"/>
      <c r="L1351" s="224"/>
      <c r="M1351" s="224"/>
      <c r="N1351" s="224"/>
      <c r="O1351" s="224"/>
      <c r="P1351" s="224"/>
      <c r="Q1351" s="224"/>
      <c r="R1351" s="224"/>
      <c r="S1351" s="224"/>
      <c r="T1351" s="224"/>
      <c r="U1351" s="224"/>
      <c r="V1351" s="224"/>
    </row>
    <row r="1352" spans="1:22" x14ac:dyDescent="0.3">
      <c r="A1352" s="222"/>
      <c r="B1352" s="235"/>
      <c r="C1352" s="227"/>
      <c r="D1352" s="344"/>
      <c r="E1352" s="235"/>
      <c r="F1352" s="235"/>
      <c r="G1352" s="227"/>
      <c r="H1352" s="227"/>
      <c r="I1352" s="350"/>
      <c r="J1352" s="227"/>
      <c r="K1352" s="227"/>
      <c r="L1352" s="224"/>
      <c r="M1352" s="224"/>
      <c r="N1352" s="224"/>
      <c r="O1352" s="224"/>
      <c r="P1352" s="224"/>
      <c r="Q1352" s="224"/>
      <c r="R1352" s="224"/>
      <c r="S1352" s="224"/>
      <c r="T1352" s="224"/>
      <c r="U1352" s="224"/>
      <c r="V1352" s="224"/>
    </row>
    <row r="1353" spans="1:22" x14ac:dyDescent="0.3">
      <c r="A1353" s="222"/>
      <c r="B1353" s="235"/>
      <c r="C1353" s="227"/>
      <c r="D1353" s="344"/>
      <c r="E1353" s="235"/>
      <c r="F1353" s="235"/>
      <c r="G1353" s="227"/>
      <c r="H1353" s="227"/>
      <c r="I1353" s="350"/>
      <c r="J1353" s="227"/>
      <c r="K1353" s="227"/>
      <c r="L1353" s="224"/>
      <c r="M1353" s="224"/>
      <c r="N1353" s="224"/>
      <c r="O1353" s="224"/>
      <c r="P1353" s="224"/>
      <c r="Q1353" s="224"/>
      <c r="R1353" s="224"/>
      <c r="S1353" s="224"/>
      <c r="T1353" s="224"/>
      <c r="U1353" s="224"/>
      <c r="V1353" s="224"/>
    </row>
    <row r="1354" spans="1:22" x14ac:dyDescent="0.3">
      <c r="A1354" s="222"/>
      <c r="B1354" s="235"/>
      <c r="C1354" s="227"/>
      <c r="D1354" s="344"/>
      <c r="E1354" s="235"/>
      <c r="F1354" s="235"/>
      <c r="G1354" s="227"/>
      <c r="H1354" s="227"/>
      <c r="I1354" s="350"/>
      <c r="J1354" s="227"/>
      <c r="K1354" s="227"/>
      <c r="L1354" s="224"/>
      <c r="M1354" s="224"/>
      <c r="N1354" s="224"/>
      <c r="O1354" s="224"/>
      <c r="P1354" s="224"/>
      <c r="Q1354" s="224"/>
      <c r="R1354" s="224"/>
      <c r="S1354" s="224"/>
      <c r="T1354" s="224"/>
      <c r="U1354" s="224"/>
      <c r="V1354" s="224"/>
    </row>
    <row r="1355" spans="1:22" x14ac:dyDescent="0.3">
      <c r="A1355" s="222"/>
      <c r="B1355" s="235"/>
      <c r="C1355" s="227"/>
      <c r="D1355" s="344"/>
      <c r="E1355" s="235"/>
      <c r="F1355" s="235"/>
      <c r="G1355" s="227"/>
      <c r="H1355" s="227"/>
      <c r="I1355" s="350"/>
      <c r="J1355" s="227"/>
      <c r="K1355" s="227"/>
      <c r="L1355" s="224"/>
      <c r="M1355" s="224"/>
      <c r="N1355" s="224"/>
      <c r="O1355" s="224"/>
      <c r="P1355" s="224"/>
      <c r="Q1355" s="224"/>
      <c r="R1355" s="224"/>
      <c r="S1355" s="224"/>
      <c r="T1355" s="224"/>
      <c r="U1355" s="224"/>
      <c r="V1355" s="224"/>
    </row>
    <row r="1356" spans="1:22" x14ac:dyDescent="0.3">
      <c r="A1356" s="222"/>
      <c r="B1356" s="235"/>
      <c r="C1356" s="227"/>
      <c r="D1356" s="344"/>
      <c r="E1356" s="235"/>
      <c r="F1356" s="235"/>
      <c r="G1356" s="227"/>
      <c r="H1356" s="227"/>
      <c r="I1356" s="350"/>
      <c r="J1356" s="227"/>
      <c r="K1356" s="227"/>
      <c r="L1356" s="224"/>
      <c r="M1356" s="224"/>
      <c r="N1356" s="224"/>
      <c r="O1356" s="224"/>
      <c r="P1356" s="224"/>
      <c r="Q1356" s="224"/>
      <c r="R1356" s="224"/>
      <c r="S1356" s="224"/>
      <c r="T1356" s="224"/>
      <c r="U1356" s="224"/>
      <c r="V1356" s="224"/>
    </row>
    <row r="1357" spans="1:22" x14ac:dyDescent="0.3">
      <c r="A1357" s="222"/>
      <c r="B1357" s="235"/>
      <c r="C1357" s="227"/>
      <c r="D1357" s="344"/>
      <c r="E1357" s="235"/>
      <c r="F1357" s="235"/>
      <c r="G1357" s="227"/>
      <c r="H1357" s="227"/>
      <c r="I1357" s="350"/>
      <c r="J1357" s="227"/>
      <c r="K1357" s="227"/>
      <c r="L1357" s="224"/>
      <c r="M1357" s="224"/>
      <c r="N1357" s="224"/>
      <c r="O1357" s="224"/>
      <c r="P1357" s="224"/>
      <c r="Q1357" s="224"/>
      <c r="R1357" s="224"/>
      <c r="S1357" s="224"/>
      <c r="T1357" s="224"/>
      <c r="U1357" s="224"/>
      <c r="V1357" s="224"/>
    </row>
    <row r="1358" spans="1:22" x14ac:dyDescent="0.3">
      <c r="A1358" s="222"/>
      <c r="B1358" s="235"/>
      <c r="C1358" s="227"/>
      <c r="D1358" s="344"/>
      <c r="E1358" s="235"/>
      <c r="F1358" s="235"/>
      <c r="G1358" s="227"/>
      <c r="H1358" s="227"/>
      <c r="I1358" s="350"/>
      <c r="J1358" s="227"/>
      <c r="K1358" s="227"/>
      <c r="L1358" s="224"/>
      <c r="M1358" s="224"/>
      <c r="N1358" s="224"/>
      <c r="O1358" s="224"/>
      <c r="P1358" s="224"/>
      <c r="Q1358" s="224"/>
      <c r="R1358" s="224"/>
      <c r="S1358" s="224"/>
      <c r="T1358" s="224"/>
      <c r="U1358" s="224"/>
      <c r="V1358" s="224"/>
    </row>
    <row r="1359" spans="1:22" x14ac:dyDescent="0.3">
      <c r="A1359" s="222"/>
      <c r="B1359" s="235"/>
      <c r="C1359" s="227"/>
      <c r="D1359" s="344"/>
      <c r="E1359" s="235"/>
      <c r="F1359" s="235"/>
      <c r="G1359" s="227"/>
      <c r="H1359" s="227"/>
      <c r="I1359" s="350"/>
      <c r="J1359" s="227"/>
      <c r="K1359" s="227"/>
      <c r="L1359" s="224"/>
      <c r="M1359" s="224"/>
      <c r="N1359" s="224"/>
      <c r="O1359" s="224"/>
      <c r="P1359" s="224"/>
      <c r="Q1359" s="224"/>
      <c r="R1359" s="224"/>
      <c r="S1359" s="224"/>
      <c r="T1359" s="224"/>
      <c r="U1359" s="224"/>
      <c r="V1359" s="224"/>
    </row>
    <row r="1360" spans="1:22" x14ac:dyDescent="0.3">
      <c r="A1360" s="222"/>
      <c r="B1360" s="235"/>
      <c r="C1360" s="227"/>
      <c r="D1360" s="344"/>
      <c r="E1360" s="235"/>
      <c r="F1360" s="235"/>
      <c r="G1360" s="227"/>
      <c r="H1360" s="227"/>
      <c r="I1360" s="350"/>
      <c r="J1360" s="227"/>
      <c r="K1360" s="227"/>
      <c r="L1360" s="224"/>
      <c r="M1360" s="224"/>
      <c r="N1360" s="224"/>
      <c r="O1360" s="224"/>
      <c r="P1360" s="224"/>
      <c r="Q1360" s="224"/>
      <c r="R1360" s="224"/>
      <c r="S1360" s="224"/>
      <c r="T1360" s="224"/>
      <c r="U1360" s="224"/>
      <c r="V1360" s="224"/>
    </row>
    <row r="1361" spans="1:22" x14ac:dyDescent="0.3">
      <c r="A1361" s="222"/>
      <c r="B1361" s="235"/>
      <c r="C1361" s="227"/>
      <c r="D1361" s="344"/>
      <c r="E1361" s="235"/>
      <c r="F1361" s="235"/>
      <c r="G1361" s="227"/>
      <c r="H1361" s="227"/>
      <c r="I1361" s="350"/>
      <c r="J1361" s="227"/>
      <c r="K1361" s="227"/>
      <c r="L1361" s="224"/>
      <c r="M1361" s="224"/>
      <c r="N1361" s="224"/>
      <c r="O1361" s="224"/>
      <c r="P1361" s="224"/>
      <c r="Q1361" s="224"/>
      <c r="R1361" s="224"/>
      <c r="S1361" s="224"/>
      <c r="T1361" s="224"/>
      <c r="U1361" s="224"/>
      <c r="V1361" s="224"/>
    </row>
    <row r="1362" spans="1:22" x14ac:dyDescent="0.3">
      <c r="A1362" s="222"/>
      <c r="B1362" s="235"/>
      <c r="C1362" s="227"/>
      <c r="D1362" s="344"/>
      <c r="E1362" s="235"/>
      <c r="F1362" s="235"/>
      <c r="G1362" s="227"/>
      <c r="H1362" s="227"/>
      <c r="I1362" s="350"/>
      <c r="J1362" s="227"/>
      <c r="K1362" s="227"/>
      <c r="L1362" s="224"/>
      <c r="M1362" s="224"/>
      <c r="N1362" s="224"/>
      <c r="O1362" s="224"/>
      <c r="P1362" s="224"/>
      <c r="Q1362" s="224"/>
      <c r="R1362" s="224"/>
      <c r="S1362" s="224"/>
      <c r="T1362" s="224"/>
      <c r="U1362" s="224"/>
      <c r="V1362" s="224"/>
    </row>
    <row r="1363" spans="1:22" x14ac:dyDescent="0.3">
      <c r="A1363" s="222"/>
      <c r="B1363" s="235"/>
      <c r="C1363" s="227"/>
      <c r="D1363" s="344"/>
      <c r="E1363" s="235"/>
      <c r="F1363" s="235"/>
      <c r="G1363" s="227"/>
      <c r="H1363" s="227"/>
      <c r="I1363" s="350"/>
      <c r="J1363" s="227"/>
      <c r="K1363" s="227"/>
      <c r="L1363" s="224"/>
      <c r="M1363" s="224"/>
      <c r="N1363" s="224"/>
      <c r="O1363" s="224"/>
      <c r="P1363" s="224"/>
      <c r="Q1363" s="224"/>
      <c r="R1363" s="224"/>
      <c r="S1363" s="224"/>
      <c r="T1363" s="224"/>
      <c r="U1363" s="224"/>
      <c r="V1363" s="224"/>
    </row>
    <row r="1364" spans="1:22" x14ac:dyDescent="0.3">
      <c r="A1364" s="222"/>
      <c r="B1364" s="235"/>
      <c r="C1364" s="227"/>
      <c r="D1364" s="344"/>
      <c r="E1364" s="235"/>
      <c r="F1364" s="235"/>
      <c r="G1364" s="227"/>
      <c r="H1364" s="227"/>
      <c r="I1364" s="350"/>
      <c r="J1364" s="227"/>
      <c r="K1364" s="227"/>
      <c r="L1364" s="224"/>
      <c r="M1364" s="224"/>
      <c r="N1364" s="224"/>
      <c r="O1364" s="224"/>
      <c r="P1364" s="224"/>
      <c r="Q1364" s="224"/>
      <c r="R1364" s="224"/>
      <c r="S1364" s="224"/>
      <c r="T1364" s="224"/>
      <c r="U1364" s="224"/>
      <c r="V1364" s="224"/>
    </row>
    <row r="1365" spans="1:22" x14ac:dyDescent="0.3">
      <c r="A1365" s="222"/>
      <c r="B1365" s="235"/>
      <c r="C1365" s="227"/>
      <c r="D1365" s="344"/>
      <c r="E1365" s="235"/>
      <c r="F1365" s="235"/>
      <c r="G1365" s="227"/>
      <c r="H1365" s="227"/>
      <c r="I1365" s="350"/>
      <c r="J1365" s="227"/>
      <c r="K1365" s="227"/>
      <c r="L1365" s="224"/>
      <c r="M1365" s="224"/>
      <c r="N1365" s="224"/>
      <c r="O1365" s="224"/>
      <c r="P1365" s="224"/>
      <c r="Q1365" s="224"/>
      <c r="R1365" s="224"/>
      <c r="S1365" s="224"/>
      <c r="T1365" s="224"/>
      <c r="U1365" s="224"/>
      <c r="V1365" s="224"/>
    </row>
    <row r="1366" spans="1:22" x14ac:dyDescent="0.3">
      <c r="A1366" s="222"/>
      <c r="B1366" s="235"/>
      <c r="C1366" s="227"/>
      <c r="D1366" s="344"/>
      <c r="E1366" s="235"/>
      <c r="F1366" s="235"/>
      <c r="G1366" s="227"/>
      <c r="H1366" s="227"/>
      <c r="I1366" s="350"/>
      <c r="J1366" s="227"/>
      <c r="K1366" s="227"/>
      <c r="L1366" s="224"/>
      <c r="M1366" s="224"/>
      <c r="N1366" s="224"/>
      <c r="O1366" s="224"/>
      <c r="P1366" s="224"/>
      <c r="Q1366" s="224"/>
      <c r="R1366" s="224"/>
      <c r="S1366" s="224"/>
      <c r="T1366" s="224"/>
      <c r="U1366" s="224"/>
      <c r="V1366" s="224"/>
    </row>
    <row r="1367" spans="1:22" x14ac:dyDescent="0.3">
      <c r="A1367" s="222"/>
      <c r="B1367" s="235"/>
      <c r="C1367" s="227"/>
      <c r="D1367" s="344"/>
      <c r="E1367" s="235"/>
      <c r="F1367" s="235"/>
      <c r="G1367" s="227"/>
      <c r="H1367" s="227"/>
      <c r="I1367" s="350"/>
      <c r="J1367" s="227"/>
      <c r="K1367" s="227"/>
      <c r="L1367" s="224"/>
      <c r="M1367" s="224"/>
      <c r="N1367" s="224"/>
      <c r="O1367" s="224"/>
      <c r="P1367" s="224"/>
      <c r="Q1367" s="224"/>
      <c r="R1367" s="224"/>
      <c r="S1367" s="224"/>
      <c r="T1367" s="224"/>
      <c r="U1367" s="224"/>
      <c r="V1367" s="224"/>
    </row>
    <row r="1368" spans="1:22" x14ac:dyDescent="0.3">
      <c r="A1368" s="222"/>
      <c r="B1368" s="235"/>
      <c r="C1368" s="227"/>
      <c r="D1368" s="344"/>
      <c r="E1368" s="235"/>
      <c r="F1368" s="235"/>
      <c r="G1368" s="227"/>
      <c r="H1368" s="227"/>
      <c r="I1368" s="350"/>
      <c r="J1368" s="227"/>
      <c r="K1368" s="227"/>
      <c r="L1368" s="224"/>
      <c r="M1368" s="224"/>
      <c r="N1368" s="224"/>
      <c r="O1368" s="224"/>
      <c r="P1368" s="224"/>
      <c r="Q1368" s="224"/>
      <c r="R1368" s="224"/>
      <c r="S1368" s="224"/>
      <c r="T1368" s="224"/>
      <c r="U1368" s="224"/>
      <c r="V1368" s="224"/>
    </row>
    <row r="1369" spans="1:22" x14ac:dyDescent="0.3">
      <c r="A1369" s="222"/>
      <c r="B1369" s="235"/>
      <c r="C1369" s="227"/>
      <c r="D1369" s="344"/>
      <c r="E1369" s="235"/>
      <c r="F1369" s="235"/>
      <c r="G1369" s="227"/>
      <c r="H1369" s="227"/>
      <c r="I1369" s="350"/>
      <c r="J1369" s="227"/>
      <c r="K1369" s="227"/>
      <c r="L1369" s="224"/>
      <c r="M1369" s="224"/>
      <c r="N1369" s="224"/>
      <c r="O1369" s="224"/>
      <c r="P1369" s="224"/>
      <c r="Q1369" s="224"/>
      <c r="R1369" s="224"/>
      <c r="S1369" s="224"/>
      <c r="T1369" s="224"/>
      <c r="U1369" s="224"/>
      <c r="V1369" s="224"/>
    </row>
    <row r="1370" spans="1:22" x14ac:dyDescent="0.3">
      <c r="A1370" s="222"/>
      <c r="B1370" s="235"/>
      <c r="C1370" s="227"/>
      <c r="D1370" s="344"/>
      <c r="E1370" s="235"/>
      <c r="F1370" s="235"/>
      <c r="G1370" s="227"/>
      <c r="H1370" s="227"/>
      <c r="I1370" s="350"/>
      <c r="J1370" s="227"/>
      <c r="K1370" s="227"/>
      <c r="L1370" s="224"/>
      <c r="M1370" s="224"/>
      <c r="N1370" s="224"/>
      <c r="O1370" s="224"/>
      <c r="P1370" s="224"/>
      <c r="Q1370" s="224"/>
      <c r="R1370" s="224"/>
      <c r="S1370" s="224"/>
      <c r="T1370" s="224"/>
      <c r="U1370" s="224"/>
      <c r="V1370" s="224"/>
    </row>
    <row r="1371" spans="1:22" x14ac:dyDescent="0.3">
      <c r="A1371" s="222"/>
      <c r="B1371" s="235"/>
      <c r="C1371" s="227"/>
      <c r="D1371" s="344"/>
      <c r="E1371" s="235"/>
      <c r="F1371" s="235"/>
      <c r="G1371" s="227"/>
      <c r="H1371" s="227"/>
      <c r="I1371" s="350"/>
      <c r="J1371" s="227"/>
      <c r="K1371" s="227"/>
      <c r="L1371" s="224"/>
      <c r="M1371" s="224"/>
      <c r="N1371" s="224"/>
      <c r="O1371" s="224"/>
      <c r="P1371" s="224"/>
      <c r="Q1371" s="224"/>
      <c r="R1371" s="224"/>
      <c r="S1371" s="224"/>
      <c r="T1371" s="224"/>
      <c r="U1371" s="224"/>
      <c r="V1371" s="224"/>
    </row>
    <row r="1372" spans="1:22" x14ac:dyDescent="0.3">
      <c r="A1372" s="222"/>
      <c r="B1372" s="235"/>
      <c r="C1372" s="227"/>
      <c r="D1372" s="344"/>
      <c r="E1372" s="235"/>
      <c r="F1372" s="235"/>
      <c r="G1372" s="227"/>
      <c r="H1372" s="227"/>
      <c r="I1372" s="350"/>
      <c r="J1372" s="227"/>
      <c r="K1372" s="227"/>
      <c r="L1372" s="224"/>
      <c r="M1372" s="224"/>
      <c r="N1372" s="224"/>
      <c r="O1372" s="224"/>
      <c r="P1372" s="224"/>
      <c r="Q1372" s="224"/>
      <c r="R1372" s="224"/>
      <c r="S1372" s="224"/>
      <c r="T1372" s="224"/>
      <c r="U1372" s="224"/>
      <c r="V1372" s="224"/>
    </row>
    <row r="1373" spans="1:22" x14ac:dyDescent="0.3">
      <c r="A1373" s="222"/>
      <c r="B1373" s="235"/>
      <c r="C1373" s="227"/>
      <c r="D1373" s="344"/>
      <c r="E1373" s="235"/>
      <c r="F1373" s="235"/>
      <c r="G1373" s="227"/>
      <c r="H1373" s="227"/>
      <c r="I1373" s="350"/>
      <c r="J1373" s="227"/>
      <c r="K1373" s="227"/>
      <c r="L1373" s="224"/>
      <c r="M1373" s="224"/>
      <c r="N1373" s="224"/>
      <c r="O1373" s="224"/>
      <c r="P1373" s="224"/>
      <c r="Q1373" s="224"/>
      <c r="R1373" s="224"/>
      <c r="S1373" s="224"/>
      <c r="T1373" s="224"/>
      <c r="U1373" s="224"/>
      <c r="V1373" s="224"/>
    </row>
    <row r="1374" spans="1:22" x14ac:dyDescent="0.3">
      <c r="A1374" s="222"/>
      <c r="B1374" s="235"/>
      <c r="C1374" s="227"/>
      <c r="D1374" s="344"/>
      <c r="E1374" s="235"/>
      <c r="F1374" s="235"/>
      <c r="G1374" s="227"/>
      <c r="H1374" s="227"/>
      <c r="I1374" s="350"/>
      <c r="J1374" s="227"/>
      <c r="K1374" s="227"/>
      <c r="L1374" s="224"/>
      <c r="M1374" s="224"/>
      <c r="N1374" s="224"/>
      <c r="O1374" s="224"/>
      <c r="P1374" s="224"/>
      <c r="Q1374" s="224"/>
      <c r="R1374" s="224"/>
      <c r="S1374" s="224"/>
      <c r="T1374" s="224"/>
      <c r="U1374" s="224"/>
      <c r="V1374" s="224"/>
    </row>
    <row r="1375" spans="1:22" x14ac:dyDescent="0.3">
      <c r="A1375" s="222"/>
      <c r="B1375" s="235"/>
      <c r="C1375" s="227"/>
      <c r="D1375" s="344"/>
      <c r="E1375" s="235"/>
      <c r="F1375" s="235"/>
      <c r="G1375" s="227"/>
      <c r="H1375" s="227"/>
      <c r="I1375" s="350"/>
      <c r="J1375" s="227"/>
      <c r="K1375" s="227"/>
      <c r="L1375" s="224"/>
      <c r="M1375" s="224"/>
      <c r="N1375" s="224"/>
      <c r="O1375" s="224"/>
      <c r="P1375" s="224"/>
      <c r="Q1375" s="224"/>
      <c r="R1375" s="224"/>
      <c r="S1375" s="224"/>
      <c r="T1375" s="224"/>
      <c r="U1375" s="224"/>
      <c r="V1375" s="224"/>
    </row>
    <row r="1376" spans="1:22" x14ac:dyDescent="0.3">
      <c r="A1376" s="222"/>
      <c r="B1376" s="235"/>
      <c r="C1376" s="227"/>
      <c r="D1376" s="344"/>
      <c r="E1376" s="235"/>
      <c r="F1376" s="235"/>
      <c r="G1376" s="227"/>
      <c r="H1376" s="227"/>
      <c r="I1376" s="350"/>
      <c r="J1376" s="227"/>
      <c r="K1376" s="227"/>
      <c r="L1376" s="224"/>
      <c r="M1376" s="224"/>
      <c r="N1376" s="224"/>
      <c r="O1376" s="224"/>
      <c r="P1376" s="224"/>
      <c r="Q1376" s="224"/>
      <c r="R1376" s="224"/>
      <c r="S1376" s="224"/>
      <c r="T1376" s="224"/>
      <c r="U1376" s="224"/>
      <c r="V1376" s="224"/>
    </row>
    <row r="1377" spans="1:22" x14ac:dyDescent="0.3">
      <c r="A1377" s="222"/>
      <c r="B1377" s="235"/>
      <c r="C1377" s="227"/>
      <c r="D1377" s="344"/>
      <c r="E1377" s="235"/>
      <c r="F1377" s="235"/>
      <c r="G1377" s="227"/>
      <c r="H1377" s="227"/>
      <c r="I1377" s="350"/>
      <c r="J1377" s="227"/>
      <c r="K1377" s="227"/>
      <c r="L1377" s="224"/>
      <c r="M1377" s="224"/>
      <c r="N1377" s="224"/>
      <c r="O1377" s="224"/>
      <c r="P1377" s="224"/>
      <c r="Q1377" s="224"/>
      <c r="R1377" s="224"/>
      <c r="S1377" s="224"/>
      <c r="T1377" s="224"/>
      <c r="U1377" s="224"/>
      <c r="V1377" s="224"/>
    </row>
    <row r="1378" spans="1:22" x14ac:dyDescent="0.3">
      <c r="A1378" s="222"/>
      <c r="B1378" s="235"/>
      <c r="C1378" s="227"/>
      <c r="D1378" s="344"/>
      <c r="E1378" s="235"/>
      <c r="F1378" s="235"/>
      <c r="G1378" s="227"/>
      <c r="H1378" s="227"/>
      <c r="I1378" s="350"/>
      <c r="J1378" s="227"/>
      <c r="K1378" s="227"/>
      <c r="L1378" s="224"/>
      <c r="M1378" s="224"/>
      <c r="N1378" s="224"/>
      <c r="O1378" s="224"/>
      <c r="P1378" s="224"/>
      <c r="Q1378" s="224"/>
      <c r="R1378" s="224"/>
      <c r="S1378" s="224"/>
      <c r="T1378" s="224"/>
      <c r="U1378" s="224"/>
      <c r="V1378" s="224"/>
    </row>
    <row r="1379" spans="1:22" x14ac:dyDescent="0.3">
      <c r="A1379" s="222"/>
      <c r="B1379" s="235"/>
      <c r="C1379" s="227"/>
      <c r="D1379" s="344"/>
      <c r="E1379" s="235"/>
      <c r="F1379" s="235"/>
      <c r="G1379" s="227"/>
      <c r="H1379" s="227"/>
      <c r="I1379" s="350"/>
      <c r="J1379" s="227"/>
      <c r="K1379" s="227"/>
      <c r="L1379" s="224"/>
      <c r="M1379" s="224"/>
      <c r="N1379" s="224"/>
      <c r="O1379" s="224"/>
      <c r="P1379" s="224"/>
      <c r="Q1379" s="224"/>
      <c r="R1379" s="224"/>
      <c r="S1379" s="224"/>
      <c r="T1379" s="224"/>
      <c r="U1379" s="224"/>
      <c r="V1379" s="224"/>
    </row>
    <row r="1380" spans="1:22" x14ac:dyDescent="0.3">
      <c r="A1380" s="222"/>
      <c r="B1380" s="235"/>
      <c r="C1380" s="227"/>
      <c r="D1380" s="344"/>
      <c r="E1380" s="235"/>
      <c r="F1380" s="235"/>
      <c r="G1380" s="227"/>
      <c r="H1380" s="227"/>
      <c r="I1380" s="350"/>
      <c r="J1380" s="227"/>
      <c r="K1380" s="227"/>
      <c r="L1380" s="224"/>
      <c r="M1380" s="224"/>
      <c r="N1380" s="224"/>
      <c r="O1380" s="224"/>
      <c r="P1380" s="224"/>
      <c r="Q1380" s="224"/>
      <c r="R1380" s="224"/>
      <c r="S1380" s="224"/>
      <c r="T1380" s="224"/>
      <c r="U1380" s="224"/>
      <c r="V1380" s="224"/>
    </row>
    <row r="1381" spans="1:22" x14ac:dyDescent="0.3">
      <c r="A1381" s="222"/>
      <c r="B1381" s="235"/>
      <c r="C1381" s="227"/>
      <c r="D1381" s="344"/>
      <c r="E1381" s="235"/>
      <c r="F1381" s="235"/>
      <c r="G1381" s="227"/>
      <c r="H1381" s="227"/>
      <c r="I1381" s="350"/>
      <c r="J1381" s="227"/>
      <c r="K1381" s="227"/>
      <c r="L1381" s="224"/>
      <c r="M1381" s="224"/>
      <c r="N1381" s="224"/>
      <c r="O1381" s="224"/>
      <c r="P1381" s="224"/>
      <c r="Q1381" s="224"/>
      <c r="R1381" s="224"/>
      <c r="S1381" s="224"/>
      <c r="T1381" s="224"/>
      <c r="U1381" s="224"/>
      <c r="V1381" s="224"/>
    </row>
    <row r="1382" spans="1:22" x14ac:dyDescent="0.3">
      <c r="A1382" s="222"/>
      <c r="B1382" s="235"/>
      <c r="C1382" s="227"/>
      <c r="D1382" s="344"/>
      <c r="E1382" s="235"/>
      <c r="F1382" s="235"/>
      <c r="G1382" s="227"/>
      <c r="H1382" s="227"/>
      <c r="I1382" s="350"/>
      <c r="J1382" s="227"/>
      <c r="K1382" s="227"/>
      <c r="L1382" s="224"/>
      <c r="M1382" s="224"/>
      <c r="N1382" s="224"/>
      <c r="O1382" s="224"/>
      <c r="P1382" s="224"/>
      <c r="Q1382" s="224"/>
      <c r="R1382" s="224"/>
      <c r="S1382" s="224"/>
      <c r="T1382" s="224"/>
      <c r="U1382" s="224"/>
      <c r="V1382" s="224"/>
    </row>
    <row r="1383" spans="1:22" x14ac:dyDescent="0.3">
      <c r="A1383" s="222"/>
      <c r="B1383" s="235"/>
      <c r="C1383" s="227"/>
      <c r="D1383" s="344"/>
      <c r="E1383" s="235"/>
      <c r="F1383" s="235"/>
      <c r="G1383" s="227"/>
      <c r="H1383" s="227"/>
      <c r="I1383" s="350"/>
      <c r="J1383" s="227"/>
      <c r="K1383" s="227"/>
      <c r="L1383" s="224"/>
      <c r="M1383" s="224"/>
      <c r="N1383" s="224"/>
      <c r="O1383" s="224"/>
      <c r="P1383" s="224"/>
      <c r="Q1383" s="224"/>
      <c r="R1383" s="224"/>
      <c r="S1383" s="224"/>
      <c r="T1383" s="224"/>
      <c r="U1383" s="224"/>
      <c r="V1383" s="224"/>
    </row>
    <row r="1384" spans="1:22" x14ac:dyDescent="0.3">
      <c r="A1384" s="222"/>
      <c r="B1384" s="235"/>
      <c r="C1384" s="227"/>
      <c r="D1384" s="344"/>
      <c r="E1384" s="235"/>
      <c r="F1384" s="235"/>
      <c r="G1384" s="227"/>
      <c r="H1384" s="227"/>
      <c r="I1384" s="350"/>
      <c r="J1384" s="227"/>
      <c r="K1384" s="227"/>
      <c r="L1384" s="224"/>
      <c r="M1384" s="224"/>
      <c r="N1384" s="224"/>
      <c r="O1384" s="224"/>
      <c r="P1384" s="224"/>
      <c r="Q1384" s="224"/>
      <c r="R1384" s="224"/>
      <c r="S1384" s="224"/>
      <c r="T1384" s="224"/>
      <c r="U1384" s="224"/>
      <c r="V1384" s="224"/>
    </row>
    <row r="1385" spans="1:22" x14ac:dyDescent="0.3">
      <c r="A1385" s="222"/>
      <c r="B1385" s="235"/>
      <c r="C1385" s="227"/>
      <c r="D1385" s="344"/>
      <c r="E1385" s="235"/>
      <c r="F1385" s="235"/>
      <c r="G1385" s="227"/>
      <c r="H1385" s="227"/>
      <c r="I1385" s="350"/>
      <c r="J1385" s="227"/>
      <c r="K1385" s="227"/>
      <c r="L1385" s="224"/>
      <c r="M1385" s="224"/>
      <c r="N1385" s="224"/>
      <c r="O1385" s="224"/>
      <c r="P1385" s="224"/>
      <c r="Q1385" s="224"/>
      <c r="R1385" s="224"/>
      <c r="S1385" s="224"/>
      <c r="T1385" s="224"/>
      <c r="U1385" s="224"/>
      <c r="V1385" s="224"/>
    </row>
    <row r="1386" spans="1:22" x14ac:dyDescent="0.3">
      <c r="A1386" s="222"/>
      <c r="B1386" s="235"/>
      <c r="C1386" s="227"/>
      <c r="D1386" s="344"/>
      <c r="E1386" s="235"/>
      <c r="F1386" s="235"/>
      <c r="G1386" s="227"/>
      <c r="H1386" s="227"/>
      <c r="I1386" s="350"/>
      <c r="J1386" s="227"/>
      <c r="K1386" s="227"/>
      <c r="L1386" s="224"/>
      <c r="M1386" s="224"/>
      <c r="N1386" s="224"/>
      <c r="O1386" s="224"/>
      <c r="P1386" s="224"/>
      <c r="Q1386" s="224"/>
      <c r="R1386" s="224"/>
      <c r="S1386" s="224"/>
      <c r="T1386" s="224"/>
      <c r="U1386" s="224"/>
      <c r="V1386" s="224"/>
    </row>
    <row r="1387" spans="1:22" x14ac:dyDescent="0.3">
      <c r="A1387" s="222"/>
      <c r="B1387" s="235"/>
      <c r="C1387" s="227"/>
      <c r="D1387" s="344"/>
      <c r="E1387" s="235"/>
      <c r="F1387" s="235"/>
      <c r="G1387" s="227"/>
      <c r="H1387" s="227"/>
      <c r="I1387" s="350"/>
      <c r="J1387" s="227"/>
      <c r="K1387" s="227"/>
      <c r="L1387" s="224"/>
      <c r="M1387" s="224"/>
      <c r="N1387" s="224"/>
      <c r="O1387" s="224"/>
      <c r="P1387" s="224"/>
      <c r="Q1387" s="224"/>
      <c r="R1387" s="224"/>
      <c r="S1387" s="224"/>
      <c r="T1387" s="224"/>
      <c r="U1387" s="224"/>
      <c r="V1387" s="224"/>
    </row>
    <row r="1388" spans="1:22" x14ac:dyDescent="0.3">
      <c r="A1388" s="222"/>
      <c r="B1388" s="235"/>
      <c r="C1388" s="227"/>
      <c r="D1388" s="344"/>
      <c r="E1388" s="235"/>
      <c r="F1388" s="235"/>
      <c r="G1388" s="227"/>
      <c r="H1388" s="227"/>
      <c r="I1388" s="350"/>
      <c r="J1388" s="227"/>
      <c r="K1388" s="227"/>
      <c r="L1388" s="224"/>
      <c r="M1388" s="224"/>
      <c r="N1388" s="224"/>
      <c r="O1388" s="224"/>
      <c r="P1388" s="224"/>
      <c r="Q1388" s="224"/>
      <c r="R1388" s="224"/>
      <c r="S1388" s="224"/>
      <c r="T1388" s="224"/>
      <c r="U1388" s="224"/>
      <c r="V1388" s="224"/>
    </row>
    <row r="1389" spans="1:22" x14ac:dyDescent="0.3">
      <c r="A1389" s="222"/>
      <c r="B1389" s="235"/>
      <c r="C1389" s="227"/>
      <c r="D1389" s="344"/>
      <c r="E1389" s="235"/>
      <c r="F1389" s="235"/>
      <c r="G1389" s="227"/>
      <c r="H1389" s="227"/>
      <c r="I1389" s="350"/>
      <c r="J1389" s="227"/>
      <c r="K1389" s="227"/>
      <c r="L1389" s="224"/>
      <c r="M1389" s="224"/>
      <c r="N1389" s="224"/>
      <c r="O1389" s="224"/>
      <c r="P1389" s="224"/>
      <c r="Q1389" s="224"/>
      <c r="R1389" s="224"/>
      <c r="S1389" s="224"/>
      <c r="T1389" s="224"/>
      <c r="U1389" s="224"/>
      <c r="V1389" s="224"/>
    </row>
    <row r="1390" spans="1:22" x14ac:dyDescent="0.3">
      <c r="A1390" s="222"/>
      <c r="B1390" s="235"/>
      <c r="C1390" s="227"/>
      <c r="D1390" s="344"/>
      <c r="E1390" s="235"/>
      <c r="F1390" s="235"/>
      <c r="G1390" s="227"/>
      <c r="H1390" s="227"/>
      <c r="I1390" s="350"/>
      <c r="J1390" s="227"/>
      <c r="K1390" s="227"/>
      <c r="L1390" s="224"/>
      <c r="M1390" s="224"/>
      <c r="N1390" s="224"/>
      <c r="O1390" s="224"/>
      <c r="P1390" s="224"/>
      <c r="Q1390" s="224"/>
      <c r="R1390" s="224"/>
      <c r="S1390" s="224"/>
      <c r="T1390" s="224"/>
      <c r="U1390" s="224"/>
      <c r="V1390" s="224"/>
    </row>
    <row r="1391" spans="1:22" x14ac:dyDescent="0.3">
      <c r="A1391" s="222"/>
      <c r="B1391" s="235"/>
      <c r="C1391" s="227"/>
      <c r="D1391" s="344"/>
      <c r="E1391" s="235"/>
      <c r="F1391" s="235"/>
      <c r="G1391" s="227"/>
      <c r="H1391" s="227"/>
      <c r="I1391" s="350"/>
      <c r="J1391" s="227"/>
      <c r="K1391" s="227"/>
      <c r="L1391" s="224"/>
      <c r="M1391" s="224"/>
      <c r="N1391" s="224"/>
      <c r="O1391" s="224"/>
      <c r="P1391" s="224"/>
      <c r="Q1391" s="224"/>
      <c r="R1391" s="224"/>
      <c r="S1391" s="224"/>
      <c r="T1391" s="224"/>
      <c r="U1391" s="224"/>
      <c r="V1391" s="224"/>
    </row>
    <row r="1392" spans="1:22" x14ac:dyDescent="0.3">
      <c r="A1392" s="222"/>
      <c r="B1392" s="235"/>
      <c r="C1392" s="227"/>
      <c r="D1392" s="344"/>
      <c r="E1392" s="235"/>
      <c r="F1392" s="235"/>
      <c r="G1392" s="227"/>
      <c r="H1392" s="227"/>
      <c r="I1392" s="350"/>
      <c r="J1392" s="227"/>
      <c r="K1392" s="227"/>
      <c r="L1392" s="224"/>
      <c r="M1392" s="224"/>
      <c r="N1392" s="224"/>
      <c r="O1392" s="224"/>
      <c r="P1392" s="224"/>
      <c r="Q1392" s="224"/>
      <c r="R1392" s="224"/>
      <c r="S1392" s="224"/>
      <c r="T1392" s="224"/>
      <c r="U1392" s="224"/>
      <c r="V1392" s="224"/>
    </row>
    <row r="1393" spans="1:22" x14ac:dyDescent="0.3">
      <c r="A1393" s="222"/>
      <c r="B1393" s="235"/>
      <c r="C1393" s="227"/>
      <c r="D1393" s="344"/>
      <c r="E1393" s="235"/>
      <c r="F1393" s="235"/>
      <c r="G1393" s="227"/>
      <c r="H1393" s="227"/>
      <c r="I1393" s="350"/>
      <c r="J1393" s="227"/>
      <c r="K1393" s="227"/>
      <c r="L1393" s="224"/>
      <c r="M1393" s="224"/>
      <c r="N1393" s="224"/>
      <c r="O1393" s="224"/>
      <c r="P1393" s="224"/>
      <c r="Q1393" s="224"/>
      <c r="R1393" s="224"/>
      <c r="S1393" s="224"/>
      <c r="T1393" s="224"/>
      <c r="U1393" s="224"/>
      <c r="V1393" s="224"/>
    </row>
    <row r="1394" spans="1:22" x14ac:dyDescent="0.3">
      <c r="A1394" s="222"/>
      <c r="B1394" s="235"/>
      <c r="C1394" s="227"/>
      <c r="D1394" s="344"/>
      <c r="E1394" s="235"/>
      <c r="F1394" s="235"/>
      <c r="G1394" s="227"/>
      <c r="H1394" s="227"/>
      <c r="I1394" s="350"/>
      <c r="J1394" s="227"/>
      <c r="K1394" s="227"/>
      <c r="L1394" s="224"/>
      <c r="M1394" s="224"/>
      <c r="N1394" s="224"/>
      <c r="O1394" s="224"/>
      <c r="P1394" s="224"/>
      <c r="Q1394" s="224"/>
      <c r="R1394" s="224"/>
      <c r="S1394" s="224"/>
      <c r="T1394" s="224"/>
      <c r="U1394" s="224"/>
      <c r="V1394" s="224"/>
    </row>
    <row r="1395" spans="1:22" x14ac:dyDescent="0.3">
      <c r="A1395" s="222"/>
      <c r="B1395" s="235"/>
      <c r="C1395" s="227"/>
      <c r="D1395" s="344"/>
      <c r="E1395" s="235"/>
      <c r="F1395" s="235"/>
      <c r="G1395" s="227"/>
      <c r="H1395" s="227"/>
      <c r="I1395" s="350"/>
      <c r="J1395" s="227"/>
      <c r="K1395" s="227"/>
      <c r="L1395" s="224"/>
      <c r="M1395" s="224"/>
      <c r="N1395" s="224"/>
      <c r="O1395" s="224"/>
      <c r="P1395" s="224"/>
      <c r="Q1395" s="224"/>
      <c r="R1395" s="224"/>
      <c r="S1395" s="224"/>
      <c r="T1395" s="224"/>
      <c r="U1395" s="224"/>
      <c r="V1395" s="224"/>
    </row>
    <row r="1396" spans="1:22" x14ac:dyDescent="0.3">
      <c r="A1396" s="222"/>
      <c r="B1396" s="235"/>
      <c r="C1396" s="227"/>
      <c r="D1396" s="344"/>
      <c r="E1396" s="235"/>
      <c r="F1396" s="235"/>
      <c r="G1396" s="227"/>
      <c r="H1396" s="227"/>
      <c r="I1396" s="350"/>
      <c r="J1396" s="227"/>
      <c r="K1396" s="227"/>
      <c r="L1396" s="224"/>
      <c r="M1396" s="224"/>
      <c r="N1396" s="224"/>
      <c r="O1396" s="224"/>
      <c r="P1396" s="224"/>
      <c r="Q1396" s="224"/>
      <c r="R1396" s="224"/>
      <c r="S1396" s="224"/>
      <c r="T1396" s="224"/>
      <c r="U1396" s="224"/>
      <c r="V1396" s="224"/>
    </row>
    <row r="1397" spans="1:22" x14ac:dyDescent="0.3">
      <c r="A1397" s="222"/>
      <c r="B1397" s="235"/>
      <c r="C1397" s="227"/>
      <c r="D1397" s="344"/>
      <c r="E1397" s="235"/>
      <c r="F1397" s="235"/>
      <c r="G1397" s="227"/>
      <c r="H1397" s="227"/>
      <c r="I1397" s="350"/>
      <c r="J1397" s="227"/>
      <c r="K1397" s="227"/>
      <c r="L1397" s="224"/>
      <c r="M1397" s="224"/>
      <c r="N1397" s="224"/>
      <c r="O1397" s="224"/>
      <c r="P1397" s="224"/>
      <c r="Q1397" s="224"/>
      <c r="R1397" s="224"/>
      <c r="S1397" s="224"/>
      <c r="T1397" s="224"/>
      <c r="U1397" s="224"/>
      <c r="V1397" s="224"/>
    </row>
    <row r="1398" spans="1:22" x14ac:dyDescent="0.3">
      <c r="A1398" s="222"/>
      <c r="B1398" s="235"/>
      <c r="C1398" s="227"/>
      <c r="D1398" s="344"/>
      <c r="E1398" s="235"/>
      <c r="F1398" s="235"/>
      <c r="G1398" s="227"/>
      <c r="H1398" s="227"/>
      <c r="I1398" s="350"/>
      <c r="J1398" s="227"/>
      <c r="K1398" s="227"/>
      <c r="L1398" s="224"/>
      <c r="M1398" s="224"/>
      <c r="N1398" s="224"/>
      <c r="O1398" s="224"/>
      <c r="P1398" s="224"/>
      <c r="Q1398" s="224"/>
      <c r="R1398" s="224"/>
      <c r="S1398" s="224"/>
      <c r="T1398" s="224"/>
      <c r="U1398" s="224"/>
      <c r="V1398" s="224"/>
    </row>
    <row r="1399" spans="1:22" x14ac:dyDescent="0.3">
      <c r="A1399" s="222"/>
      <c r="B1399" s="235"/>
      <c r="C1399" s="227"/>
      <c r="D1399" s="344"/>
      <c r="E1399" s="235"/>
      <c r="F1399" s="235"/>
      <c r="G1399" s="227"/>
      <c r="H1399" s="227"/>
      <c r="I1399" s="350"/>
      <c r="J1399" s="227"/>
      <c r="K1399" s="227"/>
      <c r="L1399" s="224"/>
      <c r="M1399" s="224"/>
      <c r="N1399" s="224"/>
      <c r="O1399" s="224"/>
      <c r="P1399" s="224"/>
      <c r="Q1399" s="224"/>
      <c r="R1399" s="224"/>
      <c r="S1399" s="224"/>
      <c r="T1399" s="224"/>
      <c r="U1399" s="224"/>
      <c r="V1399" s="224"/>
    </row>
    <row r="1400" spans="1:22" x14ac:dyDescent="0.3">
      <c r="A1400" s="222"/>
      <c r="B1400" s="235"/>
      <c r="C1400" s="227"/>
      <c r="D1400" s="344"/>
      <c r="E1400" s="235"/>
      <c r="F1400" s="235"/>
      <c r="G1400" s="227"/>
      <c r="H1400" s="227"/>
      <c r="I1400" s="350"/>
      <c r="J1400" s="227"/>
      <c r="K1400" s="227"/>
      <c r="L1400" s="224"/>
      <c r="M1400" s="224"/>
      <c r="N1400" s="224"/>
      <c r="O1400" s="224"/>
      <c r="P1400" s="224"/>
      <c r="Q1400" s="224"/>
      <c r="R1400" s="224"/>
      <c r="S1400" s="224"/>
      <c r="T1400" s="224"/>
      <c r="U1400" s="224"/>
      <c r="V1400" s="224"/>
    </row>
    <row r="1401" spans="1:22" x14ac:dyDescent="0.3">
      <c r="A1401" s="222"/>
      <c r="B1401" s="235"/>
      <c r="C1401" s="227"/>
      <c r="D1401" s="344"/>
      <c r="E1401" s="235"/>
      <c r="F1401" s="235"/>
      <c r="G1401" s="227"/>
      <c r="H1401" s="227"/>
      <c r="I1401" s="350"/>
      <c r="J1401" s="227"/>
      <c r="K1401" s="227"/>
      <c r="L1401" s="224"/>
      <c r="M1401" s="224"/>
      <c r="N1401" s="224"/>
      <c r="O1401" s="224"/>
      <c r="P1401" s="224"/>
      <c r="Q1401" s="224"/>
      <c r="R1401" s="224"/>
      <c r="S1401" s="224"/>
      <c r="T1401" s="224"/>
      <c r="U1401" s="224"/>
      <c r="V1401" s="224"/>
    </row>
    <row r="1402" spans="1:22" x14ac:dyDescent="0.3">
      <c r="A1402" s="222"/>
      <c r="B1402" s="235"/>
      <c r="C1402" s="227"/>
      <c r="D1402" s="344"/>
      <c r="E1402" s="235"/>
      <c r="F1402" s="235"/>
      <c r="G1402" s="227"/>
      <c r="H1402" s="227"/>
      <c r="I1402" s="350"/>
      <c r="J1402" s="227"/>
      <c r="K1402" s="227"/>
      <c r="L1402" s="224"/>
      <c r="M1402" s="224"/>
      <c r="N1402" s="224"/>
      <c r="O1402" s="224"/>
      <c r="P1402" s="224"/>
      <c r="Q1402" s="224"/>
      <c r="R1402" s="224"/>
      <c r="S1402" s="224"/>
      <c r="T1402" s="224"/>
      <c r="U1402" s="224"/>
      <c r="V1402" s="224"/>
    </row>
    <row r="1403" spans="1:22" x14ac:dyDescent="0.3">
      <c r="A1403" s="222"/>
      <c r="B1403" s="235"/>
      <c r="C1403" s="227"/>
      <c r="D1403" s="344"/>
      <c r="E1403" s="235"/>
      <c r="F1403" s="235"/>
      <c r="G1403" s="227"/>
      <c r="H1403" s="227"/>
      <c r="I1403" s="350"/>
      <c r="J1403" s="227"/>
      <c r="K1403" s="227"/>
      <c r="L1403" s="224"/>
      <c r="M1403" s="224"/>
      <c r="N1403" s="224"/>
      <c r="O1403" s="224"/>
      <c r="P1403" s="224"/>
      <c r="Q1403" s="224"/>
      <c r="R1403" s="224"/>
      <c r="S1403" s="224"/>
      <c r="T1403" s="224"/>
      <c r="U1403" s="224"/>
      <c r="V1403" s="224"/>
    </row>
    <row r="1404" spans="1:22" x14ac:dyDescent="0.3">
      <c r="A1404" s="222"/>
      <c r="B1404" s="235"/>
      <c r="C1404" s="227"/>
      <c r="D1404" s="344"/>
      <c r="E1404" s="235"/>
      <c r="F1404" s="235"/>
      <c r="G1404" s="227"/>
      <c r="H1404" s="227"/>
      <c r="I1404" s="350"/>
      <c r="J1404" s="227"/>
      <c r="K1404" s="227"/>
      <c r="L1404" s="224"/>
      <c r="M1404" s="224"/>
      <c r="N1404" s="224"/>
      <c r="O1404" s="224"/>
      <c r="P1404" s="224"/>
      <c r="Q1404" s="224"/>
      <c r="R1404" s="224"/>
      <c r="S1404" s="224"/>
      <c r="T1404" s="224"/>
      <c r="U1404" s="224"/>
      <c r="V1404" s="224"/>
    </row>
    <row r="1405" spans="1:22" x14ac:dyDescent="0.3">
      <c r="A1405" s="222"/>
      <c r="B1405" s="235"/>
      <c r="C1405" s="227"/>
      <c r="D1405" s="344"/>
      <c r="E1405" s="235"/>
      <c r="F1405" s="235"/>
      <c r="G1405" s="227"/>
      <c r="H1405" s="227"/>
      <c r="I1405" s="350"/>
      <c r="J1405" s="227"/>
      <c r="K1405" s="227"/>
      <c r="L1405" s="224"/>
      <c r="M1405" s="224"/>
      <c r="N1405" s="224"/>
      <c r="O1405" s="224"/>
      <c r="P1405" s="224"/>
      <c r="Q1405" s="224"/>
      <c r="R1405" s="224"/>
      <c r="S1405" s="224"/>
      <c r="T1405" s="224"/>
      <c r="U1405" s="224"/>
      <c r="V1405" s="224"/>
    </row>
    <row r="1406" spans="1:22" x14ac:dyDescent="0.3">
      <c r="A1406" s="222"/>
      <c r="B1406" s="235"/>
      <c r="C1406" s="227"/>
      <c r="D1406" s="344"/>
      <c r="E1406" s="235"/>
      <c r="F1406" s="235"/>
      <c r="G1406" s="227"/>
      <c r="H1406" s="227"/>
      <c r="I1406" s="350"/>
      <c r="J1406" s="227"/>
      <c r="K1406" s="227"/>
      <c r="L1406" s="224"/>
      <c r="M1406" s="224"/>
      <c r="N1406" s="224"/>
      <c r="O1406" s="224"/>
      <c r="P1406" s="224"/>
      <c r="Q1406" s="224"/>
      <c r="R1406" s="224"/>
      <c r="S1406" s="224"/>
      <c r="T1406" s="224"/>
      <c r="U1406" s="224"/>
      <c r="V1406" s="224"/>
    </row>
    <row r="1407" spans="1:22" x14ac:dyDescent="0.3">
      <c r="A1407" s="222"/>
      <c r="B1407" s="235"/>
      <c r="C1407" s="227"/>
      <c r="D1407" s="344"/>
      <c r="E1407" s="235"/>
      <c r="F1407" s="235"/>
      <c r="G1407" s="227"/>
      <c r="H1407" s="227"/>
      <c r="I1407" s="350"/>
      <c r="J1407" s="227"/>
      <c r="K1407" s="227"/>
      <c r="L1407" s="224"/>
      <c r="M1407" s="224"/>
      <c r="N1407" s="224"/>
      <c r="O1407" s="224"/>
      <c r="P1407" s="224"/>
      <c r="Q1407" s="224"/>
      <c r="R1407" s="224"/>
      <c r="S1407" s="224"/>
      <c r="T1407" s="224"/>
      <c r="U1407" s="224"/>
      <c r="V1407" s="224"/>
    </row>
    <row r="1408" spans="1:22" x14ac:dyDescent="0.3">
      <c r="A1408" s="222"/>
      <c r="B1408" s="235"/>
      <c r="C1408" s="227"/>
      <c r="D1408" s="344"/>
      <c r="E1408" s="235"/>
      <c r="F1408" s="235"/>
      <c r="G1408" s="227"/>
      <c r="H1408" s="227"/>
      <c r="I1408" s="350"/>
      <c r="J1408" s="227"/>
      <c r="K1408" s="227"/>
      <c r="L1408" s="224"/>
      <c r="M1408" s="224"/>
      <c r="N1408" s="224"/>
      <c r="O1408" s="224"/>
      <c r="P1408" s="224"/>
      <c r="Q1408" s="224"/>
      <c r="R1408" s="224"/>
      <c r="S1408" s="224"/>
      <c r="T1408" s="224"/>
      <c r="U1408" s="224"/>
      <c r="V1408" s="224"/>
    </row>
    <row r="1409" spans="1:22" x14ac:dyDescent="0.3">
      <c r="A1409" s="222"/>
      <c r="B1409" s="235"/>
      <c r="C1409" s="227"/>
      <c r="D1409" s="344"/>
      <c r="E1409" s="235"/>
      <c r="F1409" s="235"/>
      <c r="G1409" s="227"/>
      <c r="H1409" s="227"/>
      <c r="I1409" s="350"/>
      <c r="J1409" s="227"/>
      <c r="K1409" s="227"/>
      <c r="L1409" s="224"/>
      <c r="M1409" s="224"/>
      <c r="N1409" s="224"/>
      <c r="O1409" s="224"/>
      <c r="P1409" s="224"/>
      <c r="Q1409" s="224"/>
      <c r="R1409" s="224"/>
      <c r="S1409" s="224"/>
      <c r="T1409" s="224"/>
      <c r="U1409" s="224"/>
      <c r="V1409" s="224"/>
    </row>
    <row r="1410" spans="1:22" x14ac:dyDescent="0.3">
      <c r="A1410" s="222"/>
      <c r="B1410" s="235"/>
      <c r="C1410" s="227"/>
      <c r="D1410" s="344"/>
      <c r="E1410" s="235"/>
      <c r="F1410" s="235"/>
      <c r="G1410" s="227"/>
      <c r="H1410" s="227"/>
      <c r="I1410" s="350"/>
      <c r="J1410" s="227"/>
      <c r="K1410" s="227"/>
      <c r="L1410" s="224"/>
      <c r="M1410" s="224"/>
      <c r="N1410" s="224"/>
      <c r="O1410" s="224"/>
      <c r="P1410" s="224"/>
      <c r="Q1410" s="224"/>
      <c r="R1410" s="224"/>
      <c r="S1410" s="224"/>
      <c r="T1410" s="224"/>
      <c r="U1410" s="224"/>
      <c r="V1410" s="224"/>
    </row>
    <row r="1411" spans="1:22" x14ac:dyDescent="0.3">
      <c r="A1411" s="222"/>
      <c r="B1411" s="235"/>
      <c r="C1411" s="227"/>
      <c r="D1411" s="344"/>
      <c r="E1411" s="235"/>
      <c r="F1411" s="235"/>
      <c r="G1411" s="227"/>
      <c r="H1411" s="227"/>
      <c r="I1411" s="350"/>
      <c r="J1411" s="227"/>
      <c r="K1411" s="227"/>
      <c r="L1411" s="224"/>
      <c r="M1411" s="224"/>
      <c r="N1411" s="224"/>
      <c r="O1411" s="224"/>
      <c r="P1411" s="224"/>
      <c r="Q1411" s="224"/>
      <c r="R1411" s="224"/>
      <c r="S1411" s="224"/>
      <c r="T1411" s="224"/>
      <c r="U1411" s="224"/>
      <c r="V1411" s="224"/>
    </row>
    <row r="1412" spans="1:22" x14ac:dyDescent="0.3">
      <c r="A1412" s="222"/>
      <c r="B1412" s="235"/>
      <c r="C1412" s="227"/>
      <c r="D1412" s="344"/>
      <c r="E1412" s="235"/>
      <c r="F1412" s="235"/>
      <c r="G1412" s="227"/>
      <c r="H1412" s="227"/>
      <c r="I1412" s="350"/>
      <c r="J1412" s="227"/>
      <c r="K1412" s="227"/>
      <c r="L1412" s="224"/>
      <c r="M1412" s="224"/>
      <c r="N1412" s="224"/>
      <c r="O1412" s="224"/>
      <c r="P1412" s="224"/>
      <c r="Q1412" s="224"/>
      <c r="R1412" s="224"/>
      <c r="S1412" s="224"/>
      <c r="T1412" s="224"/>
      <c r="U1412" s="224"/>
      <c r="V1412" s="224"/>
    </row>
    <row r="1413" spans="1:22" x14ac:dyDescent="0.3">
      <c r="A1413" s="222"/>
      <c r="B1413" s="235"/>
      <c r="C1413" s="227"/>
      <c r="D1413" s="344"/>
      <c r="E1413" s="235"/>
      <c r="F1413" s="235"/>
      <c r="G1413" s="227"/>
      <c r="H1413" s="227"/>
      <c r="I1413" s="350"/>
      <c r="J1413" s="227"/>
      <c r="K1413" s="227"/>
      <c r="L1413" s="224"/>
      <c r="M1413" s="224"/>
      <c r="N1413" s="224"/>
      <c r="O1413" s="224"/>
      <c r="P1413" s="224"/>
      <c r="Q1413" s="224"/>
      <c r="R1413" s="224"/>
      <c r="S1413" s="224"/>
      <c r="T1413" s="224"/>
      <c r="U1413" s="224"/>
      <c r="V1413" s="224"/>
    </row>
    <row r="1414" spans="1:22" x14ac:dyDescent="0.3">
      <c r="A1414" s="222"/>
      <c r="B1414" s="235"/>
      <c r="C1414" s="227"/>
      <c r="D1414" s="344"/>
      <c r="E1414" s="235"/>
      <c r="F1414" s="235"/>
      <c r="G1414" s="227"/>
      <c r="H1414" s="227"/>
      <c r="I1414" s="350"/>
      <c r="J1414" s="227"/>
      <c r="K1414" s="227"/>
      <c r="L1414" s="224"/>
      <c r="M1414" s="224"/>
      <c r="N1414" s="224"/>
      <c r="O1414" s="224"/>
      <c r="P1414" s="224"/>
      <c r="Q1414" s="224"/>
      <c r="R1414" s="224"/>
      <c r="S1414" s="224"/>
      <c r="T1414" s="224"/>
      <c r="U1414" s="224"/>
      <c r="V1414" s="224"/>
    </row>
    <row r="1415" spans="1:22" x14ac:dyDescent="0.3">
      <c r="A1415" s="222"/>
      <c r="B1415" s="235"/>
      <c r="C1415" s="227"/>
      <c r="D1415" s="344"/>
      <c r="E1415" s="235"/>
      <c r="F1415" s="235"/>
      <c r="G1415" s="227"/>
      <c r="H1415" s="227"/>
      <c r="I1415" s="350"/>
      <c r="J1415" s="227"/>
      <c r="K1415" s="227"/>
      <c r="L1415" s="224"/>
      <c r="M1415" s="224"/>
      <c r="N1415" s="224"/>
      <c r="O1415" s="224"/>
      <c r="P1415" s="224"/>
      <c r="Q1415" s="224"/>
      <c r="R1415" s="224"/>
      <c r="S1415" s="224"/>
      <c r="T1415" s="224"/>
      <c r="U1415" s="224"/>
      <c r="V1415" s="224"/>
    </row>
    <row r="1416" spans="1:22" x14ac:dyDescent="0.3">
      <c r="A1416" s="222"/>
      <c r="B1416" s="235"/>
      <c r="C1416" s="227"/>
      <c r="D1416" s="344"/>
      <c r="E1416" s="235"/>
      <c r="F1416" s="235"/>
      <c r="G1416" s="227"/>
      <c r="H1416" s="227"/>
      <c r="I1416" s="350"/>
      <c r="J1416" s="227"/>
      <c r="K1416" s="227"/>
      <c r="L1416" s="224"/>
      <c r="M1416" s="224"/>
      <c r="N1416" s="224"/>
      <c r="O1416" s="224"/>
      <c r="P1416" s="224"/>
      <c r="Q1416" s="224"/>
      <c r="R1416" s="224"/>
      <c r="S1416" s="224"/>
      <c r="T1416" s="224"/>
      <c r="U1416" s="224"/>
      <c r="V1416" s="224"/>
    </row>
    <row r="1417" spans="1:22" x14ac:dyDescent="0.3">
      <c r="A1417" s="222"/>
      <c r="B1417" s="235"/>
      <c r="C1417" s="227"/>
      <c r="D1417" s="344"/>
      <c r="E1417" s="235"/>
      <c r="F1417" s="235"/>
      <c r="G1417" s="227"/>
      <c r="H1417" s="227"/>
      <c r="I1417" s="350"/>
      <c r="J1417" s="227"/>
      <c r="K1417" s="227"/>
      <c r="L1417" s="224"/>
      <c r="M1417" s="224"/>
      <c r="N1417" s="224"/>
      <c r="O1417" s="224"/>
      <c r="P1417" s="224"/>
      <c r="Q1417" s="224"/>
      <c r="R1417" s="224"/>
      <c r="S1417" s="224"/>
      <c r="T1417" s="224"/>
      <c r="U1417" s="224"/>
      <c r="V1417" s="224"/>
    </row>
    <row r="1418" spans="1:22" x14ac:dyDescent="0.3">
      <c r="A1418" s="222"/>
      <c r="B1418" s="235"/>
      <c r="C1418" s="227"/>
      <c r="D1418" s="344"/>
      <c r="E1418" s="235"/>
      <c r="F1418" s="235"/>
      <c r="G1418" s="227"/>
      <c r="H1418" s="227"/>
      <c r="I1418" s="350"/>
      <c r="J1418" s="227"/>
      <c r="K1418" s="227"/>
      <c r="L1418" s="224"/>
      <c r="M1418" s="224"/>
      <c r="N1418" s="224"/>
      <c r="O1418" s="224"/>
      <c r="P1418" s="224"/>
      <c r="Q1418" s="224"/>
      <c r="R1418" s="224"/>
      <c r="S1418" s="224"/>
      <c r="T1418" s="224"/>
      <c r="U1418" s="224"/>
      <c r="V1418" s="224"/>
    </row>
    <row r="1419" spans="1:22" x14ac:dyDescent="0.3">
      <c r="A1419" s="222"/>
      <c r="B1419" s="235"/>
      <c r="C1419" s="227"/>
      <c r="D1419" s="344"/>
      <c r="E1419" s="235"/>
      <c r="F1419" s="235"/>
      <c r="G1419" s="227"/>
      <c r="H1419" s="227"/>
      <c r="I1419" s="350"/>
      <c r="J1419" s="227"/>
      <c r="K1419" s="227"/>
      <c r="L1419" s="224"/>
      <c r="M1419" s="224"/>
      <c r="N1419" s="224"/>
      <c r="O1419" s="224"/>
      <c r="P1419" s="224"/>
      <c r="Q1419" s="224"/>
      <c r="R1419" s="224"/>
      <c r="S1419" s="224"/>
      <c r="T1419" s="224"/>
      <c r="U1419" s="224"/>
      <c r="V1419" s="224"/>
    </row>
    <row r="1420" spans="1:22" x14ac:dyDescent="0.3">
      <c r="A1420" s="222"/>
      <c r="B1420" s="235"/>
      <c r="C1420" s="227"/>
      <c r="D1420" s="344"/>
      <c r="E1420" s="235"/>
      <c r="F1420" s="235"/>
      <c r="G1420" s="227"/>
      <c r="H1420" s="227"/>
      <c r="I1420" s="350"/>
      <c r="J1420" s="227"/>
      <c r="K1420" s="227"/>
      <c r="L1420" s="224"/>
      <c r="M1420" s="224"/>
      <c r="N1420" s="224"/>
      <c r="O1420" s="224"/>
      <c r="P1420" s="224"/>
      <c r="Q1420" s="224"/>
      <c r="R1420" s="224"/>
      <c r="S1420" s="224"/>
      <c r="T1420" s="224"/>
      <c r="U1420" s="224"/>
      <c r="V1420" s="224"/>
    </row>
    <row r="1421" spans="1:22" x14ac:dyDescent="0.3">
      <c r="A1421" s="222"/>
      <c r="B1421" s="235"/>
      <c r="C1421" s="227"/>
      <c r="D1421" s="344"/>
      <c r="E1421" s="235"/>
      <c r="F1421" s="235"/>
      <c r="G1421" s="227"/>
      <c r="H1421" s="227"/>
      <c r="I1421" s="350"/>
      <c r="J1421" s="227"/>
      <c r="K1421" s="227"/>
      <c r="L1421" s="224"/>
      <c r="M1421" s="224"/>
      <c r="N1421" s="224"/>
      <c r="O1421" s="224"/>
      <c r="P1421" s="224"/>
      <c r="Q1421" s="224"/>
      <c r="R1421" s="224"/>
      <c r="S1421" s="224"/>
      <c r="T1421" s="224"/>
      <c r="U1421" s="224"/>
      <c r="V1421" s="224"/>
    </row>
    <row r="1422" spans="1:22" x14ac:dyDescent="0.3">
      <c r="A1422" s="222"/>
      <c r="B1422" s="235"/>
      <c r="C1422" s="227"/>
      <c r="D1422" s="344"/>
      <c r="E1422" s="235"/>
      <c r="F1422" s="235"/>
      <c r="G1422" s="227"/>
      <c r="H1422" s="227"/>
      <c r="I1422" s="350"/>
      <c r="J1422" s="227"/>
      <c r="K1422" s="227"/>
      <c r="L1422" s="224"/>
      <c r="M1422" s="224"/>
      <c r="N1422" s="224"/>
      <c r="O1422" s="224"/>
      <c r="P1422" s="224"/>
      <c r="Q1422" s="224"/>
      <c r="R1422" s="224"/>
      <c r="S1422" s="224"/>
      <c r="T1422" s="224"/>
      <c r="U1422" s="224"/>
      <c r="V1422" s="224"/>
    </row>
    <row r="1423" spans="1:22" x14ac:dyDescent="0.3">
      <c r="A1423" s="222"/>
      <c r="B1423" s="235"/>
      <c r="C1423" s="227"/>
      <c r="D1423" s="344"/>
      <c r="E1423" s="235"/>
      <c r="F1423" s="235"/>
      <c r="G1423" s="227"/>
      <c r="H1423" s="227"/>
      <c r="I1423" s="350"/>
      <c r="J1423" s="227"/>
      <c r="K1423" s="227"/>
      <c r="L1423" s="224"/>
      <c r="M1423" s="224"/>
      <c r="N1423" s="224"/>
      <c r="O1423" s="224"/>
      <c r="P1423" s="224"/>
      <c r="Q1423" s="224"/>
      <c r="R1423" s="224"/>
      <c r="S1423" s="224"/>
      <c r="T1423" s="224"/>
      <c r="U1423" s="224"/>
      <c r="V1423" s="224"/>
    </row>
    <row r="1424" spans="1:22" x14ac:dyDescent="0.3">
      <c r="A1424" s="222"/>
      <c r="B1424" s="235"/>
      <c r="C1424" s="227"/>
      <c r="D1424" s="344"/>
      <c r="E1424" s="235"/>
      <c r="F1424" s="235"/>
      <c r="G1424" s="227"/>
      <c r="H1424" s="227"/>
      <c r="I1424" s="350"/>
      <c r="J1424" s="227"/>
      <c r="K1424" s="227"/>
      <c r="L1424" s="224"/>
      <c r="M1424" s="224"/>
      <c r="N1424" s="224"/>
      <c r="O1424" s="224"/>
      <c r="P1424" s="224"/>
      <c r="Q1424" s="224"/>
      <c r="R1424" s="224"/>
      <c r="S1424" s="224"/>
      <c r="T1424" s="224"/>
      <c r="U1424" s="224"/>
      <c r="V1424" s="224"/>
    </row>
    <row r="1425" spans="1:22" x14ac:dyDescent="0.3">
      <c r="A1425" s="222"/>
      <c r="B1425" s="235"/>
      <c r="C1425" s="227"/>
      <c r="D1425" s="344"/>
      <c r="E1425" s="235"/>
      <c r="F1425" s="235"/>
      <c r="G1425" s="227"/>
      <c r="H1425" s="227"/>
      <c r="I1425" s="350"/>
      <c r="J1425" s="227"/>
      <c r="K1425" s="227"/>
      <c r="L1425" s="224"/>
      <c r="M1425" s="224"/>
      <c r="N1425" s="224"/>
      <c r="O1425" s="224"/>
      <c r="P1425" s="224"/>
      <c r="Q1425" s="224"/>
      <c r="R1425" s="224"/>
      <c r="S1425" s="224"/>
      <c r="T1425" s="224"/>
      <c r="U1425" s="224"/>
      <c r="V1425" s="224"/>
    </row>
    <row r="1426" spans="1:22" x14ac:dyDescent="0.3">
      <c r="A1426" s="222"/>
      <c r="B1426" s="235"/>
      <c r="C1426" s="227"/>
      <c r="D1426" s="344"/>
      <c r="E1426" s="235"/>
      <c r="F1426" s="235"/>
      <c r="G1426" s="227"/>
      <c r="H1426" s="227"/>
      <c r="I1426" s="350"/>
      <c r="J1426" s="227"/>
      <c r="K1426" s="227"/>
      <c r="L1426" s="224"/>
      <c r="M1426" s="224"/>
      <c r="N1426" s="224"/>
      <c r="O1426" s="224"/>
      <c r="P1426" s="224"/>
      <c r="Q1426" s="224"/>
      <c r="R1426" s="224"/>
      <c r="S1426" s="224"/>
      <c r="T1426" s="224"/>
      <c r="U1426" s="224"/>
      <c r="V1426" s="224"/>
    </row>
    <row r="1427" spans="1:22" x14ac:dyDescent="0.3">
      <c r="A1427" s="222"/>
      <c r="B1427" s="235"/>
      <c r="C1427" s="227"/>
      <c r="D1427" s="344"/>
      <c r="E1427" s="235"/>
      <c r="F1427" s="235"/>
      <c r="G1427" s="227"/>
      <c r="H1427" s="227"/>
      <c r="I1427" s="350"/>
      <c r="J1427" s="227"/>
      <c r="K1427" s="227"/>
      <c r="L1427" s="224"/>
      <c r="M1427" s="224"/>
      <c r="N1427" s="224"/>
      <c r="O1427" s="224"/>
      <c r="P1427" s="224"/>
      <c r="Q1427" s="224"/>
      <c r="R1427" s="224"/>
      <c r="S1427" s="224"/>
      <c r="T1427" s="224"/>
      <c r="U1427" s="224"/>
      <c r="V1427" s="224"/>
    </row>
    <row r="1428" spans="1:22" x14ac:dyDescent="0.3">
      <c r="A1428" s="222"/>
      <c r="B1428" s="235"/>
      <c r="C1428" s="227"/>
      <c r="D1428" s="344"/>
      <c r="E1428" s="235"/>
      <c r="F1428" s="235"/>
      <c r="G1428" s="227"/>
      <c r="H1428" s="227"/>
      <c r="I1428" s="350"/>
      <c r="J1428" s="227"/>
      <c r="K1428" s="227"/>
      <c r="L1428" s="224"/>
      <c r="M1428" s="224"/>
      <c r="N1428" s="224"/>
      <c r="O1428" s="224"/>
      <c r="P1428" s="224"/>
      <c r="Q1428" s="224"/>
      <c r="R1428" s="224"/>
      <c r="S1428" s="224"/>
      <c r="T1428" s="224"/>
      <c r="U1428" s="224"/>
      <c r="V1428" s="224"/>
    </row>
    <row r="1429" spans="1:22" x14ac:dyDescent="0.3">
      <c r="A1429" s="222"/>
      <c r="B1429" s="235"/>
      <c r="C1429" s="227"/>
      <c r="D1429" s="344"/>
      <c r="E1429" s="235"/>
      <c r="F1429" s="235"/>
      <c r="G1429" s="227"/>
      <c r="H1429" s="227"/>
      <c r="I1429" s="350"/>
      <c r="J1429" s="227"/>
      <c r="K1429" s="227"/>
      <c r="L1429" s="224"/>
      <c r="M1429" s="224"/>
      <c r="N1429" s="224"/>
      <c r="O1429" s="224"/>
      <c r="P1429" s="224"/>
      <c r="Q1429" s="224"/>
      <c r="R1429" s="224"/>
      <c r="S1429" s="224"/>
      <c r="T1429" s="224"/>
      <c r="U1429" s="224"/>
      <c r="V1429" s="224"/>
    </row>
    <row r="1430" spans="1:22" x14ac:dyDescent="0.3">
      <c r="A1430" s="222"/>
      <c r="B1430" s="235"/>
      <c r="C1430" s="227"/>
      <c r="D1430" s="344"/>
      <c r="E1430" s="235"/>
      <c r="F1430" s="235"/>
      <c r="G1430" s="227"/>
      <c r="H1430" s="227"/>
      <c r="I1430" s="350"/>
      <c r="J1430" s="227"/>
      <c r="K1430" s="227"/>
      <c r="L1430" s="224"/>
      <c r="M1430" s="224"/>
      <c r="N1430" s="224"/>
      <c r="O1430" s="224"/>
      <c r="P1430" s="224"/>
      <c r="Q1430" s="224"/>
      <c r="R1430" s="224"/>
      <c r="S1430" s="224"/>
      <c r="T1430" s="224"/>
      <c r="U1430" s="224"/>
      <c r="V1430" s="224"/>
    </row>
    <row r="1431" spans="1:22" x14ac:dyDescent="0.3">
      <c r="A1431" s="222"/>
      <c r="B1431" s="235"/>
      <c r="C1431" s="227"/>
      <c r="D1431" s="344"/>
      <c r="E1431" s="235"/>
      <c r="F1431" s="235"/>
      <c r="G1431" s="227"/>
      <c r="H1431" s="227"/>
      <c r="I1431" s="350"/>
      <c r="J1431" s="227"/>
      <c r="K1431" s="227"/>
      <c r="L1431" s="224"/>
      <c r="M1431" s="224"/>
      <c r="N1431" s="224"/>
      <c r="O1431" s="224"/>
      <c r="P1431" s="224"/>
      <c r="Q1431" s="224"/>
      <c r="R1431" s="224"/>
      <c r="S1431" s="224"/>
      <c r="T1431" s="224"/>
      <c r="U1431" s="224"/>
      <c r="V1431" s="224"/>
    </row>
    <row r="1432" spans="1:22" x14ac:dyDescent="0.3">
      <c r="A1432" s="222"/>
      <c r="B1432" s="235"/>
      <c r="C1432" s="227"/>
      <c r="D1432" s="344"/>
      <c r="E1432" s="235"/>
      <c r="F1432" s="235"/>
      <c r="G1432" s="227"/>
      <c r="H1432" s="227"/>
      <c r="I1432" s="350"/>
      <c r="J1432" s="227"/>
      <c r="K1432" s="227"/>
      <c r="L1432" s="224"/>
      <c r="M1432" s="224"/>
      <c r="N1432" s="224"/>
      <c r="O1432" s="224"/>
      <c r="P1432" s="224"/>
      <c r="Q1432" s="224"/>
      <c r="R1432" s="224"/>
      <c r="S1432" s="224"/>
      <c r="T1432" s="224"/>
      <c r="U1432" s="224"/>
      <c r="V1432" s="224"/>
    </row>
    <row r="1433" spans="1:22" x14ac:dyDescent="0.3">
      <c r="A1433" s="222"/>
      <c r="B1433" s="235"/>
      <c r="C1433" s="227"/>
      <c r="D1433" s="344"/>
      <c r="E1433" s="235"/>
      <c r="F1433" s="235"/>
      <c r="G1433" s="227"/>
      <c r="H1433" s="227"/>
      <c r="I1433" s="350"/>
      <c r="J1433" s="227"/>
      <c r="K1433" s="227"/>
      <c r="L1433" s="224"/>
      <c r="M1433" s="224"/>
      <c r="N1433" s="224"/>
      <c r="O1433" s="224"/>
      <c r="P1433" s="224"/>
      <c r="Q1433" s="224"/>
      <c r="R1433" s="224"/>
      <c r="S1433" s="224"/>
      <c r="T1433" s="224"/>
      <c r="U1433" s="224"/>
      <c r="V1433" s="224"/>
    </row>
    <row r="1434" spans="1:22" x14ac:dyDescent="0.3">
      <c r="A1434" s="222"/>
      <c r="B1434" s="235"/>
      <c r="C1434" s="227"/>
      <c r="D1434" s="344"/>
      <c r="E1434" s="235"/>
      <c r="F1434" s="235"/>
      <c r="G1434" s="227"/>
      <c r="H1434" s="227"/>
      <c r="I1434" s="350"/>
      <c r="J1434" s="227"/>
      <c r="K1434" s="227"/>
      <c r="L1434" s="224"/>
      <c r="M1434" s="224"/>
      <c r="N1434" s="224"/>
      <c r="O1434" s="224"/>
      <c r="P1434" s="224"/>
      <c r="Q1434" s="224"/>
      <c r="R1434" s="224"/>
      <c r="S1434" s="224"/>
      <c r="T1434" s="224"/>
      <c r="U1434" s="224"/>
      <c r="V1434" s="224"/>
    </row>
    <row r="1435" spans="1:22" x14ac:dyDescent="0.3">
      <c r="A1435" s="222"/>
      <c r="B1435" s="235"/>
      <c r="C1435" s="227"/>
      <c r="D1435" s="344"/>
      <c r="E1435" s="235"/>
      <c r="F1435" s="235"/>
      <c r="G1435" s="227"/>
      <c r="H1435" s="227"/>
      <c r="I1435" s="350"/>
      <c r="J1435" s="227"/>
      <c r="K1435" s="227"/>
      <c r="L1435" s="224"/>
      <c r="M1435" s="224"/>
      <c r="N1435" s="224"/>
      <c r="O1435" s="224"/>
      <c r="P1435" s="224"/>
      <c r="Q1435" s="224"/>
      <c r="R1435" s="224"/>
      <c r="S1435" s="224"/>
      <c r="T1435" s="224"/>
      <c r="U1435" s="224"/>
      <c r="V1435" s="224"/>
    </row>
    <row r="1436" spans="1:22" x14ac:dyDescent="0.3">
      <c r="A1436" s="222"/>
      <c r="B1436" s="235"/>
      <c r="C1436" s="227"/>
      <c r="D1436" s="344"/>
      <c r="E1436" s="235"/>
      <c r="F1436" s="235"/>
      <c r="G1436" s="227"/>
      <c r="H1436" s="227"/>
      <c r="I1436" s="350"/>
      <c r="J1436" s="227"/>
      <c r="K1436" s="227"/>
      <c r="L1436" s="224"/>
      <c r="M1436" s="224"/>
      <c r="N1436" s="224"/>
      <c r="O1436" s="224"/>
      <c r="P1436" s="224"/>
      <c r="Q1436" s="224"/>
      <c r="R1436" s="224"/>
      <c r="S1436" s="224"/>
      <c r="T1436" s="224"/>
      <c r="U1436" s="224"/>
      <c r="V1436" s="224"/>
    </row>
    <row r="1437" spans="1:22" x14ac:dyDescent="0.3">
      <c r="A1437" s="222"/>
      <c r="B1437" s="235"/>
      <c r="C1437" s="227"/>
      <c r="D1437" s="344"/>
      <c r="E1437" s="235"/>
      <c r="F1437" s="235"/>
      <c r="G1437" s="227"/>
      <c r="H1437" s="227"/>
      <c r="I1437" s="350"/>
      <c r="J1437" s="227"/>
      <c r="K1437" s="227"/>
      <c r="L1437" s="224"/>
      <c r="M1437" s="224"/>
      <c r="N1437" s="224"/>
      <c r="O1437" s="224"/>
      <c r="P1437" s="224"/>
      <c r="Q1437" s="224"/>
      <c r="R1437" s="224"/>
      <c r="S1437" s="224"/>
      <c r="T1437" s="224"/>
      <c r="U1437" s="224"/>
      <c r="V1437" s="224"/>
    </row>
    <row r="1438" spans="1:22" x14ac:dyDescent="0.3">
      <c r="A1438" s="222"/>
      <c r="B1438" s="235"/>
      <c r="C1438" s="227"/>
      <c r="D1438" s="344"/>
      <c r="E1438" s="235"/>
      <c r="F1438" s="235"/>
      <c r="G1438" s="227"/>
      <c r="H1438" s="227"/>
      <c r="I1438" s="350"/>
      <c r="J1438" s="227"/>
      <c r="K1438" s="227"/>
      <c r="L1438" s="224"/>
      <c r="M1438" s="224"/>
      <c r="N1438" s="224"/>
      <c r="O1438" s="224"/>
      <c r="P1438" s="224"/>
      <c r="Q1438" s="224"/>
      <c r="R1438" s="224"/>
      <c r="S1438" s="224"/>
      <c r="T1438" s="224"/>
      <c r="U1438" s="224"/>
      <c r="V1438" s="224"/>
    </row>
    <row r="1439" spans="1:22" x14ac:dyDescent="0.3">
      <c r="A1439" s="222"/>
      <c r="B1439" s="235"/>
      <c r="C1439" s="227"/>
      <c r="D1439" s="344"/>
      <c r="E1439" s="235"/>
      <c r="F1439" s="235"/>
      <c r="G1439" s="227"/>
      <c r="H1439" s="227"/>
      <c r="I1439" s="350"/>
      <c r="J1439" s="227"/>
      <c r="K1439" s="227"/>
      <c r="L1439" s="224"/>
      <c r="M1439" s="224"/>
      <c r="N1439" s="224"/>
      <c r="O1439" s="224"/>
      <c r="P1439" s="224"/>
      <c r="Q1439" s="224"/>
      <c r="R1439" s="224"/>
      <c r="S1439" s="224"/>
      <c r="T1439" s="224"/>
      <c r="U1439" s="224"/>
      <c r="V1439" s="224"/>
    </row>
    <row r="1440" spans="1:22" x14ac:dyDescent="0.3">
      <c r="A1440" s="222"/>
      <c r="B1440" s="235"/>
      <c r="C1440" s="227"/>
      <c r="D1440" s="344"/>
      <c r="E1440" s="235"/>
      <c r="F1440" s="235"/>
      <c r="G1440" s="227"/>
      <c r="H1440" s="227"/>
      <c r="I1440" s="350"/>
      <c r="J1440" s="227"/>
      <c r="K1440" s="227"/>
      <c r="L1440" s="224"/>
      <c r="M1440" s="224"/>
      <c r="N1440" s="224"/>
      <c r="O1440" s="224"/>
      <c r="P1440" s="224"/>
      <c r="Q1440" s="224"/>
      <c r="R1440" s="224"/>
      <c r="S1440" s="224"/>
      <c r="T1440" s="224"/>
      <c r="U1440" s="224"/>
      <c r="V1440" s="224"/>
    </row>
    <row r="1441" spans="1:22" x14ac:dyDescent="0.3">
      <c r="A1441" s="222"/>
      <c r="B1441" s="235"/>
      <c r="C1441" s="227"/>
      <c r="D1441" s="344"/>
      <c r="E1441" s="235"/>
      <c r="F1441" s="235"/>
      <c r="G1441" s="227"/>
      <c r="H1441" s="227"/>
      <c r="I1441" s="350"/>
      <c r="J1441" s="227"/>
      <c r="K1441" s="227"/>
      <c r="L1441" s="224"/>
      <c r="M1441" s="224"/>
      <c r="N1441" s="224"/>
      <c r="O1441" s="224"/>
      <c r="P1441" s="224"/>
      <c r="Q1441" s="224"/>
      <c r="R1441" s="224"/>
      <c r="S1441" s="224"/>
      <c r="T1441" s="224"/>
      <c r="U1441" s="224"/>
      <c r="V1441" s="224"/>
    </row>
    <row r="1442" spans="1:22" x14ac:dyDescent="0.3">
      <c r="A1442" s="222"/>
      <c r="B1442" s="235"/>
      <c r="C1442" s="227"/>
      <c r="D1442" s="344"/>
      <c r="E1442" s="235"/>
      <c r="F1442" s="235"/>
      <c r="G1442" s="227"/>
      <c r="H1442" s="227"/>
      <c r="I1442" s="350"/>
      <c r="J1442" s="227"/>
      <c r="K1442" s="227"/>
      <c r="L1442" s="224"/>
      <c r="M1442" s="224"/>
      <c r="N1442" s="224"/>
      <c r="O1442" s="224"/>
      <c r="P1442" s="224"/>
      <c r="Q1442" s="224"/>
      <c r="R1442" s="224"/>
      <c r="S1442" s="224"/>
      <c r="T1442" s="224"/>
      <c r="U1442" s="224"/>
      <c r="V1442" s="224"/>
    </row>
    <row r="1443" spans="1:22" x14ac:dyDescent="0.3">
      <c r="A1443" s="222"/>
      <c r="B1443" s="235"/>
      <c r="C1443" s="227"/>
      <c r="D1443" s="344"/>
      <c r="E1443" s="235"/>
      <c r="F1443" s="235"/>
      <c r="G1443" s="227"/>
      <c r="H1443" s="227"/>
      <c r="I1443" s="350"/>
      <c r="J1443" s="227"/>
      <c r="K1443" s="227"/>
      <c r="L1443" s="224"/>
      <c r="M1443" s="224"/>
      <c r="N1443" s="224"/>
      <c r="O1443" s="224"/>
      <c r="P1443" s="224"/>
      <c r="Q1443" s="224"/>
      <c r="R1443" s="224"/>
      <c r="S1443" s="224"/>
      <c r="T1443" s="224"/>
      <c r="U1443" s="224"/>
      <c r="V1443" s="224"/>
    </row>
    <row r="1444" spans="1:22" x14ac:dyDescent="0.3">
      <c r="A1444" s="222"/>
      <c r="B1444" s="235"/>
      <c r="C1444" s="227"/>
      <c r="D1444" s="344"/>
      <c r="E1444" s="235"/>
      <c r="F1444" s="235"/>
      <c r="G1444" s="227"/>
      <c r="H1444" s="227"/>
      <c r="I1444" s="350"/>
      <c r="J1444" s="227"/>
      <c r="K1444" s="227"/>
      <c r="L1444" s="224"/>
      <c r="M1444" s="224"/>
      <c r="N1444" s="224"/>
      <c r="O1444" s="224"/>
      <c r="P1444" s="224"/>
      <c r="Q1444" s="224"/>
      <c r="R1444" s="224"/>
      <c r="S1444" s="224"/>
      <c r="T1444" s="224"/>
      <c r="U1444" s="224"/>
      <c r="V1444" s="224"/>
    </row>
    <row r="1445" spans="1:22" x14ac:dyDescent="0.3">
      <c r="A1445" s="222"/>
      <c r="B1445" s="235"/>
      <c r="C1445" s="227"/>
      <c r="D1445" s="344"/>
      <c r="E1445" s="235"/>
      <c r="F1445" s="235"/>
      <c r="G1445" s="227"/>
      <c r="H1445" s="227"/>
      <c r="I1445" s="350"/>
      <c r="J1445" s="227"/>
      <c r="K1445" s="227"/>
      <c r="L1445" s="224"/>
      <c r="M1445" s="224"/>
      <c r="N1445" s="224"/>
      <c r="O1445" s="224"/>
      <c r="P1445" s="224"/>
      <c r="Q1445" s="224"/>
      <c r="R1445" s="224"/>
      <c r="S1445" s="224"/>
      <c r="T1445" s="224"/>
      <c r="U1445" s="224"/>
      <c r="V1445" s="224"/>
    </row>
    <row r="1446" spans="1:22" x14ac:dyDescent="0.3">
      <c r="A1446" s="222"/>
      <c r="B1446" s="235"/>
      <c r="C1446" s="227"/>
      <c r="D1446" s="344"/>
      <c r="E1446" s="235"/>
      <c r="F1446" s="235"/>
      <c r="G1446" s="227"/>
      <c r="H1446" s="227"/>
      <c r="I1446" s="350"/>
      <c r="J1446" s="227"/>
      <c r="K1446" s="227"/>
      <c r="L1446" s="224"/>
      <c r="M1446" s="224"/>
      <c r="N1446" s="224"/>
      <c r="O1446" s="224"/>
      <c r="P1446" s="224"/>
      <c r="Q1446" s="224"/>
      <c r="R1446" s="224"/>
      <c r="S1446" s="224"/>
      <c r="T1446" s="224"/>
      <c r="U1446" s="224"/>
      <c r="V1446" s="224"/>
    </row>
    <row r="1447" spans="1:22" x14ac:dyDescent="0.3">
      <c r="A1447" s="222"/>
      <c r="B1447" s="235"/>
      <c r="C1447" s="227"/>
      <c r="D1447" s="344"/>
      <c r="E1447" s="235"/>
      <c r="F1447" s="235"/>
      <c r="G1447" s="227"/>
      <c r="H1447" s="227"/>
      <c r="I1447" s="350"/>
      <c r="J1447" s="227"/>
      <c r="K1447" s="227"/>
      <c r="L1447" s="224"/>
      <c r="M1447" s="224"/>
      <c r="N1447" s="224"/>
      <c r="O1447" s="224"/>
      <c r="P1447" s="224"/>
      <c r="Q1447" s="224"/>
      <c r="R1447" s="224"/>
      <c r="S1447" s="224"/>
      <c r="T1447" s="224"/>
      <c r="U1447" s="224"/>
      <c r="V1447" s="224"/>
    </row>
    <row r="1448" spans="1:22" x14ac:dyDescent="0.3">
      <c r="A1448" s="222"/>
      <c r="B1448" s="235"/>
      <c r="C1448" s="227"/>
      <c r="D1448" s="344"/>
      <c r="E1448" s="235"/>
      <c r="F1448" s="235"/>
      <c r="G1448" s="227"/>
      <c r="H1448" s="227"/>
      <c r="I1448" s="350"/>
      <c r="J1448" s="227"/>
      <c r="K1448" s="227"/>
      <c r="L1448" s="224"/>
      <c r="M1448" s="224"/>
      <c r="N1448" s="224"/>
      <c r="O1448" s="224"/>
      <c r="P1448" s="224"/>
      <c r="Q1448" s="224"/>
      <c r="R1448" s="224"/>
      <c r="S1448" s="224"/>
      <c r="T1448" s="224"/>
      <c r="U1448" s="224"/>
      <c r="V1448" s="224"/>
    </row>
    <row r="1449" spans="1:22" x14ac:dyDescent="0.3">
      <c r="A1449" s="222"/>
      <c r="B1449" s="235"/>
      <c r="C1449" s="227"/>
      <c r="D1449" s="344"/>
      <c r="E1449" s="235"/>
      <c r="F1449" s="235"/>
      <c r="G1449" s="227"/>
      <c r="H1449" s="227"/>
      <c r="I1449" s="350"/>
      <c r="J1449" s="227"/>
      <c r="K1449" s="227"/>
      <c r="L1449" s="224"/>
      <c r="M1449" s="224"/>
      <c r="N1449" s="224"/>
      <c r="O1449" s="224"/>
      <c r="P1449" s="224"/>
      <c r="Q1449" s="224"/>
      <c r="R1449" s="224"/>
      <c r="S1449" s="224"/>
      <c r="T1449" s="224"/>
      <c r="U1449" s="224"/>
      <c r="V1449" s="224"/>
    </row>
    <row r="1450" spans="1:22" x14ac:dyDescent="0.3">
      <c r="A1450" s="222"/>
      <c r="B1450" s="235"/>
      <c r="C1450" s="227"/>
      <c r="D1450" s="344"/>
      <c r="E1450" s="235"/>
      <c r="F1450" s="235"/>
      <c r="G1450" s="227"/>
      <c r="H1450" s="227"/>
      <c r="I1450" s="350"/>
      <c r="J1450" s="227"/>
      <c r="K1450" s="227"/>
      <c r="L1450" s="224"/>
      <c r="M1450" s="224"/>
      <c r="N1450" s="224"/>
      <c r="O1450" s="224"/>
      <c r="P1450" s="224"/>
      <c r="Q1450" s="224"/>
      <c r="R1450" s="224"/>
      <c r="S1450" s="224"/>
      <c r="T1450" s="224"/>
      <c r="U1450" s="224"/>
      <c r="V1450" s="224"/>
    </row>
    <row r="1451" spans="1:22" x14ac:dyDescent="0.3">
      <c r="A1451" s="222"/>
      <c r="B1451" s="235"/>
      <c r="C1451" s="227"/>
      <c r="D1451" s="344"/>
      <c r="E1451" s="235"/>
      <c r="F1451" s="235"/>
      <c r="G1451" s="227"/>
      <c r="H1451" s="227"/>
      <c r="I1451" s="350"/>
      <c r="J1451" s="227"/>
      <c r="K1451" s="227"/>
      <c r="L1451" s="224"/>
      <c r="M1451" s="224"/>
      <c r="N1451" s="224"/>
      <c r="O1451" s="224"/>
      <c r="P1451" s="224"/>
      <c r="Q1451" s="224"/>
      <c r="R1451" s="224"/>
      <c r="S1451" s="224"/>
      <c r="T1451" s="224"/>
      <c r="U1451" s="224"/>
      <c r="V1451" s="224"/>
    </row>
    <row r="1452" spans="1:22" x14ac:dyDescent="0.3">
      <c r="A1452" s="222"/>
      <c r="B1452" s="235"/>
      <c r="C1452" s="227"/>
      <c r="D1452" s="344"/>
      <c r="E1452" s="235"/>
      <c r="F1452" s="235"/>
      <c r="G1452" s="227"/>
      <c r="H1452" s="227"/>
      <c r="I1452" s="350"/>
      <c r="J1452" s="227"/>
      <c r="K1452" s="227"/>
      <c r="L1452" s="224"/>
      <c r="M1452" s="224"/>
      <c r="N1452" s="224"/>
      <c r="O1452" s="224"/>
      <c r="P1452" s="224"/>
      <c r="Q1452" s="224"/>
      <c r="R1452" s="224"/>
      <c r="S1452" s="224"/>
      <c r="T1452" s="224"/>
      <c r="U1452" s="224"/>
      <c r="V1452" s="224"/>
    </row>
    <row r="1453" spans="1:22" x14ac:dyDescent="0.3">
      <c r="A1453" s="222"/>
      <c r="B1453" s="235"/>
      <c r="C1453" s="227"/>
      <c r="D1453" s="344"/>
      <c r="E1453" s="235"/>
      <c r="F1453" s="235"/>
      <c r="G1453" s="227"/>
      <c r="H1453" s="227"/>
      <c r="I1453" s="350"/>
      <c r="J1453" s="227"/>
      <c r="K1453" s="227"/>
      <c r="L1453" s="224"/>
      <c r="M1453" s="224"/>
      <c r="N1453" s="224"/>
      <c r="O1453" s="224"/>
      <c r="P1453" s="224"/>
      <c r="Q1453" s="224"/>
      <c r="R1453" s="224"/>
      <c r="S1453" s="224"/>
      <c r="T1453" s="224"/>
      <c r="U1453" s="224"/>
      <c r="V1453" s="224"/>
    </row>
    <row r="1454" spans="1:22" x14ac:dyDescent="0.3">
      <c r="A1454" s="222"/>
      <c r="B1454" s="235"/>
      <c r="C1454" s="227"/>
      <c r="D1454" s="344"/>
      <c r="E1454" s="235"/>
      <c r="F1454" s="235"/>
      <c r="G1454" s="227"/>
      <c r="H1454" s="227"/>
      <c r="I1454" s="350"/>
      <c r="J1454" s="227"/>
      <c r="K1454" s="227"/>
      <c r="L1454" s="224"/>
      <c r="M1454" s="224"/>
      <c r="N1454" s="224"/>
      <c r="O1454" s="224"/>
      <c r="P1454" s="224"/>
      <c r="Q1454" s="224"/>
      <c r="R1454" s="224"/>
      <c r="S1454" s="224"/>
      <c r="T1454" s="224"/>
      <c r="U1454" s="224"/>
      <c r="V1454" s="224"/>
    </row>
    <row r="1455" spans="1:22" x14ac:dyDescent="0.3">
      <c r="A1455" s="222"/>
      <c r="B1455" s="235"/>
      <c r="C1455" s="227"/>
      <c r="D1455" s="344"/>
      <c r="E1455" s="235"/>
      <c r="F1455" s="235"/>
      <c r="G1455" s="227"/>
      <c r="H1455" s="227"/>
      <c r="I1455" s="350"/>
      <c r="J1455" s="227"/>
      <c r="K1455" s="227"/>
      <c r="L1455" s="224"/>
      <c r="M1455" s="224"/>
      <c r="N1455" s="224"/>
      <c r="O1455" s="224"/>
      <c r="P1455" s="224"/>
      <c r="Q1455" s="224"/>
      <c r="R1455" s="224"/>
      <c r="S1455" s="224"/>
      <c r="T1455" s="224"/>
      <c r="U1455" s="224"/>
      <c r="V1455" s="224"/>
    </row>
    <row r="1456" spans="1:22" x14ac:dyDescent="0.3">
      <c r="A1456" s="222"/>
      <c r="B1456" s="235"/>
      <c r="C1456" s="227"/>
      <c r="D1456" s="344"/>
      <c r="E1456" s="235"/>
      <c r="F1456" s="235"/>
      <c r="G1456" s="227"/>
      <c r="H1456" s="227"/>
      <c r="I1456" s="350"/>
      <c r="J1456" s="227"/>
      <c r="K1456" s="227"/>
      <c r="L1456" s="224"/>
      <c r="M1456" s="224"/>
      <c r="N1456" s="224"/>
      <c r="O1456" s="224"/>
      <c r="P1456" s="224"/>
      <c r="Q1456" s="224"/>
      <c r="R1456" s="224"/>
      <c r="S1456" s="224"/>
      <c r="T1456" s="224"/>
      <c r="U1456" s="224"/>
      <c r="V1456" s="224"/>
    </row>
    <row r="1457" spans="1:22" x14ac:dyDescent="0.3">
      <c r="A1457" s="222"/>
      <c r="B1457" s="235"/>
      <c r="C1457" s="227"/>
      <c r="D1457" s="344"/>
      <c r="E1457" s="235"/>
      <c r="F1457" s="235"/>
      <c r="G1457" s="227"/>
      <c r="H1457" s="227"/>
      <c r="I1457" s="350"/>
      <c r="J1457" s="227"/>
      <c r="K1457" s="227"/>
      <c r="L1457" s="224"/>
      <c r="M1457" s="224"/>
      <c r="N1457" s="224"/>
      <c r="O1457" s="224"/>
      <c r="P1457" s="224"/>
      <c r="Q1457" s="224"/>
      <c r="R1457" s="224"/>
      <c r="S1457" s="224"/>
      <c r="T1457" s="224"/>
      <c r="U1457" s="224"/>
      <c r="V1457" s="224"/>
    </row>
    <row r="1458" spans="1:22" x14ac:dyDescent="0.3">
      <c r="A1458" s="222"/>
      <c r="B1458" s="235"/>
      <c r="C1458" s="227"/>
      <c r="D1458" s="344"/>
      <c r="E1458" s="235"/>
      <c r="F1458" s="235"/>
      <c r="G1458" s="227"/>
      <c r="H1458" s="227"/>
      <c r="I1458" s="350"/>
      <c r="J1458" s="227"/>
      <c r="K1458" s="227"/>
      <c r="L1458" s="224"/>
      <c r="M1458" s="224"/>
      <c r="N1458" s="224"/>
      <c r="O1458" s="224"/>
      <c r="P1458" s="224"/>
      <c r="Q1458" s="224"/>
      <c r="R1458" s="224"/>
      <c r="S1458" s="224"/>
      <c r="T1458" s="224"/>
      <c r="U1458" s="224"/>
      <c r="V1458" s="224"/>
    </row>
    <row r="1459" spans="1:22" x14ac:dyDescent="0.3">
      <c r="A1459" s="222"/>
      <c r="B1459" s="235"/>
      <c r="C1459" s="227"/>
      <c r="D1459" s="344"/>
      <c r="E1459" s="235"/>
      <c r="F1459" s="235"/>
      <c r="G1459" s="227"/>
      <c r="H1459" s="227"/>
      <c r="I1459" s="350"/>
      <c r="J1459" s="227"/>
      <c r="K1459" s="227"/>
      <c r="L1459" s="224"/>
      <c r="M1459" s="224"/>
      <c r="N1459" s="224"/>
      <c r="O1459" s="224"/>
      <c r="P1459" s="224"/>
      <c r="Q1459" s="224"/>
      <c r="R1459" s="224"/>
      <c r="S1459" s="224"/>
      <c r="T1459" s="224"/>
      <c r="U1459" s="224"/>
      <c r="V1459" s="224"/>
    </row>
    <row r="1460" spans="1:22" x14ac:dyDescent="0.3">
      <c r="A1460" s="222"/>
      <c r="B1460" s="235"/>
      <c r="C1460" s="227"/>
      <c r="D1460" s="344"/>
      <c r="E1460" s="235"/>
      <c r="F1460" s="235"/>
      <c r="G1460" s="227"/>
      <c r="H1460" s="227"/>
      <c r="I1460" s="350"/>
      <c r="J1460" s="227"/>
      <c r="K1460" s="227"/>
      <c r="L1460" s="224"/>
      <c r="M1460" s="224"/>
      <c r="N1460" s="224"/>
      <c r="O1460" s="224"/>
      <c r="P1460" s="224"/>
      <c r="Q1460" s="224"/>
      <c r="R1460" s="224"/>
      <c r="S1460" s="224"/>
      <c r="T1460" s="224"/>
      <c r="U1460" s="224"/>
      <c r="V1460" s="224"/>
    </row>
    <row r="1461" spans="1:22" x14ac:dyDescent="0.3">
      <c r="A1461" s="222"/>
      <c r="B1461" s="235"/>
      <c r="C1461" s="227"/>
      <c r="D1461" s="344"/>
      <c r="E1461" s="235"/>
      <c r="F1461" s="235"/>
      <c r="G1461" s="227"/>
      <c r="H1461" s="227"/>
      <c r="I1461" s="350"/>
      <c r="J1461" s="227"/>
      <c r="K1461" s="227"/>
      <c r="L1461" s="224"/>
      <c r="M1461" s="224"/>
      <c r="N1461" s="224"/>
      <c r="O1461" s="224"/>
      <c r="P1461" s="224"/>
      <c r="Q1461" s="224"/>
      <c r="R1461" s="224"/>
      <c r="S1461" s="224"/>
      <c r="T1461" s="224"/>
      <c r="U1461" s="224"/>
      <c r="V1461" s="224"/>
    </row>
    <row r="1462" spans="1:22" x14ac:dyDescent="0.3">
      <c r="A1462" s="222"/>
      <c r="B1462" s="235"/>
      <c r="C1462" s="227"/>
      <c r="D1462" s="344"/>
      <c r="E1462" s="235"/>
      <c r="F1462" s="235"/>
      <c r="G1462" s="227"/>
      <c r="H1462" s="227"/>
      <c r="I1462" s="350"/>
      <c r="J1462" s="227"/>
      <c r="K1462" s="227"/>
      <c r="L1462" s="224"/>
      <c r="M1462" s="224"/>
      <c r="N1462" s="224"/>
      <c r="O1462" s="224"/>
      <c r="P1462" s="224"/>
      <c r="Q1462" s="224"/>
      <c r="R1462" s="224"/>
      <c r="S1462" s="224"/>
      <c r="T1462" s="224"/>
      <c r="U1462" s="224"/>
      <c r="V1462" s="224"/>
    </row>
    <row r="1463" spans="1:22" x14ac:dyDescent="0.3">
      <c r="A1463" s="222"/>
      <c r="B1463" s="235"/>
      <c r="C1463" s="227"/>
      <c r="D1463" s="344"/>
      <c r="E1463" s="235"/>
      <c r="F1463" s="235"/>
      <c r="G1463" s="227"/>
      <c r="H1463" s="227"/>
      <c r="I1463" s="350"/>
      <c r="J1463" s="227"/>
      <c r="K1463" s="227"/>
      <c r="L1463" s="224"/>
      <c r="M1463" s="224"/>
      <c r="N1463" s="224"/>
      <c r="O1463" s="224"/>
      <c r="P1463" s="224"/>
      <c r="Q1463" s="224"/>
      <c r="R1463" s="224"/>
      <c r="S1463" s="224"/>
      <c r="T1463" s="224"/>
      <c r="U1463" s="224"/>
      <c r="V1463" s="224"/>
    </row>
    <row r="1464" spans="1:22" x14ac:dyDescent="0.3">
      <c r="A1464" s="222"/>
      <c r="B1464" s="235"/>
      <c r="C1464" s="227"/>
      <c r="D1464" s="344"/>
      <c r="E1464" s="235"/>
      <c r="F1464" s="235"/>
      <c r="G1464" s="227"/>
      <c r="H1464" s="227"/>
      <c r="I1464" s="350"/>
      <c r="J1464" s="227"/>
      <c r="K1464" s="227"/>
      <c r="L1464" s="224"/>
      <c r="M1464" s="224"/>
      <c r="N1464" s="224"/>
      <c r="O1464" s="224"/>
      <c r="P1464" s="224"/>
      <c r="Q1464" s="224"/>
      <c r="R1464" s="224"/>
      <c r="S1464" s="224"/>
      <c r="T1464" s="224"/>
      <c r="U1464" s="224"/>
      <c r="V1464" s="224"/>
    </row>
    <row r="1465" spans="1:22" x14ac:dyDescent="0.3">
      <c r="A1465" s="222"/>
      <c r="B1465" s="235"/>
      <c r="C1465" s="227"/>
      <c r="D1465" s="344"/>
      <c r="E1465" s="235"/>
      <c r="F1465" s="235"/>
      <c r="G1465" s="227"/>
      <c r="H1465" s="227"/>
      <c r="I1465" s="350"/>
      <c r="J1465" s="227"/>
      <c r="K1465" s="227"/>
      <c r="L1465" s="224"/>
      <c r="M1465" s="224"/>
      <c r="N1465" s="224"/>
      <c r="O1465" s="224"/>
      <c r="P1465" s="224"/>
      <c r="Q1465" s="224"/>
      <c r="R1465" s="224"/>
      <c r="S1465" s="224"/>
      <c r="T1465" s="224"/>
      <c r="U1465" s="224"/>
      <c r="V1465" s="224"/>
    </row>
    <row r="1466" spans="1:22" x14ac:dyDescent="0.3">
      <c r="A1466" s="222"/>
      <c r="B1466" s="235"/>
      <c r="C1466" s="227"/>
      <c r="D1466" s="344"/>
      <c r="E1466" s="235"/>
      <c r="F1466" s="235"/>
      <c r="G1466" s="227"/>
      <c r="H1466" s="227"/>
      <c r="I1466" s="350"/>
      <c r="J1466" s="227"/>
      <c r="K1466" s="227"/>
      <c r="L1466" s="224"/>
      <c r="M1466" s="224"/>
      <c r="N1466" s="224"/>
      <c r="O1466" s="224"/>
      <c r="P1466" s="224"/>
      <c r="Q1466" s="224"/>
      <c r="R1466" s="224"/>
      <c r="S1466" s="224"/>
      <c r="T1466" s="224"/>
      <c r="U1466" s="224"/>
      <c r="V1466" s="224"/>
    </row>
    <row r="1467" spans="1:22" x14ac:dyDescent="0.3">
      <c r="A1467" s="222"/>
      <c r="B1467" s="235"/>
      <c r="C1467" s="227"/>
      <c r="D1467" s="344"/>
      <c r="E1467" s="235"/>
      <c r="F1467" s="235"/>
      <c r="G1467" s="227"/>
      <c r="H1467" s="227"/>
      <c r="I1467" s="350"/>
      <c r="J1467" s="227"/>
      <c r="K1467" s="227"/>
      <c r="L1467" s="224"/>
      <c r="M1467" s="224"/>
      <c r="N1467" s="224"/>
      <c r="O1467" s="224"/>
      <c r="P1467" s="224"/>
      <c r="Q1467" s="224"/>
      <c r="R1467" s="224"/>
      <c r="S1467" s="224"/>
      <c r="T1467" s="224"/>
      <c r="U1467" s="224"/>
      <c r="V1467" s="224"/>
    </row>
    <row r="1468" spans="1:22" x14ac:dyDescent="0.3">
      <c r="A1468" s="222"/>
      <c r="B1468" s="235"/>
      <c r="C1468" s="227"/>
      <c r="D1468" s="344"/>
      <c r="E1468" s="235"/>
      <c r="F1468" s="235"/>
      <c r="G1468" s="227"/>
      <c r="H1468" s="227"/>
      <c r="I1468" s="350"/>
      <c r="J1468" s="227"/>
      <c r="K1468" s="227"/>
      <c r="L1468" s="224"/>
      <c r="M1468" s="224"/>
      <c r="N1468" s="224"/>
      <c r="O1468" s="224"/>
      <c r="P1468" s="224"/>
      <c r="Q1468" s="224"/>
      <c r="R1468" s="224"/>
      <c r="S1468" s="224"/>
      <c r="T1468" s="224"/>
      <c r="U1468" s="224"/>
      <c r="V1468" s="224"/>
    </row>
    <row r="1469" spans="1:22" x14ac:dyDescent="0.3">
      <c r="A1469" s="222"/>
      <c r="B1469" s="235"/>
      <c r="C1469" s="227"/>
      <c r="D1469" s="344"/>
      <c r="E1469" s="235"/>
      <c r="F1469" s="235"/>
      <c r="G1469" s="227"/>
      <c r="H1469" s="227"/>
      <c r="I1469" s="350"/>
      <c r="J1469" s="227"/>
      <c r="K1469" s="227"/>
      <c r="L1469" s="224"/>
      <c r="M1469" s="224"/>
      <c r="N1469" s="224"/>
      <c r="O1469" s="224"/>
      <c r="P1469" s="224"/>
      <c r="Q1469" s="224"/>
      <c r="R1469" s="224"/>
      <c r="S1469" s="224"/>
      <c r="T1469" s="224"/>
      <c r="U1469" s="224"/>
      <c r="V1469" s="224"/>
    </row>
    <row r="1470" spans="1:22" x14ac:dyDescent="0.3">
      <c r="A1470" s="222"/>
      <c r="B1470" s="235"/>
      <c r="C1470" s="227"/>
      <c r="D1470" s="344"/>
      <c r="E1470" s="235"/>
      <c r="F1470" s="235"/>
      <c r="G1470" s="227"/>
      <c r="H1470" s="227"/>
      <c r="I1470" s="350"/>
      <c r="J1470" s="227"/>
      <c r="K1470" s="227"/>
      <c r="L1470" s="224"/>
      <c r="M1470" s="224"/>
      <c r="N1470" s="224"/>
      <c r="O1470" s="224"/>
      <c r="P1470" s="224"/>
      <c r="Q1470" s="224"/>
      <c r="R1470" s="224"/>
      <c r="S1470" s="224"/>
      <c r="T1470" s="224"/>
      <c r="U1470" s="224"/>
      <c r="V1470" s="224"/>
    </row>
    <row r="1471" spans="1:22" x14ac:dyDescent="0.3">
      <c r="A1471" s="222"/>
      <c r="B1471" s="235"/>
      <c r="C1471" s="227"/>
      <c r="D1471" s="344"/>
      <c r="E1471" s="235"/>
      <c r="F1471" s="235"/>
      <c r="G1471" s="227"/>
      <c r="H1471" s="227"/>
      <c r="I1471" s="350"/>
      <c r="J1471" s="227"/>
      <c r="K1471" s="227"/>
      <c r="L1471" s="224"/>
      <c r="M1471" s="224"/>
      <c r="N1471" s="224"/>
      <c r="O1471" s="224"/>
      <c r="P1471" s="224"/>
      <c r="Q1471" s="224"/>
      <c r="R1471" s="224"/>
      <c r="S1471" s="224"/>
      <c r="T1471" s="224"/>
      <c r="U1471" s="224"/>
      <c r="V1471" s="224"/>
    </row>
    <row r="1472" spans="1:22" x14ac:dyDescent="0.3">
      <c r="A1472" s="222"/>
      <c r="B1472" s="235"/>
      <c r="C1472" s="227"/>
      <c r="D1472" s="344"/>
      <c r="E1472" s="235"/>
      <c r="F1472" s="235"/>
      <c r="G1472" s="227"/>
      <c r="H1472" s="227"/>
      <c r="I1472" s="350"/>
      <c r="J1472" s="227"/>
      <c r="K1472" s="227"/>
      <c r="L1472" s="224"/>
      <c r="M1472" s="224"/>
      <c r="N1472" s="224"/>
      <c r="O1472" s="224"/>
      <c r="P1472" s="224"/>
      <c r="Q1472" s="224"/>
      <c r="R1472" s="224"/>
      <c r="S1472" s="224"/>
      <c r="T1472" s="224"/>
      <c r="U1472" s="224"/>
      <c r="V1472" s="224"/>
    </row>
    <row r="1473" spans="1:22" x14ac:dyDescent="0.3">
      <c r="A1473" s="222"/>
      <c r="B1473" s="235"/>
      <c r="C1473" s="227"/>
      <c r="D1473" s="344"/>
      <c r="E1473" s="235"/>
      <c r="F1473" s="235"/>
      <c r="G1473" s="227"/>
      <c r="H1473" s="227"/>
      <c r="I1473" s="350"/>
      <c r="J1473" s="227"/>
      <c r="K1473" s="227"/>
      <c r="L1473" s="224"/>
      <c r="M1473" s="224"/>
      <c r="N1473" s="224"/>
      <c r="O1473" s="224"/>
      <c r="P1473" s="224"/>
      <c r="Q1473" s="224"/>
      <c r="R1473" s="224"/>
      <c r="S1473" s="224"/>
      <c r="T1473" s="224"/>
      <c r="U1473" s="224"/>
      <c r="V1473" s="224"/>
    </row>
    <row r="1474" spans="1:22" x14ac:dyDescent="0.3">
      <c r="A1474" s="222"/>
      <c r="B1474" s="235"/>
      <c r="C1474" s="227"/>
      <c r="D1474" s="344"/>
      <c r="E1474" s="235"/>
      <c r="F1474" s="235"/>
      <c r="G1474" s="227"/>
      <c r="H1474" s="227"/>
      <c r="I1474" s="350"/>
      <c r="J1474" s="227"/>
      <c r="K1474" s="227"/>
      <c r="L1474" s="224"/>
      <c r="M1474" s="224"/>
      <c r="N1474" s="224"/>
      <c r="O1474" s="224"/>
      <c r="P1474" s="224"/>
      <c r="Q1474" s="224"/>
      <c r="R1474" s="224"/>
      <c r="S1474" s="224"/>
      <c r="T1474" s="224"/>
      <c r="U1474" s="224"/>
      <c r="V1474" s="224"/>
    </row>
    <row r="1475" spans="1:22" x14ac:dyDescent="0.3">
      <c r="A1475" s="222"/>
      <c r="B1475" s="235"/>
      <c r="C1475" s="227"/>
      <c r="D1475" s="344"/>
      <c r="E1475" s="235"/>
      <c r="F1475" s="235"/>
      <c r="G1475" s="227"/>
      <c r="H1475" s="227"/>
      <c r="I1475" s="350"/>
      <c r="J1475" s="227"/>
      <c r="K1475" s="227"/>
      <c r="L1475" s="224"/>
      <c r="M1475" s="224"/>
      <c r="N1475" s="224"/>
      <c r="O1475" s="224"/>
      <c r="P1475" s="224"/>
      <c r="Q1475" s="224"/>
      <c r="R1475" s="224"/>
      <c r="S1475" s="224"/>
      <c r="T1475" s="224"/>
      <c r="U1475" s="224"/>
      <c r="V1475" s="224"/>
    </row>
    <row r="1476" spans="1:22" x14ac:dyDescent="0.3">
      <c r="A1476" s="222"/>
      <c r="B1476" s="235"/>
      <c r="C1476" s="227"/>
      <c r="D1476" s="344"/>
      <c r="E1476" s="235"/>
      <c r="F1476" s="235"/>
      <c r="G1476" s="227"/>
      <c r="H1476" s="227"/>
      <c r="I1476" s="350"/>
      <c r="J1476" s="227"/>
      <c r="K1476" s="227"/>
      <c r="L1476" s="224"/>
      <c r="M1476" s="224"/>
      <c r="N1476" s="224"/>
      <c r="O1476" s="224"/>
      <c r="P1476" s="224"/>
      <c r="Q1476" s="224"/>
      <c r="R1476" s="224"/>
      <c r="S1476" s="224"/>
      <c r="T1476" s="224"/>
      <c r="U1476" s="224"/>
      <c r="V1476" s="224"/>
    </row>
    <row r="1477" spans="1:22" x14ac:dyDescent="0.3">
      <c r="A1477" s="222"/>
      <c r="B1477" s="235"/>
      <c r="C1477" s="227"/>
      <c r="D1477" s="344"/>
      <c r="E1477" s="235"/>
      <c r="F1477" s="235"/>
      <c r="G1477" s="227"/>
      <c r="H1477" s="227"/>
      <c r="I1477" s="350"/>
      <c r="J1477" s="227"/>
      <c r="K1477" s="227"/>
      <c r="L1477" s="224"/>
      <c r="M1477" s="224"/>
      <c r="N1477" s="224"/>
      <c r="O1477" s="224"/>
      <c r="P1477" s="224"/>
      <c r="Q1477" s="224"/>
      <c r="R1477" s="224"/>
      <c r="S1477" s="224"/>
      <c r="T1477" s="224"/>
      <c r="U1477" s="224"/>
      <c r="V1477" s="224"/>
    </row>
    <row r="1478" spans="1:22" x14ac:dyDescent="0.3">
      <c r="A1478" s="222"/>
      <c r="B1478" s="235"/>
      <c r="C1478" s="227"/>
      <c r="D1478" s="344"/>
      <c r="E1478" s="235"/>
      <c r="F1478" s="235"/>
      <c r="G1478" s="227"/>
      <c r="H1478" s="227"/>
      <c r="I1478" s="350"/>
      <c r="J1478" s="227"/>
      <c r="K1478" s="227"/>
      <c r="L1478" s="224"/>
      <c r="M1478" s="224"/>
      <c r="N1478" s="224"/>
      <c r="O1478" s="224"/>
      <c r="P1478" s="224"/>
      <c r="Q1478" s="224"/>
      <c r="R1478" s="224"/>
      <c r="S1478" s="224"/>
      <c r="T1478" s="224"/>
      <c r="U1478" s="224"/>
      <c r="V1478" s="224"/>
    </row>
    <row r="1479" spans="1:22" x14ac:dyDescent="0.3">
      <c r="A1479" s="222"/>
      <c r="B1479" s="235"/>
      <c r="C1479" s="227"/>
      <c r="D1479" s="344"/>
      <c r="E1479" s="235"/>
      <c r="F1479" s="235"/>
      <c r="G1479" s="227"/>
      <c r="H1479" s="227"/>
      <c r="I1479" s="350"/>
      <c r="J1479" s="227"/>
      <c r="K1479" s="227"/>
      <c r="L1479" s="224"/>
      <c r="M1479" s="224"/>
      <c r="N1479" s="224"/>
      <c r="O1479" s="224"/>
      <c r="P1479" s="224"/>
      <c r="Q1479" s="224"/>
      <c r="R1479" s="224"/>
      <c r="S1479" s="224"/>
      <c r="T1479" s="224"/>
      <c r="U1479" s="224"/>
      <c r="V1479" s="224"/>
    </row>
    <row r="1480" spans="1:22" x14ac:dyDescent="0.3">
      <c r="A1480" s="222"/>
      <c r="B1480" s="235"/>
      <c r="C1480" s="227"/>
      <c r="D1480" s="344"/>
      <c r="E1480" s="235"/>
      <c r="F1480" s="235"/>
      <c r="G1480" s="227"/>
      <c r="H1480" s="227"/>
      <c r="I1480" s="350"/>
      <c r="J1480" s="227"/>
      <c r="K1480" s="227"/>
      <c r="L1480" s="224"/>
      <c r="M1480" s="224"/>
      <c r="N1480" s="224"/>
      <c r="O1480" s="224"/>
      <c r="P1480" s="224"/>
      <c r="Q1480" s="224"/>
      <c r="R1480" s="224"/>
      <c r="S1480" s="224"/>
      <c r="T1480" s="224"/>
      <c r="U1480" s="224"/>
      <c r="V1480" s="224"/>
    </row>
    <row r="1481" spans="1:22" x14ac:dyDescent="0.3">
      <c r="A1481" s="222"/>
      <c r="B1481" s="235"/>
      <c r="C1481" s="227"/>
      <c r="D1481" s="344"/>
      <c r="E1481" s="235"/>
      <c r="F1481" s="235"/>
      <c r="G1481" s="227"/>
      <c r="H1481" s="227"/>
      <c r="I1481" s="350"/>
      <c r="J1481" s="227"/>
      <c r="K1481" s="227"/>
      <c r="L1481" s="224"/>
      <c r="M1481" s="224"/>
      <c r="N1481" s="224"/>
      <c r="O1481" s="224"/>
      <c r="P1481" s="224"/>
      <c r="Q1481" s="224"/>
      <c r="R1481" s="224"/>
      <c r="S1481" s="224"/>
      <c r="T1481" s="224"/>
      <c r="U1481" s="224"/>
      <c r="V1481" s="224"/>
    </row>
    <row r="1482" spans="1:22" x14ac:dyDescent="0.3">
      <c r="A1482" s="222"/>
      <c r="B1482" s="235"/>
      <c r="C1482" s="227"/>
      <c r="D1482" s="344"/>
      <c r="E1482" s="235"/>
      <c r="F1482" s="235"/>
      <c r="G1482" s="227"/>
      <c r="H1482" s="227"/>
      <c r="I1482" s="350"/>
      <c r="J1482" s="227"/>
      <c r="K1482" s="227"/>
      <c r="L1482" s="224"/>
      <c r="M1482" s="224"/>
      <c r="N1482" s="224"/>
      <c r="O1482" s="224"/>
      <c r="P1482" s="224"/>
      <c r="Q1482" s="224"/>
      <c r="R1482" s="224"/>
      <c r="S1482" s="224"/>
      <c r="T1482" s="224"/>
      <c r="U1482" s="224"/>
      <c r="V1482" s="224"/>
    </row>
    <row r="1483" spans="1:22" x14ac:dyDescent="0.3">
      <c r="A1483" s="222"/>
      <c r="B1483" s="235"/>
      <c r="C1483" s="227"/>
      <c r="D1483" s="344"/>
      <c r="E1483" s="235"/>
      <c r="F1483" s="235"/>
      <c r="G1483" s="227"/>
      <c r="H1483" s="227"/>
      <c r="I1483" s="350"/>
      <c r="J1483" s="227"/>
      <c r="K1483" s="227"/>
      <c r="L1483" s="224"/>
      <c r="M1483" s="224"/>
      <c r="N1483" s="224"/>
      <c r="O1483" s="224"/>
      <c r="P1483" s="224"/>
      <c r="Q1483" s="224"/>
      <c r="R1483" s="224"/>
      <c r="S1483" s="224"/>
      <c r="T1483" s="224"/>
      <c r="U1483" s="224"/>
      <c r="V1483" s="224"/>
    </row>
    <row r="1484" spans="1:22" x14ac:dyDescent="0.3">
      <c r="A1484" s="222"/>
      <c r="B1484" s="235"/>
      <c r="C1484" s="227"/>
      <c r="D1484" s="344"/>
      <c r="E1484" s="235"/>
      <c r="F1484" s="235"/>
      <c r="G1484" s="227"/>
      <c r="H1484" s="227"/>
      <c r="I1484" s="350"/>
      <c r="J1484" s="227"/>
      <c r="K1484" s="227"/>
      <c r="L1484" s="224"/>
      <c r="M1484" s="224"/>
      <c r="N1484" s="224"/>
      <c r="O1484" s="224"/>
      <c r="P1484" s="224"/>
      <c r="Q1484" s="224"/>
      <c r="R1484" s="224"/>
      <c r="S1484" s="224"/>
      <c r="T1484" s="224"/>
      <c r="U1484" s="224"/>
      <c r="V1484" s="224"/>
    </row>
    <row r="1485" spans="1:22" x14ac:dyDescent="0.3">
      <c r="A1485" s="222"/>
      <c r="B1485" s="235"/>
      <c r="C1485" s="227"/>
      <c r="D1485" s="344"/>
      <c r="E1485" s="235"/>
      <c r="F1485" s="235"/>
      <c r="G1485" s="227"/>
      <c r="H1485" s="227"/>
      <c r="I1485" s="350"/>
      <c r="J1485" s="227"/>
      <c r="K1485" s="227"/>
      <c r="L1485" s="224"/>
      <c r="M1485" s="224"/>
      <c r="N1485" s="224"/>
      <c r="O1485" s="224"/>
      <c r="P1485" s="224"/>
      <c r="Q1485" s="224"/>
      <c r="R1485" s="224"/>
      <c r="S1485" s="224"/>
      <c r="T1485" s="224"/>
      <c r="U1485" s="224"/>
      <c r="V1485" s="224"/>
    </row>
    <row r="1486" spans="1:22" x14ac:dyDescent="0.3">
      <c r="A1486" s="222"/>
      <c r="B1486" s="235"/>
      <c r="C1486" s="227"/>
      <c r="D1486" s="344"/>
      <c r="E1486" s="235"/>
      <c r="F1486" s="235"/>
      <c r="G1486" s="227"/>
      <c r="H1486" s="227"/>
      <c r="I1486" s="350"/>
      <c r="J1486" s="227"/>
      <c r="K1486" s="227"/>
      <c r="L1486" s="224"/>
      <c r="M1486" s="224"/>
      <c r="N1486" s="224"/>
      <c r="O1486" s="224"/>
      <c r="P1486" s="224"/>
      <c r="Q1486" s="224"/>
      <c r="R1486" s="224"/>
      <c r="S1486" s="224"/>
      <c r="T1486" s="224"/>
      <c r="U1486" s="224"/>
      <c r="V1486" s="224"/>
    </row>
    <row r="1487" spans="1:22" x14ac:dyDescent="0.3">
      <c r="A1487" s="222"/>
      <c r="B1487" s="235"/>
      <c r="C1487" s="227"/>
      <c r="D1487" s="344"/>
      <c r="E1487" s="235"/>
      <c r="F1487" s="235"/>
      <c r="G1487" s="227"/>
      <c r="H1487" s="227"/>
      <c r="I1487" s="350"/>
      <c r="J1487" s="227"/>
      <c r="K1487" s="227"/>
      <c r="L1487" s="224"/>
      <c r="M1487" s="224"/>
      <c r="N1487" s="224"/>
      <c r="O1487" s="224"/>
      <c r="P1487" s="224"/>
      <c r="Q1487" s="224"/>
      <c r="R1487" s="224"/>
      <c r="S1487" s="224"/>
      <c r="T1487" s="224"/>
      <c r="U1487" s="224"/>
      <c r="V1487" s="224"/>
    </row>
    <row r="1488" spans="1:22" x14ac:dyDescent="0.3">
      <c r="A1488" s="222"/>
      <c r="B1488" s="235"/>
      <c r="C1488" s="227"/>
      <c r="D1488" s="344"/>
      <c r="E1488" s="235"/>
      <c r="F1488" s="235"/>
      <c r="G1488" s="227"/>
      <c r="H1488" s="227"/>
      <c r="I1488" s="350"/>
      <c r="J1488" s="227"/>
      <c r="K1488" s="227"/>
      <c r="L1488" s="224"/>
      <c r="M1488" s="224"/>
      <c r="N1488" s="224"/>
      <c r="O1488" s="224"/>
      <c r="P1488" s="224"/>
      <c r="Q1488" s="224"/>
      <c r="R1488" s="224"/>
      <c r="S1488" s="224"/>
      <c r="T1488" s="224"/>
      <c r="U1488" s="224"/>
      <c r="V1488" s="224"/>
    </row>
    <row r="1489" spans="1:22" x14ac:dyDescent="0.3">
      <c r="A1489" s="222"/>
      <c r="B1489" s="235"/>
      <c r="C1489" s="227"/>
      <c r="D1489" s="344"/>
      <c r="E1489" s="235"/>
      <c r="F1489" s="235"/>
      <c r="G1489" s="227"/>
      <c r="H1489" s="227"/>
      <c r="I1489" s="350"/>
      <c r="J1489" s="227"/>
      <c r="K1489" s="227"/>
      <c r="L1489" s="224"/>
      <c r="M1489" s="224"/>
      <c r="N1489" s="224"/>
      <c r="O1489" s="224"/>
      <c r="P1489" s="224"/>
      <c r="Q1489" s="224"/>
      <c r="R1489" s="224"/>
      <c r="S1489" s="224"/>
      <c r="T1489" s="224"/>
      <c r="U1489" s="224"/>
      <c r="V1489" s="224"/>
    </row>
    <row r="1490" spans="1:22" x14ac:dyDescent="0.3">
      <c r="A1490" s="222"/>
      <c r="B1490" s="235"/>
      <c r="C1490" s="227"/>
      <c r="D1490" s="344"/>
      <c r="E1490" s="235"/>
      <c r="F1490" s="235"/>
      <c r="G1490" s="227"/>
      <c r="H1490" s="227"/>
      <c r="I1490" s="350"/>
      <c r="J1490" s="227"/>
      <c r="K1490" s="227"/>
      <c r="L1490" s="224"/>
      <c r="M1490" s="224"/>
      <c r="N1490" s="224"/>
      <c r="O1490" s="224"/>
      <c r="P1490" s="224"/>
      <c r="Q1490" s="224"/>
      <c r="R1490" s="224"/>
      <c r="S1490" s="224"/>
      <c r="T1490" s="224"/>
      <c r="U1490" s="224"/>
      <c r="V1490" s="224"/>
    </row>
    <row r="1491" spans="1:22" x14ac:dyDescent="0.3">
      <c r="A1491" s="222"/>
      <c r="B1491" s="235"/>
      <c r="C1491" s="227"/>
      <c r="D1491" s="344"/>
      <c r="E1491" s="235"/>
      <c r="F1491" s="235"/>
      <c r="G1491" s="227"/>
      <c r="H1491" s="227"/>
      <c r="I1491" s="350"/>
      <c r="J1491" s="227"/>
      <c r="K1491" s="227"/>
      <c r="L1491" s="224"/>
      <c r="M1491" s="224"/>
      <c r="N1491" s="224"/>
      <c r="O1491" s="224"/>
      <c r="P1491" s="224"/>
      <c r="Q1491" s="224"/>
      <c r="R1491" s="224"/>
      <c r="S1491" s="224"/>
      <c r="T1491" s="224"/>
      <c r="U1491" s="224"/>
      <c r="V1491" s="224"/>
    </row>
    <row r="1492" spans="1:22" x14ac:dyDescent="0.3">
      <c r="A1492" s="222"/>
      <c r="B1492" s="235"/>
      <c r="C1492" s="227"/>
      <c r="D1492" s="344"/>
      <c r="E1492" s="235"/>
      <c r="F1492" s="235"/>
      <c r="G1492" s="227"/>
      <c r="H1492" s="227"/>
      <c r="I1492" s="350"/>
      <c r="J1492" s="227"/>
      <c r="K1492" s="227"/>
      <c r="L1492" s="224"/>
      <c r="M1492" s="224"/>
      <c r="N1492" s="224"/>
      <c r="O1492" s="224"/>
      <c r="P1492" s="224"/>
      <c r="Q1492" s="224"/>
      <c r="R1492" s="224"/>
      <c r="S1492" s="224"/>
      <c r="T1492" s="224"/>
      <c r="U1492" s="224"/>
      <c r="V1492" s="224"/>
    </row>
    <row r="1493" spans="1:22" x14ac:dyDescent="0.3">
      <c r="A1493" s="222"/>
      <c r="B1493" s="235"/>
      <c r="C1493" s="227"/>
      <c r="D1493" s="344"/>
      <c r="E1493" s="235"/>
      <c r="F1493" s="235"/>
      <c r="G1493" s="227"/>
      <c r="H1493" s="227"/>
      <c r="I1493" s="350"/>
      <c r="J1493" s="227"/>
      <c r="K1493" s="227"/>
      <c r="L1493" s="224"/>
      <c r="M1493" s="224"/>
      <c r="N1493" s="224"/>
      <c r="O1493" s="224"/>
      <c r="P1493" s="224"/>
      <c r="Q1493" s="224"/>
      <c r="R1493" s="224"/>
      <c r="S1493" s="224"/>
      <c r="T1493" s="224"/>
      <c r="U1493" s="224"/>
      <c r="V1493" s="224"/>
    </row>
    <row r="1494" spans="1:22" x14ac:dyDescent="0.3">
      <c r="A1494" s="222"/>
      <c r="B1494" s="235"/>
      <c r="C1494" s="227"/>
      <c r="D1494" s="344"/>
      <c r="E1494" s="235"/>
      <c r="F1494" s="235"/>
      <c r="G1494" s="227"/>
      <c r="H1494" s="227"/>
      <c r="I1494" s="350"/>
      <c r="J1494" s="227"/>
      <c r="K1494" s="227"/>
      <c r="L1494" s="224"/>
      <c r="M1494" s="224"/>
      <c r="N1494" s="224"/>
      <c r="O1494" s="224"/>
      <c r="P1494" s="224"/>
      <c r="Q1494" s="224"/>
      <c r="R1494" s="224"/>
      <c r="S1494" s="224"/>
      <c r="T1494" s="224"/>
      <c r="U1494" s="224"/>
      <c r="V1494" s="224"/>
    </row>
    <row r="1495" spans="1:22" x14ac:dyDescent="0.3">
      <c r="A1495" s="222"/>
      <c r="B1495" s="235"/>
      <c r="C1495" s="227"/>
      <c r="D1495" s="344"/>
      <c r="E1495" s="235"/>
      <c r="F1495" s="235"/>
      <c r="G1495" s="227"/>
      <c r="H1495" s="227"/>
      <c r="I1495" s="350"/>
      <c r="J1495" s="227"/>
      <c r="K1495" s="227"/>
      <c r="L1495" s="224"/>
      <c r="M1495" s="224"/>
      <c r="N1495" s="224"/>
      <c r="O1495" s="224"/>
      <c r="P1495" s="224"/>
      <c r="Q1495" s="224"/>
      <c r="R1495" s="224"/>
      <c r="S1495" s="224"/>
      <c r="T1495" s="224"/>
      <c r="U1495" s="224"/>
      <c r="V1495" s="224"/>
    </row>
    <row r="1496" spans="1:22" x14ac:dyDescent="0.3">
      <c r="A1496" s="222"/>
      <c r="B1496" s="235"/>
      <c r="C1496" s="227"/>
      <c r="D1496" s="344"/>
      <c r="E1496" s="235"/>
      <c r="F1496" s="235"/>
      <c r="G1496" s="227"/>
      <c r="H1496" s="227"/>
      <c r="I1496" s="350"/>
      <c r="J1496" s="227"/>
      <c r="K1496" s="227"/>
      <c r="L1496" s="224"/>
      <c r="M1496" s="224"/>
      <c r="N1496" s="224"/>
      <c r="O1496" s="224"/>
      <c r="P1496" s="224"/>
      <c r="Q1496" s="224"/>
      <c r="R1496" s="224"/>
      <c r="S1496" s="224"/>
      <c r="T1496" s="224"/>
      <c r="U1496" s="224"/>
      <c r="V1496" s="224"/>
    </row>
    <row r="1497" spans="1:22" x14ac:dyDescent="0.3">
      <c r="A1497" s="222"/>
      <c r="B1497" s="235"/>
      <c r="C1497" s="227"/>
      <c r="D1497" s="344"/>
      <c r="E1497" s="235"/>
      <c r="F1497" s="235"/>
      <c r="G1497" s="227"/>
      <c r="H1497" s="227"/>
      <c r="I1497" s="350"/>
      <c r="J1497" s="227"/>
      <c r="K1497" s="227"/>
      <c r="L1497" s="224"/>
      <c r="M1497" s="224"/>
      <c r="N1497" s="224"/>
      <c r="O1497" s="224"/>
      <c r="P1497" s="224"/>
      <c r="Q1497" s="224"/>
      <c r="R1497" s="224"/>
      <c r="S1497" s="224"/>
      <c r="T1497" s="224"/>
      <c r="U1497" s="224"/>
      <c r="V1497" s="224"/>
    </row>
    <row r="1498" spans="1:22" x14ac:dyDescent="0.3">
      <c r="A1498" s="222"/>
      <c r="B1498" s="235"/>
      <c r="C1498" s="227"/>
      <c r="D1498" s="344"/>
      <c r="E1498" s="235"/>
      <c r="F1498" s="235"/>
      <c r="G1498" s="227"/>
      <c r="H1498" s="227"/>
      <c r="I1498" s="350"/>
      <c r="J1498" s="227"/>
      <c r="K1498" s="227"/>
      <c r="L1498" s="224"/>
      <c r="M1498" s="224"/>
      <c r="N1498" s="224"/>
      <c r="O1498" s="224"/>
      <c r="P1498" s="224"/>
      <c r="Q1498" s="224"/>
      <c r="R1498" s="224"/>
      <c r="S1498" s="224"/>
      <c r="T1498" s="224"/>
      <c r="U1498" s="224"/>
      <c r="V1498" s="224"/>
    </row>
    <row r="1499" spans="1:22" x14ac:dyDescent="0.3">
      <c r="A1499" s="222"/>
      <c r="B1499" s="235"/>
      <c r="C1499" s="227"/>
      <c r="D1499" s="344"/>
      <c r="E1499" s="235"/>
      <c r="F1499" s="235"/>
      <c r="G1499" s="227"/>
      <c r="H1499" s="227"/>
      <c r="I1499" s="350"/>
      <c r="J1499" s="227"/>
      <c r="K1499" s="227"/>
      <c r="L1499" s="224"/>
      <c r="M1499" s="224"/>
      <c r="N1499" s="224"/>
      <c r="O1499" s="224"/>
      <c r="P1499" s="224"/>
      <c r="Q1499" s="224"/>
      <c r="R1499" s="224"/>
      <c r="S1499" s="224"/>
      <c r="T1499" s="224"/>
      <c r="U1499" s="224"/>
      <c r="V1499" s="224"/>
    </row>
    <row r="1500" spans="1:22" x14ac:dyDescent="0.3">
      <c r="A1500" s="222"/>
      <c r="B1500" s="235"/>
      <c r="C1500" s="227"/>
      <c r="D1500" s="344"/>
      <c r="E1500" s="235"/>
      <c r="F1500" s="235"/>
      <c r="G1500" s="227"/>
      <c r="H1500" s="227"/>
      <c r="I1500" s="350"/>
      <c r="J1500" s="227"/>
      <c r="K1500" s="227"/>
      <c r="L1500" s="224"/>
      <c r="M1500" s="224"/>
      <c r="N1500" s="224"/>
      <c r="O1500" s="224"/>
      <c r="P1500" s="224"/>
      <c r="Q1500" s="224"/>
      <c r="R1500" s="224"/>
      <c r="S1500" s="224"/>
      <c r="T1500" s="224"/>
      <c r="U1500" s="224"/>
      <c r="V1500" s="224"/>
    </row>
    <row r="1501" spans="1:22" x14ac:dyDescent="0.3">
      <c r="A1501" s="222"/>
      <c r="B1501" s="235"/>
      <c r="C1501" s="227"/>
      <c r="D1501" s="344"/>
      <c r="E1501" s="235"/>
      <c r="F1501" s="235"/>
      <c r="G1501" s="227"/>
      <c r="H1501" s="227"/>
      <c r="I1501" s="350"/>
      <c r="J1501" s="227"/>
      <c r="K1501" s="227"/>
      <c r="L1501" s="224"/>
      <c r="M1501" s="224"/>
      <c r="N1501" s="224"/>
      <c r="O1501" s="224"/>
      <c r="P1501" s="224"/>
      <c r="Q1501" s="224"/>
      <c r="R1501" s="224"/>
      <c r="S1501" s="224"/>
      <c r="T1501" s="224"/>
      <c r="U1501" s="224"/>
      <c r="V1501" s="224"/>
    </row>
    <row r="1502" spans="1:22" x14ac:dyDescent="0.3">
      <c r="A1502" s="222"/>
      <c r="B1502" s="235"/>
      <c r="C1502" s="227"/>
      <c r="D1502" s="344"/>
      <c r="E1502" s="235"/>
      <c r="F1502" s="235"/>
      <c r="G1502" s="227"/>
      <c r="H1502" s="227"/>
      <c r="I1502" s="350"/>
      <c r="J1502" s="227"/>
      <c r="K1502" s="227"/>
      <c r="L1502" s="224"/>
      <c r="M1502" s="224"/>
      <c r="N1502" s="224"/>
      <c r="O1502" s="224"/>
      <c r="P1502" s="224"/>
      <c r="Q1502" s="224"/>
      <c r="R1502" s="224"/>
      <c r="S1502" s="224"/>
      <c r="T1502" s="224"/>
      <c r="U1502" s="224"/>
      <c r="V1502" s="224"/>
    </row>
    <row r="1503" spans="1:22" x14ac:dyDescent="0.3">
      <c r="A1503" s="222"/>
      <c r="B1503" s="235"/>
      <c r="C1503" s="227"/>
      <c r="D1503" s="344"/>
      <c r="E1503" s="235"/>
      <c r="F1503" s="235"/>
      <c r="G1503" s="227"/>
      <c r="H1503" s="227"/>
      <c r="I1503" s="350"/>
      <c r="J1503" s="227"/>
      <c r="K1503" s="227"/>
      <c r="L1503" s="224"/>
      <c r="M1503" s="224"/>
      <c r="N1503" s="224"/>
      <c r="O1503" s="224"/>
      <c r="P1503" s="224"/>
      <c r="Q1503" s="224"/>
      <c r="R1503" s="224"/>
      <c r="S1503" s="224"/>
      <c r="T1503" s="224"/>
      <c r="U1503" s="224"/>
      <c r="V1503" s="224"/>
    </row>
    <row r="1504" spans="1:22" x14ac:dyDescent="0.3">
      <c r="A1504" s="222"/>
      <c r="B1504" s="235"/>
      <c r="C1504" s="227"/>
      <c r="D1504" s="344"/>
      <c r="E1504" s="235"/>
      <c r="F1504" s="235"/>
      <c r="G1504" s="227"/>
      <c r="H1504" s="227"/>
      <c r="I1504" s="350"/>
      <c r="J1504" s="227"/>
      <c r="K1504" s="227"/>
      <c r="L1504" s="224"/>
      <c r="M1504" s="224"/>
      <c r="N1504" s="224"/>
      <c r="O1504" s="224"/>
      <c r="P1504" s="224"/>
      <c r="Q1504" s="224"/>
      <c r="R1504" s="224"/>
      <c r="S1504" s="224"/>
      <c r="T1504" s="224"/>
      <c r="U1504" s="224"/>
      <c r="V1504" s="224"/>
    </row>
    <row r="1505" spans="1:22" x14ac:dyDescent="0.3">
      <c r="A1505" s="222"/>
      <c r="B1505" s="235"/>
      <c r="C1505" s="227"/>
      <c r="D1505" s="344"/>
      <c r="E1505" s="235"/>
      <c r="F1505" s="235"/>
      <c r="G1505" s="227"/>
      <c r="H1505" s="227"/>
      <c r="I1505" s="350"/>
      <c r="J1505" s="227"/>
      <c r="K1505" s="227"/>
      <c r="L1505" s="224"/>
      <c r="M1505" s="224"/>
      <c r="N1505" s="224"/>
      <c r="O1505" s="224"/>
      <c r="P1505" s="224"/>
      <c r="Q1505" s="224"/>
      <c r="R1505" s="224"/>
      <c r="S1505" s="224"/>
      <c r="T1505" s="224"/>
      <c r="U1505" s="224"/>
      <c r="V1505" s="224"/>
    </row>
    <row r="1506" spans="1:22" x14ac:dyDescent="0.3">
      <c r="A1506" s="222"/>
      <c r="B1506" s="235"/>
      <c r="C1506" s="227"/>
      <c r="D1506" s="344"/>
      <c r="E1506" s="235"/>
      <c r="F1506" s="235"/>
      <c r="G1506" s="227"/>
      <c r="H1506" s="227"/>
      <c r="I1506" s="350"/>
      <c r="J1506" s="227"/>
      <c r="K1506" s="227"/>
      <c r="L1506" s="224"/>
      <c r="M1506" s="224"/>
      <c r="N1506" s="224"/>
      <c r="O1506" s="224"/>
      <c r="P1506" s="224"/>
      <c r="Q1506" s="224"/>
      <c r="R1506" s="224"/>
      <c r="S1506" s="224"/>
      <c r="T1506" s="224"/>
      <c r="U1506" s="224"/>
      <c r="V1506" s="224"/>
    </row>
    <row r="1507" spans="1:22" x14ac:dyDescent="0.3">
      <c r="A1507" s="222"/>
      <c r="B1507" s="235"/>
      <c r="C1507" s="227"/>
      <c r="D1507" s="344"/>
      <c r="E1507" s="235"/>
      <c r="F1507" s="235"/>
      <c r="G1507" s="227"/>
      <c r="H1507" s="227"/>
      <c r="I1507" s="350"/>
      <c r="J1507" s="227"/>
      <c r="K1507" s="227"/>
      <c r="L1507" s="224"/>
      <c r="M1507" s="224"/>
      <c r="N1507" s="224"/>
      <c r="O1507" s="224"/>
      <c r="P1507" s="224"/>
      <c r="Q1507" s="224"/>
      <c r="R1507" s="224"/>
      <c r="S1507" s="224"/>
      <c r="T1507" s="224"/>
      <c r="U1507" s="224"/>
      <c r="V1507" s="224"/>
    </row>
    <row r="1508" spans="1:22" x14ac:dyDescent="0.3">
      <c r="A1508" s="222"/>
      <c r="B1508" s="235"/>
      <c r="C1508" s="227"/>
      <c r="D1508" s="344"/>
      <c r="E1508" s="235"/>
      <c r="F1508" s="235"/>
      <c r="G1508" s="227"/>
      <c r="H1508" s="227"/>
      <c r="I1508" s="350"/>
      <c r="J1508" s="227"/>
      <c r="K1508" s="227"/>
      <c r="L1508" s="224"/>
      <c r="M1508" s="224"/>
      <c r="N1508" s="224"/>
      <c r="O1508" s="224"/>
      <c r="P1508" s="224"/>
      <c r="Q1508" s="224"/>
      <c r="R1508" s="224"/>
      <c r="S1508" s="224"/>
      <c r="T1508" s="224"/>
      <c r="U1508" s="224"/>
      <c r="V1508" s="224"/>
    </row>
    <row r="1509" spans="1:22" x14ac:dyDescent="0.3">
      <c r="A1509" s="222"/>
      <c r="B1509" s="235"/>
      <c r="C1509" s="227"/>
      <c r="D1509" s="344"/>
      <c r="E1509" s="235"/>
      <c r="F1509" s="235"/>
      <c r="G1509" s="227"/>
      <c r="H1509" s="227"/>
      <c r="I1509" s="350"/>
      <c r="J1509" s="227"/>
      <c r="K1509" s="227"/>
      <c r="L1509" s="224"/>
      <c r="M1509" s="224"/>
      <c r="N1509" s="224"/>
      <c r="O1509" s="224"/>
      <c r="P1509" s="224"/>
      <c r="Q1509" s="224"/>
      <c r="R1509" s="224"/>
      <c r="S1509" s="224"/>
      <c r="T1509" s="224"/>
      <c r="U1509" s="224"/>
      <c r="V1509" s="224"/>
    </row>
    <row r="1510" spans="1:22" x14ac:dyDescent="0.3">
      <c r="A1510" s="222"/>
      <c r="B1510" s="235"/>
      <c r="C1510" s="227"/>
      <c r="D1510" s="344"/>
      <c r="E1510" s="235"/>
      <c r="F1510" s="235"/>
      <c r="G1510" s="227"/>
      <c r="H1510" s="227"/>
      <c r="I1510" s="350"/>
      <c r="J1510" s="227"/>
      <c r="K1510" s="227"/>
      <c r="L1510" s="224"/>
      <c r="M1510" s="224"/>
      <c r="N1510" s="224"/>
      <c r="O1510" s="224"/>
      <c r="P1510" s="224"/>
      <c r="Q1510" s="224"/>
      <c r="R1510" s="224"/>
      <c r="S1510" s="224"/>
      <c r="T1510" s="224"/>
      <c r="U1510" s="224"/>
      <c r="V1510" s="224"/>
    </row>
    <row r="1511" spans="1:22" x14ac:dyDescent="0.3">
      <c r="A1511" s="222"/>
      <c r="B1511" s="235"/>
      <c r="C1511" s="227"/>
      <c r="D1511" s="344"/>
      <c r="E1511" s="235"/>
      <c r="F1511" s="235"/>
      <c r="G1511" s="227"/>
      <c r="H1511" s="227"/>
      <c r="I1511" s="350"/>
      <c r="J1511" s="227"/>
      <c r="K1511" s="227"/>
      <c r="L1511" s="224"/>
      <c r="M1511" s="224"/>
      <c r="N1511" s="224"/>
      <c r="O1511" s="224"/>
      <c r="P1511" s="224"/>
      <c r="Q1511" s="224"/>
      <c r="R1511" s="224"/>
      <c r="S1511" s="224"/>
      <c r="T1511" s="224"/>
      <c r="U1511" s="224"/>
      <c r="V1511" s="224"/>
    </row>
    <row r="1512" spans="1:22" x14ac:dyDescent="0.3">
      <c r="A1512" s="222"/>
      <c r="B1512" s="235"/>
      <c r="C1512" s="227"/>
      <c r="D1512" s="344"/>
      <c r="E1512" s="235"/>
      <c r="F1512" s="235"/>
      <c r="G1512" s="227"/>
      <c r="H1512" s="227"/>
      <c r="I1512" s="350"/>
      <c r="J1512" s="227"/>
      <c r="K1512" s="227"/>
      <c r="L1512" s="224"/>
      <c r="M1512" s="224"/>
      <c r="N1512" s="224"/>
      <c r="O1512" s="224"/>
      <c r="P1512" s="224"/>
      <c r="Q1512" s="224"/>
      <c r="R1512" s="224"/>
      <c r="S1512" s="224"/>
      <c r="T1512" s="224"/>
      <c r="U1512" s="224"/>
      <c r="V1512" s="224"/>
    </row>
    <row r="1513" spans="1:22" x14ac:dyDescent="0.3">
      <c r="A1513" s="222"/>
      <c r="B1513" s="235"/>
      <c r="C1513" s="227"/>
      <c r="D1513" s="344"/>
      <c r="E1513" s="235"/>
      <c r="F1513" s="235"/>
      <c r="G1513" s="227"/>
      <c r="H1513" s="227"/>
      <c r="I1513" s="350"/>
      <c r="J1513" s="227"/>
      <c r="K1513" s="227"/>
      <c r="L1513" s="224"/>
      <c r="M1513" s="224"/>
      <c r="N1513" s="224"/>
      <c r="O1513" s="224"/>
      <c r="P1513" s="224"/>
      <c r="Q1513" s="224"/>
      <c r="R1513" s="224"/>
      <c r="S1513" s="224"/>
      <c r="T1513" s="224"/>
      <c r="U1513" s="224"/>
      <c r="V1513" s="224"/>
    </row>
    <row r="1514" spans="1:22" x14ac:dyDescent="0.3">
      <c r="A1514" s="222"/>
      <c r="B1514" s="235"/>
      <c r="C1514" s="227"/>
      <c r="D1514" s="344"/>
      <c r="E1514" s="235"/>
      <c r="F1514" s="235"/>
      <c r="G1514" s="227"/>
      <c r="H1514" s="227"/>
      <c r="I1514" s="350"/>
      <c r="J1514" s="227"/>
      <c r="K1514" s="227"/>
      <c r="L1514" s="224"/>
      <c r="M1514" s="224"/>
      <c r="N1514" s="224"/>
      <c r="O1514" s="224"/>
      <c r="P1514" s="224"/>
      <c r="Q1514" s="224"/>
      <c r="R1514" s="224"/>
      <c r="S1514" s="224"/>
      <c r="T1514" s="224"/>
      <c r="U1514" s="224"/>
      <c r="V1514" s="224"/>
    </row>
    <row r="1515" spans="1:22" x14ac:dyDescent="0.3">
      <c r="A1515" s="222"/>
      <c r="B1515" s="235"/>
      <c r="C1515" s="227"/>
      <c r="D1515" s="344"/>
      <c r="E1515" s="235"/>
      <c r="F1515" s="235"/>
      <c r="G1515" s="227"/>
      <c r="H1515" s="227"/>
      <c r="I1515" s="350"/>
      <c r="J1515" s="227"/>
      <c r="K1515" s="227"/>
      <c r="L1515" s="224"/>
      <c r="M1515" s="224"/>
      <c r="N1515" s="224"/>
      <c r="O1515" s="224"/>
      <c r="P1515" s="224"/>
      <c r="Q1515" s="224"/>
      <c r="R1515" s="224"/>
      <c r="S1515" s="224"/>
      <c r="T1515" s="224"/>
      <c r="U1515" s="224"/>
      <c r="V1515" s="224"/>
    </row>
    <row r="1516" spans="1:22" x14ac:dyDescent="0.3">
      <c r="A1516" s="222"/>
      <c r="B1516" s="235"/>
      <c r="C1516" s="227"/>
      <c r="D1516" s="344"/>
      <c r="E1516" s="235"/>
      <c r="F1516" s="235"/>
      <c r="G1516" s="227"/>
      <c r="H1516" s="227"/>
      <c r="I1516" s="350"/>
      <c r="J1516" s="227"/>
      <c r="K1516" s="227"/>
      <c r="L1516" s="224"/>
      <c r="M1516" s="224"/>
      <c r="N1516" s="224"/>
      <c r="O1516" s="224"/>
      <c r="P1516" s="224"/>
      <c r="Q1516" s="224"/>
      <c r="R1516" s="224"/>
      <c r="S1516" s="224"/>
      <c r="T1516" s="224"/>
      <c r="U1516" s="224"/>
      <c r="V1516" s="224"/>
    </row>
    <row r="1517" spans="1:22" x14ac:dyDescent="0.3">
      <c r="A1517" s="222"/>
      <c r="B1517" s="235"/>
      <c r="C1517" s="227"/>
      <c r="D1517" s="344"/>
      <c r="E1517" s="235"/>
      <c r="F1517" s="235"/>
      <c r="G1517" s="227"/>
      <c r="H1517" s="227"/>
      <c r="I1517" s="350"/>
      <c r="J1517" s="227"/>
      <c r="K1517" s="227"/>
      <c r="L1517" s="224"/>
      <c r="M1517" s="224"/>
      <c r="N1517" s="224"/>
      <c r="O1517" s="224"/>
      <c r="P1517" s="224"/>
      <c r="Q1517" s="224"/>
      <c r="R1517" s="224"/>
      <c r="S1517" s="224"/>
      <c r="T1517" s="224"/>
      <c r="U1517" s="224"/>
      <c r="V1517" s="224"/>
    </row>
    <row r="1518" spans="1:22" x14ac:dyDescent="0.3">
      <c r="A1518" s="222"/>
      <c r="B1518" s="235"/>
      <c r="C1518" s="227"/>
      <c r="D1518" s="344"/>
      <c r="E1518" s="235"/>
      <c r="F1518" s="235"/>
      <c r="G1518" s="227"/>
      <c r="H1518" s="227"/>
      <c r="I1518" s="350"/>
      <c r="J1518" s="227"/>
      <c r="K1518" s="227"/>
      <c r="L1518" s="224"/>
      <c r="M1518" s="224"/>
      <c r="N1518" s="224"/>
      <c r="O1518" s="224"/>
      <c r="P1518" s="224"/>
      <c r="Q1518" s="224"/>
      <c r="R1518" s="224"/>
      <c r="S1518" s="224"/>
      <c r="T1518" s="224"/>
      <c r="U1518" s="224"/>
      <c r="V1518" s="224"/>
    </row>
    <row r="1519" spans="1:22" x14ac:dyDescent="0.3">
      <c r="A1519" s="222"/>
      <c r="B1519" s="235"/>
      <c r="C1519" s="227"/>
      <c r="D1519" s="344"/>
      <c r="E1519" s="235"/>
      <c r="F1519" s="235"/>
      <c r="G1519" s="227"/>
      <c r="H1519" s="227"/>
      <c r="I1519" s="350"/>
      <c r="J1519" s="227"/>
      <c r="K1519" s="227"/>
      <c r="L1519" s="224"/>
      <c r="M1519" s="224"/>
      <c r="N1519" s="224"/>
      <c r="O1519" s="224"/>
      <c r="P1519" s="224"/>
      <c r="Q1519" s="224"/>
      <c r="R1519" s="224"/>
      <c r="S1519" s="224"/>
      <c r="T1519" s="224"/>
      <c r="U1519" s="224"/>
      <c r="V1519" s="224"/>
    </row>
    <row r="1520" spans="1:22" x14ac:dyDescent="0.3">
      <c r="A1520" s="222"/>
      <c r="B1520" s="235"/>
      <c r="C1520" s="227"/>
      <c r="D1520" s="344"/>
      <c r="E1520" s="235"/>
      <c r="F1520" s="235"/>
      <c r="G1520" s="227"/>
      <c r="H1520" s="227"/>
      <c r="I1520" s="350"/>
      <c r="J1520" s="227"/>
      <c r="K1520" s="227"/>
      <c r="L1520" s="224"/>
      <c r="M1520" s="224"/>
      <c r="N1520" s="224"/>
      <c r="O1520" s="224"/>
      <c r="P1520" s="224"/>
      <c r="Q1520" s="224"/>
      <c r="R1520" s="224"/>
      <c r="S1520" s="224"/>
      <c r="T1520" s="224"/>
      <c r="U1520" s="224"/>
      <c r="V1520" s="224"/>
    </row>
    <row r="1521" spans="1:22" x14ac:dyDescent="0.3">
      <c r="A1521" s="222"/>
      <c r="B1521" s="235"/>
      <c r="C1521" s="227"/>
      <c r="D1521" s="344"/>
      <c r="E1521" s="235"/>
      <c r="F1521" s="235"/>
      <c r="G1521" s="227"/>
      <c r="H1521" s="227"/>
      <c r="I1521" s="350"/>
      <c r="J1521" s="227"/>
      <c r="K1521" s="227"/>
      <c r="L1521" s="224"/>
      <c r="M1521" s="224"/>
      <c r="N1521" s="224"/>
      <c r="O1521" s="224"/>
      <c r="P1521" s="224"/>
      <c r="Q1521" s="224"/>
      <c r="R1521" s="224"/>
      <c r="S1521" s="224"/>
      <c r="T1521" s="224"/>
      <c r="U1521" s="224"/>
      <c r="V1521" s="224"/>
    </row>
    <row r="1522" spans="1:22" x14ac:dyDescent="0.3">
      <c r="A1522" s="222"/>
      <c r="B1522" s="235"/>
      <c r="C1522" s="227"/>
      <c r="D1522" s="344"/>
      <c r="E1522" s="235"/>
      <c r="F1522" s="235"/>
      <c r="G1522" s="227"/>
      <c r="H1522" s="227"/>
      <c r="I1522" s="350"/>
      <c r="J1522" s="227"/>
      <c r="K1522" s="227"/>
      <c r="L1522" s="224"/>
      <c r="M1522" s="224"/>
      <c r="N1522" s="224"/>
      <c r="O1522" s="224"/>
      <c r="P1522" s="224"/>
      <c r="Q1522" s="224"/>
      <c r="R1522" s="224"/>
      <c r="S1522" s="224"/>
      <c r="T1522" s="224"/>
      <c r="U1522" s="224"/>
      <c r="V1522" s="224"/>
    </row>
    <row r="1523" spans="1:22" x14ac:dyDescent="0.3">
      <c r="A1523" s="222"/>
      <c r="B1523" s="235"/>
      <c r="C1523" s="227"/>
      <c r="D1523" s="344"/>
      <c r="E1523" s="235"/>
      <c r="F1523" s="235"/>
      <c r="G1523" s="227"/>
      <c r="H1523" s="227"/>
      <c r="I1523" s="350"/>
      <c r="J1523" s="227"/>
      <c r="K1523" s="227"/>
      <c r="L1523" s="224"/>
      <c r="M1523" s="224"/>
      <c r="N1523" s="224"/>
      <c r="O1523" s="224"/>
      <c r="P1523" s="224"/>
      <c r="Q1523" s="224"/>
      <c r="R1523" s="224"/>
      <c r="S1523" s="224"/>
      <c r="T1523" s="224"/>
      <c r="U1523" s="224"/>
      <c r="V1523" s="224"/>
    </row>
    <row r="1524" spans="1:22" x14ac:dyDescent="0.3">
      <c r="A1524" s="222"/>
      <c r="B1524" s="235"/>
      <c r="C1524" s="227"/>
      <c r="D1524" s="344"/>
      <c r="E1524" s="235"/>
      <c r="F1524" s="235"/>
      <c r="G1524" s="227"/>
      <c r="H1524" s="227"/>
      <c r="I1524" s="350"/>
      <c r="J1524" s="227"/>
      <c r="K1524" s="227"/>
      <c r="L1524" s="224"/>
      <c r="M1524" s="224"/>
      <c r="N1524" s="224"/>
      <c r="O1524" s="224"/>
      <c r="P1524" s="224"/>
      <c r="Q1524" s="224"/>
      <c r="R1524" s="224"/>
      <c r="S1524" s="224"/>
      <c r="T1524" s="224"/>
      <c r="U1524" s="224"/>
      <c r="V1524" s="224"/>
    </row>
    <row r="1525" spans="1:22" x14ac:dyDescent="0.3">
      <c r="A1525" s="222"/>
      <c r="B1525" s="235"/>
      <c r="C1525" s="227"/>
      <c r="D1525" s="344"/>
      <c r="E1525" s="235"/>
      <c r="F1525" s="235"/>
      <c r="G1525" s="227"/>
      <c r="H1525" s="227"/>
      <c r="I1525" s="350"/>
      <c r="J1525" s="227"/>
      <c r="K1525" s="227"/>
      <c r="L1525" s="224"/>
      <c r="M1525" s="224"/>
      <c r="N1525" s="224"/>
      <c r="O1525" s="224"/>
      <c r="P1525" s="224"/>
      <c r="Q1525" s="224"/>
      <c r="R1525" s="224"/>
      <c r="S1525" s="224"/>
      <c r="T1525" s="224"/>
      <c r="U1525" s="224"/>
      <c r="V1525" s="224"/>
    </row>
    <row r="1526" spans="1:22" x14ac:dyDescent="0.3">
      <c r="A1526" s="222"/>
      <c r="B1526" s="235"/>
      <c r="C1526" s="227"/>
      <c r="D1526" s="344"/>
      <c r="E1526" s="235"/>
      <c r="F1526" s="235"/>
      <c r="G1526" s="227"/>
      <c r="H1526" s="227"/>
      <c r="I1526" s="350"/>
      <c r="J1526" s="227"/>
      <c r="K1526" s="227"/>
      <c r="L1526" s="224"/>
      <c r="M1526" s="224"/>
      <c r="N1526" s="224"/>
      <c r="O1526" s="224"/>
      <c r="P1526" s="224"/>
      <c r="Q1526" s="224"/>
      <c r="R1526" s="224"/>
      <c r="S1526" s="224"/>
      <c r="T1526" s="224"/>
      <c r="U1526" s="224"/>
      <c r="V1526" s="224"/>
    </row>
    <row r="1527" spans="1:22" x14ac:dyDescent="0.3">
      <c r="A1527" s="222"/>
      <c r="B1527" s="235"/>
      <c r="C1527" s="227"/>
      <c r="D1527" s="344"/>
      <c r="E1527" s="235"/>
      <c r="F1527" s="235"/>
      <c r="G1527" s="227"/>
      <c r="H1527" s="227"/>
      <c r="I1527" s="350"/>
      <c r="J1527" s="227"/>
      <c r="K1527" s="227"/>
      <c r="L1527" s="224"/>
      <c r="M1527" s="224"/>
      <c r="N1527" s="224"/>
      <c r="O1527" s="224"/>
      <c r="P1527" s="224"/>
      <c r="Q1527" s="224"/>
      <c r="R1527" s="224"/>
      <c r="S1527" s="224"/>
      <c r="T1527" s="224"/>
      <c r="U1527" s="224"/>
      <c r="V1527" s="224"/>
    </row>
    <row r="1528" spans="1:22" x14ac:dyDescent="0.3">
      <c r="A1528" s="222"/>
      <c r="B1528" s="235"/>
      <c r="C1528" s="227"/>
      <c r="D1528" s="344"/>
      <c r="E1528" s="235"/>
      <c r="F1528" s="235"/>
      <c r="G1528" s="227"/>
      <c r="H1528" s="227"/>
      <c r="I1528" s="350"/>
      <c r="J1528" s="227"/>
      <c r="K1528" s="227"/>
      <c r="L1528" s="224"/>
      <c r="M1528" s="224"/>
      <c r="N1528" s="224"/>
      <c r="O1528" s="224"/>
      <c r="P1528" s="224"/>
      <c r="Q1528" s="224"/>
      <c r="R1528" s="224"/>
      <c r="S1528" s="224"/>
      <c r="T1528" s="224"/>
      <c r="U1528" s="224"/>
      <c r="V1528" s="224"/>
    </row>
    <row r="1529" spans="1:22" x14ac:dyDescent="0.3">
      <c r="A1529" s="222"/>
      <c r="B1529" s="235"/>
      <c r="C1529" s="227"/>
      <c r="D1529" s="344"/>
      <c r="E1529" s="235"/>
      <c r="F1529" s="235"/>
      <c r="G1529" s="227"/>
      <c r="H1529" s="227"/>
      <c r="I1529" s="350"/>
      <c r="J1529" s="227"/>
      <c r="K1529" s="227"/>
      <c r="L1529" s="224"/>
      <c r="M1529" s="224"/>
      <c r="N1529" s="224"/>
      <c r="O1529" s="224"/>
      <c r="P1529" s="224"/>
      <c r="Q1529" s="224"/>
      <c r="R1529" s="224"/>
      <c r="S1529" s="224"/>
      <c r="T1529" s="224"/>
      <c r="U1529" s="224"/>
      <c r="V1529" s="224"/>
    </row>
    <row r="1530" spans="1:22" x14ac:dyDescent="0.3">
      <c r="A1530" s="222"/>
      <c r="B1530" s="235"/>
      <c r="C1530" s="227"/>
      <c r="D1530" s="344"/>
      <c r="E1530" s="235"/>
      <c r="F1530" s="235"/>
      <c r="G1530" s="227"/>
      <c r="H1530" s="227"/>
      <c r="I1530" s="350"/>
      <c r="J1530" s="227"/>
      <c r="K1530" s="227"/>
      <c r="L1530" s="224"/>
      <c r="M1530" s="224"/>
      <c r="N1530" s="224"/>
      <c r="O1530" s="224"/>
      <c r="P1530" s="224"/>
      <c r="Q1530" s="224"/>
      <c r="R1530" s="224"/>
      <c r="S1530" s="224"/>
      <c r="T1530" s="224"/>
      <c r="U1530" s="224"/>
      <c r="V1530" s="224"/>
    </row>
    <row r="1531" spans="1:22" x14ac:dyDescent="0.3">
      <c r="A1531" s="222"/>
      <c r="B1531" s="235"/>
      <c r="C1531" s="227"/>
      <c r="D1531" s="344"/>
      <c r="E1531" s="235"/>
      <c r="F1531" s="235"/>
      <c r="G1531" s="227"/>
      <c r="H1531" s="227"/>
      <c r="I1531" s="350"/>
      <c r="J1531" s="227"/>
      <c r="K1531" s="227"/>
      <c r="L1531" s="224"/>
      <c r="M1531" s="224"/>
      <c r="N1531" s="224"/>
      <c r="O1531" s="224"/>
      <c r="P1531" s="224"/>
      <c r="Q1531" s="224"/>
      <c r="R1531" s="224"/>
      <c r="S1531" s="224"/>
      <c r="T1531" s="224"/>
      <c r="U1531" s="224"/>
      <c r="V1531" s="224"/>
    </row>
    <row r="1532" spans="1:22" x14ac:dyDescent="0.3">
      <c r="A1532" s="222"/>
      <c r="B1532" s="235"/>
      <c r="C1532" s="227"/>
      <c r="D1532" s="344"/>
      <c r="E1532" s="235"/>
      <c r="F1532" s="235"/>
      <c r="G1532" s="227"/>
      <c r="H1532" s="227"/>
      <c r="I1532" s="350"/>
      <c r="J1532" s="227"/>
      <c r="K1532" s="227"/>
      <c r="L1532" s="224"/>
      <c r="M1532" s="224"/>
      <c r="N1532" s="224"/>
      <c r="O1532" s="224"/>
      <c r="P1532" s="224"/>
      <c r="Q1532" s="224"/>
      <c r="R1532" s="224"/>
      <c r="S1532" s="224"/>
      <c r="T1532" s="224"/>
      <c r="U1532" s="224"/>
      <c r="V1532" s="224"/>
    </row>
    <row r="1533" spans="1:22" x14ac:dyDescent="0.3">
      <c r="A1533" s="222"/>
      <c r="B1533" s="235"/>
      <c r="C1533" s="227"/>
      <c r="D1533" s="344"/>
      <c r="E1533" s="235"/>
      <c r="F1533" s="235"/>
      <c r="G1533" s="227"/>
      <c r="H1533" s="227"/>
      <c r="I1533" s="350"/>
      <c r="J1533" s="227"/>
      <c r="K1533" s="227"/>
      <c r="L1533" s="224"/>
      <c r="M1533" s="224"/>
      <c r="N1533" s="224"/>
      <c r="O1533" s="224"/>
      <c r="P1533" s="224"/>
      <c r="Q1533" s="224"/>
      <c r="R1533" s="224"/>
      <c r="S1533" s="224"/>
      <c r="T1533" s="224"/>
      <c r="U1533" s="224"/>
      <c r="V1533" s="224"/>
    </row>
    <row r="1534" spans="1:22" x14ac:dyDescent="0.3">
      <c r="A1534" s="222"/>
      <c r="B1534" s="235"/>
      <c r="C1534" s="227"/>
      <c r="D1534" s="344"/>
      <c r="E1534" s="235"/>
      <c r="F1534" s="235"/>
      <c r="G1534" s="227"/>
      <c r="H1534" s="227"/>
      <c r="I1534" s="350"/>
      <c r="J1534" s="227"/>
      <c r="K1534" s="227"/>
      <c r="L1534" s="224"/>
      <c r="M1534" s="224"/>
      <c r="N1534" s="224"/>
      <c r="O1534" s="224"/>
      <c r="P1534" s="224"/>
      <c r="Q1534" s="224"/>
      <c r="R1534" s="224"/>
      <c r="S1534" s="224"/>
      <c r="T1534" s="224"/>
      <c r="U1534" s="224"/>
      <c r="V1534" s="224"/>
    </row>
    <row r="1535" spans="1:22" x14ac:dyDescent="0.3">
      <c r="A1535" s="222"/>
      <c r="B1535" s="235"/>
      <c r="C1535" s="227"/>
      <c r="D1535" s="344"/>
      <c r="E1535" s="235"/>
      <c r="F1535" s="235"/>
      <c r="G1535" s="227"/>
      <c r="H1535" s="227"/>
      <c r="I1535" s="350"/>
      <c r="J1535" s="227"/>
      <c r="K1535" s="227"/>
      <c r="L1535" s="224"/>
      <c r="M1535" s="224"/>
      <c r="N1535" s="224"/>
      <c r="O1535" s="224"/>
      <c r="P1535" s="224"/>
      <c r="Q1535" s="224"/>
      <c r="R1535" s="224"/>
      <c r="S1535" s="224"/>
      <c r="T1535" s="224"/>
      <c r="U1535" s="224"/>
      <c r="V1535" s="224"/>
    </row>
    <row r="1536" spans="1:22" x14ac:dyDescent="0.3">
      <c r="A1536" s="222"/>
      <c r="B1536" s="235"/>
      <c r="C1536" s="227"/>
      <c r="D1536" s="344"/>
      <c r="E1536" s="235"/>
      <c r="F1536" s="235"/>
      <c r="G1536" s="227"/>
      <c r="H1536" s="227"/>
      <c r="I1536" s="350"/>
      <c r="J1536" s="227"/>
      <c r="K1536" s="227"/>
      <c r="L1536" s="224"/>
      <c r="M1536" s="224"/>
      <c r="N1536" s="224"/>
      <c r="O1536" s="224"/>
      <c r="P1536" s="224"/>
      <c r="Q1536" s="224"/>
      <c r="R1536" s="224"/>
      <c r="S1536" s="224"/>
      <c r="T1536" s="224"/>
      <c r="U1536" s="224"/>
      <c r="V1536" s="224"/>
    </row>
    <row r="1537" spans="1:22" x14ac:dyDescent="0.3">
      <c r="A1537" s="222"/>
      <c r="B1537" s="235"/>
      <c r="C1537" s="227"/>
      <c r="D1537" s="344"/>
      <c r="E1537" s="235"/>
      <c r="F1537" s="235"/>
      <c r="G1537" s="227"/>
      <c r="H1537" s="227"/>
      <c r="I1537" s="350"/>
      <c r="J1537" s="227"/>
      <c r="K1537" s="227"/>
      <c r="L1537" s="224"/>
      <c r="M1537" s="224"/>
      <c r="N1537" s="224"/>
      <c r="O1537" s="224"/>
      <c r="P1537" s="224"/>
      <c r="Q1537" s="224"/>
      <c r="R1537" s="224"/>
      <c r="S1537" s="224"/>
      <c r="T1537" s="224"/>
      <c r="U1537" s="224"/>
      <c r="V1537" s="224"/>
    </row>
    <row r="1538" spans="1:22" x14ac:dyDescent="0.3">
      <c r="A1538" s="222"/>
      <c r="B1538" s="235"/>
      <c r="C1538" s="227"/>
      <c r="D1538" s="344"/>
      <c r="E1538" s="235"/>
      <c r="F1538" s="235"/>
      <c r="G1538" s="227"/>
      <c r="H1538" s="227"/>
      <c r="I1538" s="350"/>
      <c r="J1538" s="227"/>
      <c r="K1538" s="227"/>
      <c r="L1538" s="224"/>
      <c r="M1538" s="224"/>
      <c r="N1538" s="224"/>
      <c r="O1538" s="224"/>
      <c r="P1538" s="224"/>
      <c r="Q1538" s="224"/>
      <c r="R1538" s="224"/>
      <c r="S1538" s="224"/>
      <c r="T1538" s="224"/>
      <c r="U1538" s="224"/>
      <c r="V1538" s="224"/>
    </row>
    <row r="1539" spans="1:22" x14ac:dyDescent="0.3">
      <c r="A1539" s="222"/>
      <c r="B1539" s="235"/>
      <c r="C1539" s="227"/>
      <c r="D1539" s="344"/>
      <c r="E1539" s="235"/>
      <c r="F1539" s="235"/>
      <c r="G1539" s="227"/>
      <c r="H1539" s="227"/>
      <c r="I1539" s="350"/>
      <c r="J1539" s="227"/>
      <c r="K1539" s="227"/>
      <c r="L1539" s="224"/>
      <c r="M1539" s="224"/>
      <c r="N1539" s="224"/>
      <c r="O1539" s="224"/>
      <c r="P1539" s="224"/>
      <c r="Q1539" s="224"/>
      <c r="R1539" s="224"/>
      <c r="S1539" s="224"/>
      <c r="T1539" s="224"/>
      <c r="U1539" s="224"/>
      <c r="V1539" s="224"/>
    </row>
    <row r="1540" spans="1:22" x14ac:dyDescent="0.3">
      <c r="A1540" s="222"/>
      <c r="B1540" s="235"/>
      <c r="C1540" s="227"/>
      <c r="D1540" s="344"/>
      <c r="E1540" s="235"/>
      <c r="F1540" s="235"/>
      <c r="G1540" s="227"/>
      <c r="H1540" s="227"/>
      <c r="I1540" s="350"/>
      <c r="J1540" s="227"/>
      <c r="K1540" s="227"/>
      <c r="L1540" s="224"/>
      <c r="M1540" s="224"/>
      <c r="N1540" s="224"/>
      <c r="O1540" s="224"/>
      <c r="P1540" s="224"/>
      <c r="Q1540" s="224"/>
      <c r="R1540" s="224"/>
      <c r="S1540" s="224"/>
      <c r="T1540" s="224"/>
      <c r="U1540" s="224"/>
      <c r="V1540" s="224"/>
    </row>
    <row r="1541" spans="1:22" x14ac:dyDescent="0.3">
      <c r="A1541" s="222"/>
      <c r="B1541" s="235"/>
      <c r="C1541" s="227"/>
      <c r="D1541" s="344"/>
      <c r="E1541" s="235"/>
      <c r="F1541" s="235"/>
      <c r="G1541" s="227"/>
      <c r="H1541" s="227"/>
      <c r="I1541" s="350"/>
      <c r="J1541" s="227"/>
      <c r="K1541" s="227"/>
      <c r="L1541" s="224"/>
      <c r="M1541" s="224"/>
      <c r="N1541" s="224"/>
      <c r="O1541" s="224"/>
      <c r="P1541" s="224"/>
      <c r="Q1541" s="224"/>
      <c r="R1541" s="224"/>
      <c r="S1541" s="224"/>
      <c r="T1541" s="224"/>
      <c r="U1541" s="224"/>
      <c r="V1541" s="224"/>
    </row>
    <row r="1542" spans="1:22" x14ac:dyDescent="0.3">
      <c r="A1542" s="222"/>
      <c r="B1542" s="235"/>
      <c r="C1542" s="227"/>
      <c r="D1542" s="344"/>
      <c r="E1542" s="235"/>
      <c r="F1542" s="235"/>
      <c r="G1542" s="227"/>
      <c r="H1542" s="227"/>
      <c r="I1542" s="350"/>
      <c r="J1542" s="227"/>
      <c r="K1542" s="227"/>
      <c r="L1542" s="224"/>
      <c r="M1542" s="224"/>
      <c r="N1542" s="224"/>
      <c r="O1542" s="224"/>
      <c r="P1542" s="224"/>
      <c r="Q1542" s="224"/>
      <c r="R1542" s="224"/>
      <c r="S1542" s="224"/>
      <c r="T1542" s="224"/>
      <c r="U1542" s="224"/>
      <c r="V1542" s="224"/>
    </row>
    <row r="1543" spans="1:22" x14ac:dyDescent="0.3">
      <c r="A1543" s="222"/>
      <c r="B1543" s="235"/>
      <c r="C1543" s="227"/>
      <c r="D1543" s="344"/>
      <c r="E1543" s="235"/>
      <c r="F1543" s="235"/>
      <c r="G1543" s="227"/>
      <c r="H1543" s="227"/>
      <c r="I1543" s="350"/>
      <c r="J1543" s="227"/>
      <c r="K1543" s="227"/>
      <c r="L1543" s="224"/>
      <c r="M1543" s="224"/>
      <c r="N1543" s="224"/>
      <c r="O1543" s="224"/>
      <c r="P1543" s="224"/>
      <c r="Q1543" s="224"/>
      <c r="R1543" s="224"/>
      <c r="S1543" s="224"/>
      <c r="T1543" s="224"/>
      <c r="U1543" s="224"/>
      <c r="V1543" s="224"/>
    </row>
    <row r="1544" spans="1:22" x14ac:dyDescent="0.3">
      <c r="A1544" s="222"/>
      <c r="B1544" s="235"/>
      <c r="C1544" s="227"/>
      <c r="D1544" s="344"/>
      <c r="E1544" s="235"/>
      <c r="F1544" s="235"/>
      <c r="G1544" s="227"/>
      <c r="H1544" s="227"/>
      <c r="I1544" s="350"/>
      <c r="J1544" s="227"/>
      <c r="K1544" s="227"/>
      <c r="L1544" s="224"/>
      <c r="M1544" s="224"/>
      <c r="N1544" s="224"/>
      <c r="O1544" s="224"/>
      <c r="P1544" s="224"/>
      <c r="Q1544" s="224"/>
      <c r="R1544" s="224"/>
      <c r="S1544" s="224"/>
      <c r="T1544" s="224"/>
      <c r="U1544" s="224"/>
      <c r="V1544" s="224"/>
    </row>
    <row r="1545" spans="1:22" x14ac:dyDescent="0.3">
      <c r="A1545" s="222"/>
      <c r="B1545" s="235"/>
      <c r="C1545" s="227"/>
      <c r="D1545" s="344"/>
      <c r="E1545" s="235"/>
      <c r="F1545" s="235"/>
      <c r="G1545" s="227"/>
      <c r="H1545" s="227"/>
      <c r="I1545" s="350"/>
      <c r="J1545" s="227"/>
      <c r="K1545" s="227"/>
      <c r="L1545" s="224"/>
      <c r="M1545" s="224"/>
      <c r="N1545" s="224"/>
      <c r="O1545" s="224"/>
      <c r="P1545" s="224"/>
      <c r="Q1545" s="224"/>
      <c r="R1545" s="224"/>
      <c r="S1545" s="224"/>
      <c r="T1545" s="224"/>
      <c r="U1545" s="224"/>
      <c r="V1545" s="224"/>
    </row>
    <row r="1546" spans="1:22" x14ac:dyDescent="0.3">
      <c r="A1546" s="222"/>
      <c r="B1546" s="235"/>
      <c r="C1546" s="227"/>
      <c r="D1546" s="344"/>
      <c r="E1546" s="235"/>
      <c r="F1546" s="235"/>
      <c r="G1546" s="227"/>
      <c r="H1546" s="227"/>
      <c r="I1546" s="350"/>
      <c r="J1546" s="227"/>
      <c r="K1546" s="227"/>
      <c r="L1546" s="224"/>
      <c r="M1546" s="224"/>
      <c r="N1546" s="224"/>
      <c r="O1546" s="224"/>
      <c r="P1546" s="224"/>
      <c r="Q1546" s="224"/>
      <c r="R1546" s="224"/>
      <c r="S1546" s="224"/>
      <c r="T1546" s="224"/>
      <c r="U1546" s="224"/>
      <c r="V1546" s="224"/>
    </row>
    <row r="1547" spans="1:22" x14ac:dyDescent="0.3">
      <c r="A1547" s="222"/>
      <c r="B1547" s="235"/>
      <c r="C1547" s="227"/>
      <c r="D1547" s="344"/>
      <c r="E1547" s="235"/>
      <c r="F1547" s="235"/>
      <c r="G1547" s="227"/>
      <c r="H1547" s="227"/>
      <c r="I1547" s="350"/>
      <c r="J1547" s="227"/>
      <c r="K1547" s="227"/>
      <c r="L1547" s="224"/>
      <c r="M1547" s="224"/>
      <c r="N1547" s="224"/>
      <c r="O1547" s="224"/>
      <c r="P1547" s="224"/>
      <c r="Q1547" s="224"/>
      <c r="R1547" s="224"/>
      <c r="S1547" s="224"/>
      <c r="T1547" s="224"/>
      <c r="U1547" s="224"/>
      <c r="V1547" s="224"/>
    </row>
    <row r="1548" spans="1:22" x14ac:dyDescent="0.3">
      <c r="A1548" s="222"/>
      <c r="B1548" s="235"/>
      <c r="C1548" s="227"/>
      <c r="D1548" s="344"/>
      <c r="E1548" s="235"/>
      <c r="F1548" s="235"/>
      <c r="G1548" s="227"/>
      <c r="H1548" s="227"/>
      <c r="I1548" s="350"/>
      <c r="J1548" s="227"/>
      <c r="K1548" s="227"/>
      <c r="L1548" s="224"/>
      <c r="M1548" s="224"/>
      <c r="N1548" s="224"/>
      <c r="O1548" s="224"/>
      <c r="P1548" s="224"/>
      <c r="Q1548" s="224"/>
      <c r="R1548" s="224"/>
      <c r="S1548" s="224"/>
      <c r="T1548" s="224"/>
      <c r="U1548" s="224"/>
      <c r="V1548" s="224"/>
    </row>
    <row r="1549" spans="1:22" x14ac:dyDescent="0.3">
      <c r="A1549" s="222"/>
      <c r="B1549" s="235"/>
      <c r="C1549" s="227"/>
      <c r="D1549" s="344"/>
      <c r="E1549" s="235"/>
      <c r="F1549" s="235"/>
      <c r="G1549" s="227"/>
      <c r="H1549" s="227"/>
      <c r="I1549" s="350"/>
      <c r="J1549" s="227"/>
      <c r="K1549" s="227"/>
      <c r="L1549" s="224"/>
      <c r="M1549" s="224"/>
      <c r="N1549" s="224"/>
      <c r="O1549" s="224"/>
      <c r="P1549" s="224"/>
      <c r="Q1549" s="224"/>
      <c r="R1549" s="224"/>
      <c r="S1549" s="224"/>
      <c r="T1549" s="224"/>
      <c r="U1549" s="224"/>
      <c r="V1549" s="224"/>
    </row>
    <row r="1550" spans="1:22" x14ac:dyDescent="0.3">
      <c r="A1550" s="222"/>
      <c r="B1550" s="235"/>
      <c r="C1550" s="227"/>
      <c r="D1550" s="344"/>
      <c r="E1550" s="235"/>
      <c r="F1550" s="235"/>
      <c r="G1550" s="227"/>
      <c r="H1550" s="227"/>
      <c r="I1550" s="350"/>
      <c r="J1550" s="227"/>
      <c r="K1550" s="227"/>
      <c r="L1550" s="224"/>
      <c r="M1550" s="224"/>
      <c r="N1550" s="224"/>
      <c r="O1550" s="224"/>
      <c r="P1550" s="224"/>
      <c r="Q1550" s="224"/>
      <c r="R1550" s="224"/>
      <c r="S1550" s="224"/>
      <c r="T1550" s="224"/>
      <c r="U1550" s="224"/>
      <c r="V1550" s="224"/>
    </row>
    <row r="1551" spans="1:22" x14ac:dyDescent="0.3">
      <c r="A1551" s="222"/>
      <c r="B1551" s="235"/>
      <c r="C1551" s="227"/>
      <c r="D1551" s="344"/>
      <c r="E1551" s="235"/>
      <c r="F1551" s="235"/>
      <c r="G1551" s="227"/>
      <c r="H1551" s="227"/>
      <c r="I1551" s="350"/>
      <c r="J1551" s="227"/>
      <c r="K1551" s="227"/>
      <c r="L1551" s="224"/>
      <c r="M1551" s="224"/>
      <c r="N1551" s="224"/>
      <c r="O1551" s="224"/>
      <c r="P1551" s="224"/>
      <c r="Q1551" s="224"/>
      <c r="R1551" s="224"/>
      <c r="S1551" s="224"/>
      <c r="T1551" s="224"/>
      <c r="U1551" s="224"/>
      <c r="V1551" s="224"/>
    </row>
    <row r="1552" spans="1:22" x14ac:dyDescent="0.3">
      <c r="A1552" s="222"/>
      <c r="B1552" s="235"/>
      <c r="C1552" s="227"/>
      <c r="D1552" s="344"/>
      <c r="E1552" s="235"/>
      <c r="F1552" s="235"/>
      <c r="G1552" s="227"/>
      <c r="H1552" s="227"/>
      <c r="I1552" s="350"/>
      <c r="J1552" s="227"/>
      <c r="K1552" s="227"/>
      <c r="L1552" s="224"/>
      <c r="M1552" s="224"/>
      <c r="N1552" s="224"/>
      <c r="O1552" s="224"/>
      <c r="P1552" s="224"/>
      <c r="Q1552" s="224"/>
      <c r="R1552" s="224"/>
      <c r="S1552" s="224"/>
      <c r="T1552" s="224"/>
      <c r="U1552" s="224"/>
      <c r="V1552" s="224"/>
    </row>
    <row r="1553" spans="1:22" x14ac:dyDescent="0.3">
      <c r="A1553" s="222"/>
      <c r="B1553" s="235"/>
      <c r="C1553" s="227"/>
      <c r="D1553" s="344"/>
      <c r="E1553" s="235"/>
      <c r="F1553" s="235"/>
      <c r="G1553" s="227"/>
      <c r="H1553" s="227"/>
      <c r="I1553" s="350"/>
      <c r="J1553" s="227"/>
      <c r="K1553" s="227"/>
      <c r="L1553" s="224"/>
      <c r="M1553" s="224"/>
      <c r="N1553" s="224"/>
      <c r="O1553" s="224"/>
      <c r="P1553" s="224"/>
      <c r="Q1553" s="224"/>
      <c r="R1553" s="224"/>
      <c r="S1553" s="224"/>
      <c r="T1553" s="224"/>
      <c r="U1553" s="224"/>
      <c r="V1553" s="224"/>
    </row>
    <row r="1554" spans="1:22" x14ac:dyDescent="0.3">
      <c r="A1554" s="222"/>
      <c r="B1554" s="235"/>
      <c r="C1554" s="227"/>
      <c r="D1554" s="344"/>
      <c r="E1554" s="235"/>
      <c r="F1554" s="235"/>
      <c r="G1554" s="227"/>
      <c r="H1554" s="227"/>
      <c r="I1554" s="350"/>
      <c r="J1554" s="227"/>
      <c r="K1554" s="227"/>
      <c r="L1554" s="224"/>
      <c r="M1554" s="224"/>
      <c r="N1554" s="224"/>
      <c r="O1554" s="224"/>
      <c r="P1554" s="224"/>
      <c r="Q1554" s="224"/>
      <c r="R1554" s="224"/>
      <c r="S1554" s="224"/>
      <c r="T1554" s="224"/>
      <c r="U1554" s="224"/>
      <c r="V1554" s="224"/>
    </row>
    <row r="1555" spans="1:22" x14ac:dyDescent="0.3">
      <c r="A1555" s="222"/>
      <c r="B1555" s="235"/>
      <c r="C1555" s="227"/>
      <c r="D1555" s="344"/>
      <c r="E1555" s="235"/>
      <c r="F1555" s="235"/>
      <c r="G1555" s="227"/>
      <c r="H1555" s="227"/>
      <c r="I1555" s="350"/>
      <c r="J1555" s="227"/>
      <c r="K1555" s="227"/>
      <c r="L1555" s="224"/>
      <c r="M1555" s="224"/>
      <c r="N1555" s="224"/>
      <c r="O1555" s="224"/>
      <c r="P1555" s="224"/>
      <c r="Q1555" s="224"/>
      <c r="R1555" s="224"/>
      <c r="S1555" s="224"/>
      <c r="T1555" s="224"/>
      <c r="U1555" s="224"/>
      <c r="V1555" s="224"/>
    </row>
    <row r="1556" spans="1:22" x14ac:dyDescent="0.3">
      <c r="A1556" s="222"/>
      <c r="B1556" s="235"/>
      <c r="C1556" s="227"/>
      <c r="D1556" s="344"/>
      <c r="E1556" s="235"/>
      <c r="F1556" s="235"/>
      <c r="G1556" s="227"/>
      <c r="H1556" s="227"/>
      <c r="I1556" s="350"/>
      <c r="J1556" s="227"/>
      <c r="K1556" s="227"/>
      <c r="L1556" s="224"/>
      <c r="M1556" s="224"/>
      <c r="N1556" s="224"/>
      <c r="O1556" s="224"/>
      <c r="P1556" s="224"/>
      <c r="Q1556" s="224"/>
      <c r="R1556" s="224"/>
      <c r="S1556" s="224"/>
      <c r="T1556" s="224"/>
      <c r="U1556" s="224"/>
      <c r="V1556" s="224"/>
    </row>
    <row r="1557" spans="1:22" x14ac:dyDescent="0.3">
      <c r="A1557" s="222"/>
      <c r="B1557" s="235"/>
      <c r="C1557" s="227"/>
      <c r="D1557" s="344"/>
      <c r="E1557" s="235"/>
      <c r="F1557" s="235"/>
      <c r="G1557" s="227"/>
      <c r="H1557" s="227"/>
      <c r="I1557" s="350"/>
      <c r="J1557" s="227"/>
      <c r="K1557" s="227"/>
      <c r="L1557" s="224"/>
      <c r="M1557" s="224"/>
      <c r="N1557" s="224"/>
      <c r="O1557" s="224"/>
      <c r="P1557" s="224"/>
      <c r="Q1557" s="224"/>
      <c r="R1557" s="224"/>
      <c r="S1557" s="224"/>
      <c r="T1557" s="224"/>
      <c r="U1557" s="224"/>
      <c r="V1557" s="224"/>
    </row>
    <row r="1558" spans="1:22" x14ac:dyDescent="0.3">
      <c r="A1558" s="222"/>
      <c r="B1558" s="235"/>
      <c r="C1558" s="227"/>
      <c r="D1558" s="344"/>
      <c r="E1558" s="235"/>
      <c r="F1558" s="235"/>
      <c r="G1558" s="227"/>
      <c r="H1558" s="227"/>
      <c r="I1558" s="350"/>
      <c r="J1558" s="227"/>
      <c r="K1558" s="227"/>
      <c r="L1558" s="224"/>
      <c r="M1558" s="224"/>
      <c r="N1558" s="224"/>
      <c r="O1558" s="224"/>
      <c r="P1558" s="224"/>
      <c r="Q1558" s="224"/>
      <c r="R1558" s="224"/>
      <c r="S1558" s="224"/>
      <c r="T1558" s="224"/>
      <c r="U1558" s="224"/>
      <c r="V1558" s="224"/>
    </row>
    <row r="1559" spans="1:22" x14ac:dyDescent="0.3">
      <c r="A1559" s="222"/>
      <c r="B1559" s="235"/>
      <c r="C1559" s="227"/>
      <c r="D1559" s="344"/>
      <c r="E1559" s="235"/>
      <c r="F1559" s="235"/>
      <c r="G1559" s="227"/>
      <c r="H1559" s="227"/>
      <c r="I1559" s="350"/>
      <c r="J1559" s="227"/>
      <c r="K1559" s="227"/>
      <c r="L1559" s="224"/>
      <c r="M1559" s="224"/>
      <c r="N1559" s="224"/>
      <c r="O1559" s="224"/>
      <c r="P1559" s="224"/>
      <c r="Q1559" s="224"/>
      <c r="R1559" s="224"/>
      <c r="S1559" s="224"/>
      <c r="T1559" s="224"/>
      <c r="U1559" s="224"/>
      <c r="V1559" s="224"/>
    </row>
    <row r="1560" spans="1:22" x14ac:dyDescent="0.3">
      <c r="A1560" s="222"/>
      <c r="B1560" s="235"/>
      <c r="C1560" s="227"/>
      <c r="D1560" s="344"/>
      <c r="E1560" s="235"/>
      <c r="F1560" s="235"/>
      <c r="G1560" s="227"/>
      <c r="H1560" s="227"/>
      <c r="I1560" s="350"/>
      <c r="J1560" s="227"/>
      <c r="K1560" s="227"/>
      <c r="L1560" s="224"/>
      <c r="M1560" s="224"/>
      <c r="N1560" s="224"/>
      <c r="O1560" s="224"/>
      <c r="P1560" s="224"/>
      <c r="Q1560" s="224"/>
      <c r="R1560" s="224"/>
      <c r="S1560" s="224"/>
      <c r="T1560" s="224"/>
      <c r="U1560" s="224"/>
      <c r="V1560" s="224"/>
    </row>
    <row r="1561" spans="1:22" x14ac:dyDescent="0.3">
      <c r="A1561" s="222"/>
      <c r="B1561" s="235"/>
      <c r="C1561" s="227"/>
      <c r="D1561" s="344"/>
      <c r="E1561" s="235"/>
      <c r="F1561" s="235"/>
      <c r="G1561" s="227"/>
      <c r="H1561" s="227"/>
      <c r="I1561" s="350"/>
      <c r="J1561" s="227"/>
      <c r="K1561" s="227"/>
      <c r="L1561" s="224"/>
      <c r="M1561" s="224"/>
      <c r="N1561" s="224"/>
      <c r="O1561" s="224"/>
      <c r="P1561" s="224"/>
      <c r="Q1561" s="224"/>
      <c r="R1561" s="224"/>
      <c r="S1561" s="224"/>
      <c r="T1561" s="224"/>
      <c r="U1561" s="224"/>
      <c r="V1561" s="224"/>
    </row>
    <row r="1562" spans="1:22" x14ac:dyDescent="0.3">
      <c r="A1562" s="222"/>
      <c r="B1562" s="235"/>
      <c r="C1562" s="227"/>
      <c r="D1562" s="344"/>
      <c r="E1562" s="235"/>
      <c r="F1562" s="235"/>
      <c r="G1562" s="227"/>
      <c r="H1562" s="227"/>
      <c r="I1562" s="350"/>
      <c r="J1562" s="227"/>
      <c r="K1562" s="227"/>
      <c r="L1562" s="224"/>
      <c r="M1562" s="224"/>
      <c r="N1562" s="224"/>
      <c r="O1562" s="224"/>
      <c r="P1562" s="224"/>
      <c r="Q1562" s="224"/>
      <c r="R1562" s="224"/>
      <c r="S1562" s="224"/>
      <c r="T1562" s="224"/>
      <c r="U1562" s="224"/>
      <c r="V1562" s="224"/>
    </row>
    <row r="1563" spans="1:22" x14ac:dyDescent="0.3">
      <c r="A1563" s="222"/>
      <c r="B1563" s="235"/>
      <c r="C1563" s="227"/>
      <c r="D1563" s="344"/>
      <c r="E1563" s="235"/>
      <c r="F1563" s="235"/>
      <c r="G1563" s="227"/>
      <c r="H1563" s="227"/>
      <c r="I1563" s="350"/>
      <c r="J1563" s="227"/>
      <c r="K1563" s="227"/>
      <c r="L1563" s="224"/>
      <c r="M1563" s="224"/>
      <c r="N1563" s="224"/>
      <c r="O1563" s="224"/>
      <c r="P1563" s="224"/>
      <c r="Q1563" s="224"/>
      <c r="R1563" s="224"/>
      <c r="S1563" s="224"/>
      <c r="T1563" s="224"/>
      <c r="U1563" s="224"/>
      <c r="V1563" s="224"/>
    </row>
    <row r="1564" spans="1:22" x14ac:dyDescent="0.3">
      <c r="A1564" s="222"/>
      <c r="B1564" s="235"/>
      <c r="C1564" s="227"/>
      <c r="D1564" s="344"/>
      <c r="E1564" s="235"/>
      <c r="F1564" s="235"/>
      <c r="G1564" s="227"/>
      <c r="H1564" s="227"/>
      <c r="I1564" s="350"/>
      <c r="J1564" s="227"/>
      <c r="K1564" s="227"/>
      <c r="L1564" s="224"/>
      <c r="M1564" s="224"/>
      <c r="N1564" s="224"/>
      <c r="O1564" s="224"/>
      <c r="P1564" s="224"/>
      <c r="Q1564" s="224"/>
      <c r="R1564" s="224"/>
      <c r="S1564" s="224"/>
      <c r="T1564" s="224"/>
      <c r="U1564" s="224"/>
      <c r="V1564" s="224"/>
    </row>
    <row r="1565" spans="1:22" x14ac:dyDescent="0.3">
      <c r="A1565" s="222"/>
      <c r="B1565" s="235"/>
      <c r="C1565" s="227"/>
      <c r="D1565" s="344"/>
      <c r="E1565" s="235"/>
      <c r="F1565" s="235"/>
      <c r="G1565" s="227"/>
      <c r="H1565" s="227"/>
      <c r="I1565" s="350"/>
      <c r="J1565" s="227"/>
      <c r="K1565" s="227"/>
      <c r="L1565" s="224"/>
      <c r="M1565" s="224"/>
      <c r="N1565" s="224"/>
      <c r="O1565" s="224"/>
      <c r="P1565" s="224"/>
      <c r="Q1565" s="224"/>
      <c r="R1565" s="224"/>
      <c r="S1565" s="224"/>
      <c r="T1565" s="224"/>
      <c r="U1565" s="224"/>
      <c r="V1565" s="224"/>
    </row>
    <row r="1566" spans="1:22" x14ac:dyDescent="0.3">
      <c r="A1566" s="222"/>
      <c r="B1566" s="235"/>
      <c r="C1566" s="227"/>
      <c r="D1566" s="344"/>
      <c r="E1566" s="235"/>
      <c r="F1566" s="235"/>
      <c r="G1566" s="227"/>
      <c r="H1566" s="227"/>
      <c r="I1566" s="350"/>
      <c r="J1566" s="227"/>
      <c r="K1566" s="227"/>
      <c r="L1566" s="224"/>
      <c r="M1566" s="224"/>
      <c r="N1566" s="224"/>
      <c r="O1566" s="224"/>
      <c r="P1566" s="224"/>
      <c r="Q1566" s="224"/>
      <c r="R1566" s="224"/>
      <c r="S1566" s="224"/>
      <c r="T1566" s="224"/>
      <c r="U1566" s="224"/>
      <c r="V1566" s="224"/>
    </row>
    <row r="1567" spans="1:22" x14ac:dyDescent="0.3">
      <c r="A1567" s="222"/>
      <c r="B1567" s="235"/>
      <c r="C1567" s="227"/>
      <c r="D1567" s="344"/>
      <c r="E1567" s="235"/>
      <c r="F1567" s="235"/>
      <c r="G1567" s="227"/>
      <c r="H1567" s="227"/>
      <c r="I1567" s="350"/>
      <c r="J1567" s="227"/>
      <c r="K1567" s="227"/>
      <c r="L1567" s="224"/>
      <c r="M1567" s="224"/>
      <c r="N1567" s="224"/>
      <c r="O1567" s="224"/>
      <c r="P1567" s="224"/>
      <c r="Q1567" s="224"/>
      <c r="R1567" s="224"/>
      <c r="S1567" s="224"/>
      <c r="T1567" s="224"/>
      <c r="U1567" s="224"/>
      <c r="V1567" s="224"/>
    </row>
    <row r="1568" spans="1:22" x14ac:dyDescent="0.3">
      <c r="A1568" s="222"/>
      <c r="B1568" s="235"/>
      <c r="C1568" s="227"/>
      <c r="D1568" s="344"/>
      <c r="E1568" s="235"/>
      <c r="F1568" s="235"/>
      <c r="G1568" s="227"/>
      <c r="H1568" s="227"/>
      <c r="I1568" s="350"/>
      <c r="J1568" s="227"/>
      <c r="K1568" s="227"/>
      <c r="L1568" s="224"/>
      <c r="M1568" s="224"/>
      <c r="N1568" s="224"/>
      <c r="O1568" s="224"/>
      <c r="P1568" s="224"/>
      <c r="Q1568" s="224"/>
      <c r="R1568" s="224"/>
      <c r="S1568" s="224"/>
      <c r="T1568" s="224"/>
      <c r="U1568" s="224"/>
      <c r="V1568" s="224"/>
    </row>
    <row r="1569" spans="1:22" x14ac:dyDescent="0.3">
      <c r="A1569" s="222"/>
      <c r="B1569" s="235"/>
      <c r="C1569" s="227"/>
      <c r="D1569" s="344"/>
      <c r="E1569" s="235"/>
      <c r="F1569" s="235"/>
      <c r="G1569" s="227"/>
      <c r="H1569" s="227"/>
      <c r="I1569" s="350"/>
      <c r="J1569" s="227"/>
      <c r="K1569" s="227"/>
      <c r="L1569" s="224"/>
      <c r="M1569" s="224"/>
      <c r="N1569" s="224"/>
      <c r="O1569" s="224"/>
      <c r="P1569" s="224"/>
      <c r="Q1569" s="224"/>
      <c r="R1569" s="224"/>
      <c r="S1569" s="224"/>
      <c r="T1569" s="224"/>
      <c r="U1569" s="224"/>
      <c r="V1569" s="224"/>
    </row>
    <row r="1570" spans="1:22" x14ac:dyDescent="0.3">
      <c r="A1570" s="222"/>
      <c r="B1570" s="235"/>
      <c r="C1570" s="227"/>
      <c r="D1570" s="344"/>
      <c r="E1570" s="235"/>
      <c r="F1570" s="235"/>
      <c r="G1570" s="227"/>
      <c r="H1570" s="227"/>
      <c r="I1570" s="350"/>
      <c r="J1570" s="227"/>
      <c r="K1570" s="227"/>
      <c r="L1570" s="224"/>
      <c r="M1570" s="224"/>
      <c r="N1570" s="224"/>
      <c r="O1570" s="224"/>
      <c r="P1570" s="224"/>
      <c r="Q1570" s="224"/>
      <c r="R1570" s="224"/>
      <c r="S1570" s="224"/>
      <c r="T1570" s="224"/>
      <c r="U1570" s="224"/>
      <c r="V1570" s="224"/>
    </row>
    <row r="1571" spans="1:22" x14ac:dyDescent="0.3">
      <c r="A1571" s="222"/>
      <c r="B1571" s="235"/>
      <c r="C1571" s="227"/>
      <c r="D1571" s="344"/>
      <c r="E1571" s="235"/>
      <c r="F1571" s="235"/>
      <c r="G1571" s="227"/>
      <c r="H1571" s="227"/>
      <c r="I1571" s="350"/>
      <c r="J1571" s="227"/>
      <c r="K1571" s="227"/>
      <c r="L1571" s="224"/>
      <c r="M1571" s="224"/>
      <c r="N1571" s="224"/>
      <c r="O1571" s="224"/>
      <c r="P1571" s="224"/>
      <c r="Q1571" s="224"/>
      <c r="R1571" s="224"/>
      <c r="S1571" s="224"/>
      <c r="T1571" s="224"/>
      <c r="U1571" s="224"/>
      <c r="V1571" s="224"/>
    </row>
    <row r="1572" spans="1:22" x14ac:dyDescent="0.3">
      <c r="A1572" s="222"/>
      <c r="B1572" s="235"/>
      <c r="C1572" s="227"/>
      <c r="D1572" s="344"/>
      <c r="E1572" s="235"/>
      <c r="F1572" s="235"/>
      <c r="G1572" s="227"/>
      <c r="H1572" s="227"/>
      <c r="I1572" s="350"/>
      <c r="J1572" s="227"/>
      <c r="K1572" s="227"/>
      <c r="L1572" s="224"/>
      <c r="M1572" s="224"/>
      <c r="N1572" s="224"/>
      <c r="O1572" s="224"/>
      <c r="P1572" s="224"/>
      <c r="Q1572" s="224"/>
      <c r="R1572" s="224"/>
      <c r="S1572" s="224"/>
      <c r="T1572" s="224"/>
      <c r="U1572" s="224"/>
      <c r="V1572" s="224"/>
    </row>
    <row r="1573" spans="1:22" x14ac:dyDescent="0.3">
      <c r="A1573" s="222"/>
      <c r="B1573" s="235"/>
      <c r="C1573" s="227"/>
      <c r="D1573" s="344"/>
      <c r="E1573" s="235"/>
      <c r="F1573" s="235"/>
      <c r="G1573" s="227"/>
      <c r="H1573" s="227"/>
      <c r="I1573" s="350"/>
      <c r="J1573" s="227"/>
      <c r="K1573" s="227"/>
      <c r="L1573" s="224"/>
      <c r="M1573" s="224"/>
      <c r="N1573" s="224"/>
      <c r="O1573" s="224"/>
      <c r="P1573" s="224"/>
      <c r="Q1573" s="224"/>
      <c r="R1573" s="224"/>
      <c r="S1573" s="224"/>
      <c r="T1573" s="224"/>
      <c r="U1573" s="224"/>
      <c r="V1573" s="224"/>
    </row>
    <row r="1574" spans="1:22" x14ac:dyDescent="0.3">
      <c r="A1574" s="222"/>
      <c r="B1574" s="235"/>
      <c r="C1574" s="227"/>
      <c r="D1574" s="344"/>
      <c r="E1574" s="235"/>
      <c r="F1574" s="235"/>
      <c r="G1574" s="227"/>
      <c r="H1574" s="227"/>
      <c r="I1574" s="350"/>
      <c r="J1574" s="227"/>
      <c r="K1574" s="227"/>
      <c r="L1574" s="224"/>
      <c r="M1574" s="224"/>
      <c r="N1574" s="224"/>
      <c r="O1574" s="224"/>
      <c r="P1574" s="224"/>
      <c r="Q1574" s="224"/>
      <c r="R1574" s="224"/>
      <c r="S1574" s="224"/>
      <c r="T1574" s="224"/>
      <c r="U1574" s="224"/>
      <c r="V1574" s="224"/>
    </row>
    <row r="1575" spans="1:22" x14ac:dyDescent="0.3">
      <c r="A1575" s="222"/>
      <c r="B1575" s="235"/>
      <c r="C1575" s="227"/>
      <c r="D1575" s="344"/>
      <c r="E1575" s="235"/>
      <c r="F1575" s="235"/>
      <c r="G1575" s="227"/>
      <c r="H1575" s="227"/>
      <c r="I1575" s="350"/>
      <c r="J1575" s="227"/>
      <c r="K1575" s="227"/>
      <c r="L1575" s="224"/>
      <c r="M1575" s="224"/>
      <c r="N1575" s="224"/>
      <c r="O1575" s="224"/>
      <c r="P1575" s="224"/>
      <c r="Q1575" s="224"/>
      <c r="R1575" s="224"/>
      <c r="S1575" s="224"/>
      <c r="T1575" s="224"/>
      <c r="U1575" s="224"/>
      <c r="V1575" s="224"/>
    </row>
    <row r="1576" spans="1:22" x14ac:dyDescent="0.3">
      <c r="A1576" s="222"/>
      <c r="B1576" s="235"/>
      <c r="C1576" s="227"/>
      <c r="D1576" s="344"/>
      <c r="E1576" s="235"/>
      <c r="F1576" s="235"/>
      <c r="G1576" s="227"/>
      <c r="H1576" s="227"/>
      <c r="I1576" s="350"/>
      <c r="J1576" s="227"/>
      <c r="K1576" s="227"/>
      <c r="L1576" s="224"/>
      <c r="M1576" s="224"/>
      <c r="N1576" s="224"/>
      <c r="O1576" s="224"/>
      <c r="P1576" s="224"/>
      <c r="Q1576" s="224"/>
      <c r="R1576" s="224"/>
      <c r="S1576" s="224"/>
      <c r="T1576" s="224"/>
      <c r="U1576" s="224"/>
      <c r="V1576" s="224"/>
    </row>
    <row r="1577" spans="1:22" x14ac:dyDescent="0.3">
      <c r="A1577" s="222"/>
      <c r="B1577" s="235"/>
      <c r="C1577" s="227"/>
      <c r="D1577" s="344"/>
      <c r="E1577" s="235"/>
      <c r="F1577" s="235"/>
      <c r="G1577" s="227"/>
      <c r="H1577" s="227"/>
      <c r="I1577" s="350"/>
      <c r="J1577" s="227"/>
      <c r="K1577" s="227"/>
      <c r="L1577" s="224"/>
      <c r="M1577" s="224"/>
      <c r="N1577" s="224"/>
      <c r="O1577" s="224"/>
      <c r="P1577" s="224"/>
      <c r="Q1577" s="224"/>
      <c r="R1577" s="224"/>
      <c r="S1577" s="224"/>
      <c r="T1577" s="224"/>
      <c r="U1577" s="224"/>
      <c r="V1577" s="224"/>
    </row>
    <row r="1578" spans="1:22" x14ac:dyDescent="0.3">
      <c r="A1578" s="222"/>
      <c r="B1578" s="235"/>
      <c r="C1578" s="227"/>
      <c r="D1578" s="344"/>
      <c r="E1578" s="235"/>
      <c r="F1578" s="235"/>
      <c r="G1578" s="227"/>
      <c r="H1578" s="227"/>
      <c r="I1578" s="350"/>
      <c r="J1578" s="227"/>
      <c r="K1578" s="227"/>
      <c r="L1578" s="224"/>
      <c r="M1578" s="224"/>
      <c r="N1578" s="224"/>
      <c r="O1578" s="224"/>
      <c r="P1578" s="224"/>
      <c r="Q1578" s="224"/>
      <c r="R1578" s="224"/>
      <c r="S1578" s="224"/>
      <c r="T1578" s="224"/>
      <c r="U1578" s="224"/>
      <c r="V1578" s="224"/>
    </row>
    <row r="1579" spans="1:22" x14ac:dyDescent="0.3">
      <c r="A1579" s="222"/>
      <c r="B1579" s="235"/>
      <c r="C1579" s="227"/>
      <c r="D1579" s="344"/>
      <c r="E1579" s="235"/>
      <c r="F1579" s="235"/>
      <c r="G1579" s="227"/>
      <c r="H1579" s="227"/>
      <c r="I1579" s="350"/>
      <c r="J1579" s="227"/>
      <c r="K1579" s="227"/>
      <c r="L1579" s="224"/>
      <c r="M1579" s="224"/>
      <c r="N1579" s="224"/>
      <c r="O1579" s="224"/>
      <c r="P1579" s="224"/>
      <c r="Q1579" s="224"/>
      <c r="R1579" s="224"/>
      <c r="S1579" s="224"/>
      <c r="T1579" s="224"/>
      <c r="U1579" s="224"/>
      <c r="V1579" s="224"/>
    </row>
    <row r="1580" spans="1:22" x14ac:dyDescent="0.3">
      <c r="A1580" s="222"/>
      <c r="B1580" s="235"/>
      <c r="C1580" s="227"/>
      <c r="D1580" s="344"/>
      <c r="E1580" s="235"/>
      <c r="F1580" s="235"/>
      <c r="G1580" s="227"/>
      <c r="H1580" s="227"/>
      <c r="I1580" s="350"/>
      <c r="J1580" s="227"/>
      <c r="K1580" s="227"/>
      <c r="L1580" s="224"/>
      <c r="M1580" s="224"/>
      <c r="N1580" s="224"/>
      <c r="O1580" s="224"/>
      <c r="P1580" s="224"/>
      <c r="Q1580" s="224"/>
      <c r="R1580" s="224"/>
      <c r="S1580" s="224"/>
      <c r="T1580" s="224"/>
      <c r="U1580" s="224"/>
      <c r="V1580" s="224"/>
    </row>
    <row r="1581" spans="1:22" x14ac:dyDescent="0.3">
      <c r="A1581" s="222"/>
      <c r="B1581" s="235"/>
      <c r="C1581" s="227"/>
      <c r="D1581" s="344"/>
      <c r="E1581" s="235"/>
      <c r="F1581" s="235"/>
      <c r="G1581" s="227"/>
      <c r="H1581" s="227"/>
      <c r="I1581" s="350"/>
      <c r="J1581" s="227"/>
      <c r="K1581" s="227"/>
      <c r="L1581" s="224"/>
      <c r="M1581" s="224"/>
      <c r="N1581" s="224"/>
      <c r="O1581" s="224"/>
      <c r="P1581" s="224"/>
      <c r="Q1581" s="224"/>
      <c r="R1581" s="224"/>
      <c r="S1581" s="224"/>
      <c r="T1581" s="224"/>
      <c r="U1581" s="224"/>
      <c r="V1581" s="224"/>
    </row>
    <row r="1582" spans="1:22" x14ac:dyDescent="0.3">
      <c r="A1582" s="222"/>
      <c r="B1582" s="235"/>
      <c r="C1582" s="227"/>
      <c r="D1582" s="344"/>
      <c r="E1582" s="235"/>
      <c r="F1582" s="235"/>
      <c r="G1582" s="227"/>
      <c r="H1582" s="227"/>
      <c r="I1582" s="350"/>
      <c r="J1582" s="227"/>
      <c r="K1582" s="227"/>
      <c r="L1582" s="224"/>
      <c r="M1582" s="224"/>
      <c r="N1582" s="224"/>
      <c r="O1582" s="224"/>
      <c r="P1582" s="224"/>
      <c r="Q1582" s="224"/>
      <c r="R1582" s="224"/>
      <c r="S1582" s="224"/>
      <c r="T1582" s="224"/>
      <c r="U1582" s="224"/>
      <c r="V1582" s="224"/>
    </row>
    <row r="1583" spans="1:22" x14ac:dyDescent="0.3">
      <c r="A1583" s="222"/>
      <c r="B1583" s="235"/>
      <c r="C1583" s="227"/>
      <c r="D1583" s="344"/>
      <c r="E1583" s="235"/>
      <c r="F1583" s="235"/>
      <c r="G1583" s="227"/>
      <c r="H1583" s="227"/>
      <c r="I1583" s="350"/>
      <c r="J1583" s="227"/>
      <c r="K1583" s="227"/>
      <c r="L1583" s="224"/>
      <c r="M1583" s="224"/>
      <c r="N1583" s="224"/>
      <c r="O1583" s="224"/>
      <c r="P1583" s="224"/>
      <c r="Q1583" s="224"/>
      <c r="R1583" s="224"/>
      <c r="S1583" s="224"/>
      <c r="T1583" s="224"/>
      <c r="U1583" s="224"/>
      <c r="V1583" s="224"/>
    </row>
    <row r="1584" spans="1:22" x14ac:dyDescent="0.3">
      <c r="A1584" s="222"/>
      <c r="B1584" s="235"/>
      <c r="C1584" s="227"/>
      <c r="D1584" s="344"/>
      <c r="E1584" s="235"/>
      <c r="F1584" s="235"/>
      <c r="G1584" s="227"/>
      <c r="H1584" s="227"/>
      <c r="I1584" s="350"/>
      <c r="J1584" s="227"/>
      <c r="K1584" s="227"/>
      <c r="L1584" s="224"/>
      <c r="M1584" s="224"/>
      <c r="N1584" s="224"/>
      <c r="O1584" s="224"/>
      <c r="P1584" s="224"/>
      <c r="Q1584" s="224"/>
      <c r="R1584" s="224"/>
      <c r="S1584" s="224"/>
      <c r="T1584" s="224"/>
      <c r="U1584" s="224"/>
      <c r="V1584" s="224"/>
    </row>
    <row r="1585" spans="1:22" x14ac:dyDescent="0.3">
      <c r="A1585" s="222"/>
      <c r="B1585" s="235"/>
      <c r="C1585" s="227"/>
      <c r="D1585" s="344"/>
      <c r="E1585" s="235"/>
      <c r="F1585" s="235"/>
      <c r="G1585" s="227"/>
      <c r="H1585" s="227"/>
      <c r="I1585" s="350"/>
      <c r="J1585" s="227"/>
      <c r="K1585" s="227"/>
      <c r="L1585" s="224"/>
      <c r="M1585" s="224"/>
      <c r="N1585" s="224"/>
      <c r="O1585" s="224"/>
      <c r="P1585" s="224"/>
      <c r="Q1585" s="224"/>
      <c r="R1585" s="224"/>
      <c r="S1585" s="224"/>
      <c r="T1585" s="224"/>
      <c r="U1585" s="224"/>
      <c r="V1585" s="224"/>
    </row>
    <row r="1586" spans="1:22" x14ac:dyDescent="0.3">
      <c r="A1586" s="222"/>
      <c r="B1586" s="235"/>
      <c r="C1586" s="227"/>
      <c r="D1586" s="344"/>
      <c r="E1586" s="235"/>
      <c r="F1586" s="235"/>
      <c r="G1586" s="227"/>
      <c r="H1586" s="227"/>
      <c r="I1586" s="350"/>
      <c r="J1586" s="227"/>
      <c r="K1586" s="227"/>
      <c r="L1586" s="224"/>
      <c r="M1586" s="224"/>
      <c r="N1586" s="224"/>
      <c r="O1586" s="224"/>
      <c r="P1586" s="224"/>
      <c r="Q1586" s="224"/>
      <c r="R1586" s="224"/>
      <c r="S1586" s="224"/>
      <c r="T1586" s="224"/>
      <c r="U1586" s="224"/>
      <c r="V1586" s="224"/>
    </row>
    <row r="1587" spans="1:22" x14ac:dyDescent="0.3">
      <c r="A1587" s="222"/>
      <c r="B1587" s="235"/>
      <c r="C1587" s="227"/>
      <c r="D1587" s="344"/>
      <c r="E1587" s="235"/>
      <c r="F1587" s="235"/>
      <c r="G1587" s="227"/>
      <c r="H1587" s="227"/>
      <c r="I1587" s="350"/>
      <c r="J1587" s="227"/>
      <c r="K1587" s="227"/>
      <c r="L1587" s="224"/>
      <c r="M1587" s="224"/>
      <c r="N1587" s="224"/>
      <c r="O1587" s="224"/>
      <c r="P1587" s="224"/>
      <c r="Q1587" s="224"/>
      <c r="R1587" s="224"/>
      <c r="S1587" s="224"/>
      <c r="T1587" s="224"/>
      <c r="U1587" s="224"/>
      <c r="V1587" s="224"/>
    </row>
    <row r="1588" spans="1:22" x14ac:dyDescent="0.3">
      <c r="A1588" s="222"/>
      <c r="B1588" s="235"/>
      <c r="C1588" s="227"/>
      <c r="D1588" s="344"/>
      <c r="E1588" s="235"/>
      <c r="F1588" s="235"/>
      <c r="G1588" s="227"/>
      <c r="H1588" s="227"/>
      <c r="I1588" s="350"/>
      <c r="J1588" s="227"/>
      <c r="K1588" s="227"/>
      <c r="L1588" s="224"/>
      <c r="M1588" s="224"/>
      <c r="N1588" s="224"/>
      <c r="O1588" s="224"/>
      <c r="P1588" s="224"/>
      <c r="Q1588" s="224"/>
      <c r="R1588" s="224"/>
      <c r="S1588" s="224"/>
      <c r="T1588" s="224"/>
      <c r="U1588" s="224"/>
      <c r="V1588" s="224"/>
    </row>
    <row r="1589" spans="1:22" x14ac:dyDescent="0.3">
      <c r="A1589" s="222"/>
      <c r="B1589" s="235"/>
      <c r="C1589" s="227"/>
      <c r="D1589" s="344"/>
      <c r="E1589" s="235"/>
      <c r="F1589" s="235"/>
      <c r="G1589" s="227"/>
      <c r="H1589" s="227"/>
      <c r="I1589" s="350"/>
      <c r="J1589" s="227"/>
      <c r="K1589" s="227"/>
      <c r="L1589" s="224"/>
      <c r="M1589" s="224"/>
      <c r="N1589" s="224"/>
      <c r="O1589" s="224"/>
      <c r="P1589" s="224"/>
      <c r="Q1589" s="224"/>
      <c r="R1589" s="224"/>
      <c r="S1589" s="224"/>
      <c r="T1589" s="224"/>
      <c r="U1589" s="224"/>
      <c r="V1589" s="224"/>
    </row>
    <row r="1590" spans="1:22" x14ac:dyDescent="0.3">
      <c r="A1590" s="222"/>
      <c r="B1590" s="235"/>
      <c r="C1590" s="227"/>
      <c r="D1590" s="344"/>
      <c r="E1590" s="235"/>
      <c r="F1590" s="235"/>
      <c r="G1590" s="227"/>
      <c r="H1590" s="227"/>
      <c r="I1590" s="350"/>
      <c r="J1590" s="227"/>
      <c r="K1590" s="227"/>
      <c r="L1590" s="224"/>
      <c r="M1590" s="224"/>
      <c r="N1590" s="224"/>
      <c r="O1590" s="224"/>
      <c r="P1590" s="224"/>
      <c r="Q1590" s="224"/>
      <c r="R1590" s="224"/>
      <c r="S1590" s="224"/>
      <c r="T1590" s="224"/>
      <c r="U1590" s="224"/>
      <c r="V1590" s="224"/>
    </row>
    <row r="1591" spans="1:22" x14ac:dyDescent="0.3">
      <c r="A1591" s="222"/>
      <c r="B1591" s="235"/>
      <c r="C1591" s="227"/>
      <c r="D1591" s="344"/>
      <c r="E1591" s="235"/>
      <c r="F1591" s="235"/>
      <c r="G1591" s="227"/>
      <c r="H1591" s="227"/>
      <c r="I1591" s="350"/>
      <c r="J1591" s="227"/>
      <c r="K1591" s="227"/>
      <c r="L1591" s="224"/>
      <c r="M1591" s="224"/>
      <c r="N1591" s="224"/>
      <c r="O1591" s="224"/>
      <c r="P1591" s="224"/>
      <c r="Q1591" s="224"/>
      <c r="R1591" s="224"/>
      <c r="S1591" s="224"/>
      <c r="T1591" s="224"/>
      <c r="U1591" s="224"/>
      <c r="V1591" s="224"/>
    </row>
    <row r="1592" spans="1:22" x14ac:dyDescent="0.3">
      <c r="A1592" s="222"/>
      <c r="B1592" s="235"/>
      <c r="C1592" s="227"/>
      <c r="D1592" s="344"/>
      <c r="E1592" s="235"/>
      <c r="F1592" s="235"/>
      <c r="G1592" s="227"/>
      <c r="H1592" s="227"/>
      <c r="I1592" s="350"/>
      <c r="J1592" s="227"/>
      <c r="K1592" s="227"/>
      <c r="L1592" s="224"/>
      <c r="M1592" s="224"/>
      <c r="N1592" s="224"/>
      <c r="O1592" s="224"/>
      <c r="P1592" s="224"/>
      <c r="Q1592" s="224"/>
      <c r="R1592" s="224"/>
      <c r="S1592" s="224"/>
      <c r="T1592" s="224"/>
      <c r="U1592" s="224"/>
      <c r="V1592" s="224"/>
    </row>
    <row r="1593" spans="1:22" x14ac:dyDescent="0.3">
      <c r="A1593" s="222"/>
      <c r="B1593" s="235"/>
      <c r="C1593" s="227"/>
      <c r="D1593" s="344"/>
      <c r="E1593" s="235"/>
      <c r="F1593" s="235"/>
      <c r="G1593" s="227"/>
      <c r="H1593" s="227"/>
      <c r="I1593" s="350"/>
      <c r="J1593" s="227"/>
      <c r="K1593" s="227"/>
      <c r="L1593" s="224"/>
      <c r="M1593" s="224"/>
      <c r="N1593" s="224"/>
      <c r="O1593" s="224"/>
      <c r="P1593" s="224"/>
      <c r="Q1593" s="224"/>
      <c r="R1593" s="224"/>
      <c r="S1593" s="224"/>
      <c r="T1593" s="224"/>
      <c r="U1593" s="224"/>
      <c r="V1593" s="224"/>
    </row>
    <row r="1594" spans="1:22" x14ac:dyDescent="0.3">
      <c r="A1594" s="222"/>
      <c r="B1594" s="235"/>
      <c r="C1594" s="227"/>
      <c r="D1594" s="344"/>
      <c r="E1594" s="235"/>
      <c r="F1594" s="235"/>
      <c r="G1594" s="227"/>
      <c r="H1594" s="227"/>
      <c r="I1594" s="350"/>
      <c r="J1594" s="227"/>
      <c r="K1594" s="227"/>
      <c r="L1594" s="224"/>
      <c r="M1594" s="224"/>
      <c r="N1594" s="224"/>
      <c r="O1594" s="224"/>
      <c r="P1594" s="224"/>
      <c r="Q1594" s="224"/>
      <c r="R1594" s="224"/>
      <c r="S1594" s="224"/>
      <c r="T1594" s="224"/>
      <c r="U1594" s="224"/>
      <c r="V1594" s="224"/>
    </row>
    <row r="1595" spans="1:22" x14ac:dyDescent="0.3">
      <c r="A1595" s="222"/>
      <c r="B1595" s="235"/>
      <c r="C1595" s="227"/>
      <c r="D1595" s="344"/>
      <c r="E1595" s="235"/>
      <c r="F1595" s="235"/>
      <c r="G1595" s="227"/>
      <c r="H1595" s="227"/>
      <c r="I1595" s="350"/>
      <c r="J1595" s="227"/>
      <c r="K1595" s="227"/>
      <c r="L1595" s="224"/>
      <c r="M1595" s="224"/>
      <c r="N1595" s="224"/>
      <c r="O1595" s="224"/>
      <c r="P1595" s="224"/>
      <c r="Q1595" s="224"/>
      <c r="R1595" s="224"/>
      <c r="S1595" s="224"/>
      <c r="T1595" s="224"/>
      <c r="U1595" s="224"/>
      <c r="V1595" s="224"/>
    </row>
    <row r="1596" spans="1:22" x14ac:dyDescent="0.3">
      <c r="A1596" s="222"/>
      <c r="B1596" s="235"/>
      <c r="C1596" s="227"/>
      <c r="D1596" s="344"/>
      <c r="E1596" s="235"/>
      <c r="F1596" s="235"/>
      <c r="G1596" s="227"/>
      <c r="H1596" s="227"/>
      <c r="I1596" s="350"/>
      <c r="J1596" s="227"/>
      <c r="K1596" s="227"/>
      <c r="L1596" s="224"/>
      <c r="M1596" s="224"/>
      <c r="N1596" s="224"/>
      <c r="O1596" s="224"/>
      <c r="P1596" s="224"/>
      <c r="Q1596" s="224"/>
      <c r="R1596" s="224"/>
      <c r="S1596" s="224"/>
      <c r="T1596" s="224"/>
      <c r="U1596" s="224"/>
      <c r="V1596" s="224"/>
    </row>
    <row r="1597" spans="1:22" x14ac:dyDescent="0.3">
      <c r="A1597" s="222"/>
      <c r="B1597" s="235"/>
      <c r="C1597" s="227"/>
      <c r="D1597" s="344"/>
      <c r="E1597" s="235"/>
      <c r="F1597" s="235"/>
      <c r="G1597" s="227"/>
      <c r="H1597" s="227"/>
      <c r="I1597" s="350"/>
      <c r="J1597" s="227"/>
      <c r="K1597" s="227"/>
      <c r="L1597" s="224"/>
      <c r="M1597" s="224"/>
      <c r="N1597" s="224"/>
      <c r="O1597" s="224"/>
      <c r="P1597" s="224"/>
      <c r="Q1597" s="224"/>
      <c r="R1597" s="224"/>
      <c r="S1597" s="224"/>
      <c r="T1597" s="224"/>
      <c r="U1597" s="224"/>
      <c r="V1597" s="224"/>
    </row>
    <row r="1598" spans="1:22" x14ac:dyDescent="0.3">
      <c r="A1598" s="222"/>
      <c r="B1598" s="235"/>
      <c r="C1598" s="227"/>
      <c r="D1598" s="344"/>
      <c r="E1598" s="235"/>
      <c r="F1598" s="235"/>
      <c r="G1598" s="227"/>
      <c r="H1598" s="227"/>
      <c r="I1598" s="350"/>
      <c r="J1598" s="227"/>
      <c r="K1598" s="227"/>
      <c r="L1598" s="224"/>
      <c r="M1598" s="224"/>
      <c r="N1598" s="224"/>
      <c r="O1598" s="224"/>
      <c r="P1598" s="224"/>
      <c r="Q1598" s="224"/>
      <c r="R1598" s="224"/>
      <c r="S1598" s="224"/>
      <c r="T1598" s="224"/>
      <c r="U1598" s="224"/>
      <c r="V1598" s="224"/>
    </row>
    <row r="1599" spans="1:22" x14ac:dyDescent="0.3">
      <c r="A1599" s="222"/>
      <c r="B1599" s="235"/>
      <c r="C1599" s="227"/>
      <c r="D1599" s="344"/>
      <c r="E1599" s="235"/>
      <c r="F1599" s="235"/>
      <c r="G1599" s="227"/>
      <c r="H1599" s="227"/>
      <c r="I1599" s="350"/>
      <c r="J1599" s="227"/>
      <c r="K1599" s="227"/>
      <c r="L1599" s="224"/>
      <c r="M1599" s="224"/>
      <c r="N1599" s="224"/>
      <c r="O1599" s="224"/>
      <c r="P1599" s="224"/>
      <c r="Q1599" s="224"/>
      <c r="R1599" s="224"/>
      <c r="S1599" s="224"/>
      <c r="T1599" s="224"/>
      <c r="U1599" s="224"/>
      <c r="V1599" s="224"/>
    </row>
    <row r="1600" spans="1:22" x14ac:dyDescent="0.3">
      <c r="A1600" s="222"/>
      <c r="B1600" s="235"/>
      <c r="C1600" s="227"/>
      <c r="D1600" s="344"/>
      <c r="E1600" s="235"/>
      <c r="F1600" s="235"/>
      <c r="G1600" s="227"/>
      <c r="H1600" s="227"/>
      <c r="I1600" s="350"/>
      <c r="J1600" s="227"/>
      <c r="K1600" s="227"/>
      <c r="L1600" s="224"/>
      <c r="M1600" s="224"/>
      <c r="N1600" s="224"/>
      <c r="O1600" s="224"/>
      <c r="P1600" s="224"/>
      <c r="Q1600" s="224"/>
      <c r="R1600" s="224"/>
      <c r="S1600" s="224"/>
      <c r="T1600" s="224"/>
      <c r="U1600" s="224"/>
      <c r="V1600" s="224"/>
    </row>
    <row r="1601" spans="1:22" x14ac:dyDescent="0.3">
      <c r="A1601" s="222"/>
      <c r="B1601" s="235"/>
      <c r="C1601" s="227"/>
      <c r="D1601" s="344"/>
      <c r="E1601" s="235"/>
      <c r="F1601" s="235"/>
      <c r="G1601" s="227"/>
      <c r="H1601" s="227"/>
      <c r="I1601" s="350"/>
      <c r="J1601" s="227"/>
      <c r="K1601" s="227"/>
      <c r="L1601" s="224"/>
      <c r="M1601" s="224"/>
      <c r="N1601" s="224"/>
      <c r="O1601" s="224"/>
      <c r="P1601" s="224"/>
      <c r="Q1601" s="224"/>
      <c r="R1601" s="224"/>
      <c r="S1601" s="224"/>
      <c r="T1601" s="224"/>
      <c r="U1601" s="224"/>
      <c r="V1601" s="224"/>
    </row>
    <row r="1602" spans="1:22" x14ac:dyDescent="0.3">
      <c r="A1602" s="222"/>
      <c r="B1602" s="235"/>
      <c r="C1602" s="227"/>
      <c r="D1602" s="344"/>
      <c r="E1602" s="235"/>
      <c r="F1602" s="235"/>
      <c r="G1602" s="227"/>
      <c r="H1602" s="227"/>
      <c r="I1602" s="350"/>
      <c r="J1602" s="227"/>
      <c r="K1602" s="227"/>
      <c r="L1602" s="224"/>
      <c r="M1602" s="224"/>
      <c r="N1602" s="224"/>
      <c r="O1602" s="224"/>
      <c r="P1602" s="224"/>
      <c r="Q1602" s="224"/>
      <c r="R1602" s="224"/>
      <c r="S1602" s="224"/>
      <c r="T1602" s="224"/>
      <c r="U1602" s="224"/>
      <c r="V1602" s="224"/>
    </row>
    <row r="1603" spans="1:22" x14ac:dyDescent="0.3">
      <c r="A1603" s="222"/>
      <c r="B1603" s="235"/>
      <c r="C1603" s="227"/>
      <c r="D1603" s="344"/>
      <c r="E1603" s="235"/>
      <c r="F1603" s="235"/>
      <c r="G1603" s="227"/>
      <c r="H1603" s="227"/>
      <c r="I1603" s="350"/>
      <c r="J1603" s="227"/>
      <c r="K1603" s="227"/>
      <c r="L1603" s="224"/>
      <c r="M1603" s="224"/>
      <c r="N1603" s="224"/>
      <c r="O1603" s="224"/>
      <c r="P1603" s="224"/>
      <c r="Q1603" s="224"/>
      <c r="R1603" s="224"/>
      <c r="S1603" s="224"/>
      <c r="T1603" s="224"/>
      <c r="U1603" s="224"/>
      <c r="V1603" s="224"/>
    </row>
    <row r="1604" spans="1:22" x14ac:dyDescent="0.3">
      <c r="A1604" s="222"/>
      <c r="B1604" s="235"/>
      <c r="C1604" s="227"/>
      <c r="D1604" s="344"/>
      <c r="E1604" s="235"/>
      <c r="F1604" s="235"/>
      <c r="G1604" s="227"/>
      <c r="H1604" s="227"/>
      <c r="I1604" s="350"/>
      <c r="J1604" s="227"/>
      <c r="K1604" s="227"/>
      <c r="L1604" s="224"/>
      <c r="M1604" s="224"/>
      <c r="N1604" s="224"/>
      <c r="O1604" s="224"/>
      <c r="P1604" s="224"/>
      <c r="Q1604" s="224"/>
      <c r="R1604" s="224"/>
      <c r="S1604" s="224"/>
      <c r="T1604" s="224"/>
      <c r="U1604" s="224"/>
      <c r="V1604" s="224"/>
    </row>
    <row r="1605" spans="1:22" x14ac:dyDescent="0.3">
      <c r="A1605" s="222"/>
      <c r="B1605" s="235"/>
      <c r="C1605" s="227"/>
      <c r="D1605" s="344"/>
      <c r="E1605" s="235"/>
      <c r="F1605" s="235"/>
      <c r="G1605" s="227"/>
      <c r="H1605" s="227"/>
      <c r="I1605" s="350"/>
      <c r="J1605" s="227"/>
      <c r="K1605" s="227"/>
      <c r="L1605" s="224"/>
      <c r="M1605" s="224"/>
      <c r="N1605" s="224"/>
      <c r="O1605" s="224"/>
      <c r="P1605" s="224"/>
      <c r="Q1605" s="224"/>
      <c r="R1605" s="224"/>
      <c r="S1605" s="224"/>
      <c r="T1605" s="224"/>
      <c r="U1605" s="224"/>
      <c r="V1605" s="224"/>
    </row>
    <row r="1606" spans="1:22" x14ac:dyDescent="0.3">
      <c r="A1606" s="222"/>
      <c r="B1606" s="235"/>
      <c r="C1606" s="227"/>
      <c r="D1606" s="344"/>
      <c r="E1606" s="235"/>
      <c r="F1606" s="235"/>
      <c r="G1606" s="227"/>
      <c r="H1606" s="227"/>
      <c r="I1606" s="350"/>
      <c r="J1606" s="227"/>
      <c r="K1606" s="227"/>
      <c r="L1606" s="224"/>
      <c r="M1606" s="224"/>
      <c r="N1606" s="224"/>
      <c r="O1606" s="224"/>
      <c r="P1606" s="224"/>
      <c r="Q1606" s="224"/>
      <c r="R1606" s="224"/>
      <c r="S1606" s="224"/>
      <c r="T1606" s="224"/>
      <c r="U1606" s="224"/>
      <c r="V1606" s="224"/>
    </row>
    <row r="1607" spans="1:22" x14ac:dyDescent="0.3">
      <c r="A1607" s="222"/>
      <c r="B1607" s="235"/>
      <c r="C1607" s="227"/>
      <c r="D1607" s="344"/>
      <c r="E1607" s="235"/>
      <c r="F1607" s="235"/>
      <c r="G1607" s="227"/>
      <c r="H1607" s="227"/>
      <c r="I1607" s="350"/>
      <c r="J1607" s="227"/>
      <c r="K1607" s="227"/>
      <c r="L1607" s="224"/>
      <c r="M1607" s="224"/>
      <c r="N1607" s="224"/>
      <c r="O1607" s="224"/>
      <c r="P1607" s="224"/>
      <c r="Q1607" s="224"/>
      <c r="R1607" s="224"/>
      <c r="S1607" s="224"/>
      <c r="T1607" s="224"/>
      <c r="U1607" s="224"/>
      <c r="V1607" s="224"/>
    </row>
    <row r="1608" spans="1:22" x14ac:dyDescent="0.3">
      <c r="A1608" s="222"/>
      <c r="B1608" s="235"/>
      <c r="C1608" s="227"/>
      <c r="D1608" s="344"/>
      <c r="E1608" s="235"/>
      <c r="F1608" s="235"/>
      <c r="G1608" s="227"/>
      <c r="H1608" s="227"/>
      <c r="I1608" s="350"/>
      <c r="J1608" s="227"/>
      <c r="K1608" s="227"/>
      <c r="L1608" s="224"/>
      <c r="M1608" s="224"/>
      <c r="N1608" s="224"/>
      <c r="O1608" s="224"/>
      <c r="P1608" s="224"/>
      <c r="Q1608" s="224"/>
      <c r="R1608" s="224"/>
      <c r="S1608" s="224"/>
      <c r="T1608" s="224"/>
      <c r="U1608" s="224"/>
      <c r="V1608" s="224"/>
    </row>
    <row r="1609" spans="1:22" x14ac:dyDescent="0.3">
      <c r="A1609" s="222"/>
      <c r="B1609" s="235"/>
      <c r="C1609" s="227"/>
      <c r="D1609" s="344"/>
      <c r="E1609" s="235"/>
      <c r="F1609" s="235"/>
      <c r="G1609" s="227"/>
      <c r="H1609" s="227"/>
      <c r="I1609" s="350"/>
      <c r="J1609" s="227"/>
      <c r="K1609" s="227"/>
      <c r="L1609" s="224"/>
      <c r="M1609" s="224"/>
      <c r="N1609" s="224"/>
      <c r="O1609" s="224"/>
      <c r="P1609" s="224"/>
      <c r="Q1609" s="224"/>
      <c r="R1609" s="224"/>
      <c r="S1609" s="224"/>
      <c r="T1609" s="224"/>
      <c r="U1609" s="224"/>
      <c r="V1609" s="224"/>
    </row>
    <row r="1610" spans="1:22" x14ac:dyDescent="0.3">
      <c r="A1610" s="222"/>
      <c r="B1610" s="235"/>
      <c r="C1610" s="227"/>
      <c r="D1610" s="344"/>
      <c r="E1610" s="235"/>
      <c r="F1610" s="235"/>
      <c r="G1610" s="227"/>
      <c r="H1610" s="227"/>
      <c r="I1610" s="350"/>
      <c r="J1610" s="227"/>
      <c r="K1610" s="227"/>
      <c r="L1610" s="224"/>
      <c r="M1610" s="224"/>
      <c r="N1610" s="224"/>
      <c r="O1610" s="224"/>
      <c r="P1610" s="224"/>
      <c r="Q1610" s="224"/>
      <c r="R1610" s="224"/>
      <c r="S1610" s="224"/>
      <c r="T1610" s="224"/>
      <c r="U1610" s="224"/>
      <c r="V1610" s="224"/>
    </row>
    <row r="1611" spans="1:22" x14ac:dyDescent="0.3">
      <c r="A1611" s="222"/>
      <c r="B1611" s="235"/>
      <c r="C1611" s="227"/>
      <c r="D1611" s="344"/>
      <c r="E1611" s="235"/>
      <c r="F1611" s="235"/>
      <c r="G1611" s="227"/>
      <c r="H1611" s="227"/>
      <c r="I1611" s="350"/>
      <c r="J1611" s="227"/>
      <c r="K1611" s="227"/>
      <c r="L1611" s="224"/>
      <c r="M1611" s="224"/>
      <c r="N1611" s="224"/>
      <c r="O1611" s="224"/>
      <c r="P1611" s="224"/>
      <c r="Q1611" s="224"/>
      <c r="R1611" s="224"/>
      <c r="S1611" s="224"/>
      <c r="T1611" s="224"/>
      <c r="U1611" s="224"/>
      <c r="V1611" s="224"/>
    </row>
    <row r="1612" spans="1:22" x14ac:dyDescent="0.3">
      <c r="A1612" s="222"/>
      <c r="B1612" s="235"/>
      <c r="C1612" s="227"/>
      <c r="D1612" s="344"/>
      <c r="E1612" s="235"/>
      <c r="F1612" s="235"/>
      <c r="G1612" s="227"/>
      <c r="H1612" s="227"/>
      <c r="I1612" s="350"/>
      <c r="J1612" s="227"/>
      <c r="K1612" s="227"/>
      <c r="L1612" s="224"/>
      <c r="M1612" s="224"/>
      <c r="N1612" s="224"/>
      <c r="O1612" s="224"/>
      <c r="P1612" s="224"/>
      <c r="Q1612" s="224"/>
      <c r="R1612" s="224"/>
      <c r="S1612" s="224"/>
      <c r="T1612" s="224"/>
      <c r="U1612" s="224"/>
      <c r="V1612" s="224"/>
    </row>
    <row r="1613" spans="1:22" x14ac:dyDescent="0.3">
      <c r="A1613" s="222"/>
      <c r="B1613" s="235"/>
      <c r="C1613" s="227"/>
      <c r="D1613" s="344"/>
      <c r="E1613" s="235"/>
      <c r="F1613" s="235"/>
      <c r="G1613" s="227"/>
      <c r="H1613" s="227"/>
      <c r="I1613" s="350"/>
      <c r="J1613" s="227"/>
      <c r="K1613" s="227"/>
      <c r="L1613" s="224"/>
      <c r="M1613" s="224"/>
      <c r="N1613" s="224"/>
      <c r="O1613" s="224"/>
      <c r="P1613" s="224"/>
      <c r="Q1613" s="224"/>
      <c r="R1613" s="224"/>
      <c r="S1613" s="224"/>
      <c r="T1613" s="224"/>
      <c r="U1613" s="224"/>
      <c r="V1613" s="224"/>
    </row>
    <row r="1614" spans="1:22" x14ac:dyDescent="0.3">
      <c r="A1614" s="222"/>
      <c r="B1614" s="235"/>
      <c r="C1614" s="227"/>
      <c r="D1614" s="344"/>
      <c r="E1614" s="235"/>
      <c r="F1614" s="235"/>
      <c r="G1614" s="227"/>
      <c r="H1614" s="227"/>
      <c r="I1614" s="350"/>
      <c r="J1614" s="227"/>
      <c r="K1614" s="227"/>
      <c r="L1614" s="224"/>
      <c r="M1614" s="224"/>
      <c r="N1614" s="224"/>
      <c r="O1614" s="224"/>
      <c r="P1614" s="224"/>
      <c r="Q1614" s="224"/>
      <c r="R1614" s="224"/>
      <c r="S1614" s="224"/>
      <c r="T1614" s="224"/>
      <c r="U1614" s="224"/>
      <c r="V1614" s="224"/>
    </row>
    <row r="1615" spans="1:22" x14ac:dyDescent="0.3">
      <c r="A1615" s="222"/>
      <c r="B1615" s="235"/>
      <c r="C1615" s="227"/>
      <c r="D1615" s="344"/>
      <c r="E1615" s="235"/>
      <c r="F1615" s="235"/>
      <c r="G1615" s="227"/>
      <c r="H1615" s="227"/>
      <c r="I1615" s="350"/>
      <c r="J1615" s="227"/>
      <c r="K1615" s="227"/>
      <c r="L1615" s="224"/>
      <c r="M1615" s="224"/>
      <c r="N1615" s="224"/>
      <c r="O1615" s="224"/>
      <c r="P1615" s="224"/>
      <c r="Q1615" s="224"/>
      <c r="R1615" s="224"/>
      <c r="S1615" s="224"/>
      <c r="T1615" s="224"/>
      <c r="U1615" s="224"/>
      <c r="V1615" s="224"/>
    </row>
    <row r="1616" spans="1:22" x14ac:dyDescent="0.3">
      <c r="A1616" s="222"/>
      <c r="B1616" s="235"/>
      <c r="C1616" s="227"/>
      <c r="D1616" s="344"/>
      <c r="E1616" s="235"/>
      <c r="F1616" s="235"/>
      <c r="G1616" s="227"/>
      <c r="H1616" s="227"/>
      <c r="I1616" s="350"/>
      <c r="J1616" s="227"/>
      <c r="K1616" s="227"/>
      <c r="L1616" s="224"/>
      <c r="M1616" s="224"/>
      <c r="N1616" s="224"/>
      <c r="O1616" s="224"/>
      <c r="P1616" s="224"/>
      <c r="Q1616" s="224"/>
      <c r="R1616" s="224"/>
      <c r="S1616" s="224"/>
      <c r="T1616" s="224"/>
      <c r="U1616" s="224"/>
      <c r="V1616" s="224"/>
    </row>
    <row r="1617" spans="1:22" x14ac:dyDescent="0.3">
      <c r="A1617" s="222"/>
      <c r="B1617" s="235"/>
      <c r="C1617" s="227"/>
      <c r="D1617" s="344"/>
      <c r="E1617" s="235"/>
      <c r="F1617" s="235"/>
      <c r="G1617" s="227"/>
      <c r="H1617" s="227"/>
      <c r="I1617" s="350"/>
      <c r="J1617" s="227"/>
      <c r="K1617" s="227"/>
      <c r="L1617" s="224"/>
      <c r="M1617" s="224"/>
      <c r="N1617" s="224"/>
      <c r="O1617" s="224"/>
      <c r="P1617" s="224"/>
      <c r="Q1617" s="224"/>
      <c r="R1617" s="224"/>
      <c r="S1617" s="224"/>
      <c r="T1617" s="224"/>
      <c r="U1617" s="224"/>
      <c r="V1617" s="224"/>
    </row>
    <row r="1618" spans="1:22" x14ac:dyDescent="0.3">
      <c r="A1618" s="222"/>
      <c r="B1618" s="235"/>
      <c r="C1618" s="227"/>
      <c r="D1618" s="344"/>
      <c r="E1618" s="235"/>
      <c r="F1618" s="235"/>
      <c r="G1618" s="227"/>
      <c r="H1618" s="227"/>
      <c r="I1618" s="350"/>
      <c r="J1618" s="227"/>
      <c r="K1618" s="227"/>
      <c r="L1618" s="224"/>
      <c r="M1618" s="224"/>
      <c r="N1618" s="224"/>
      <c r="O1618" s="224"/>
      <c r="P1618" s="224"/>
      <c r="Q1618" s="224"/>
      <c r="R1618" s="224"/>
      <c r="S1618" s="224"/>
      <c r="T1618" s="224"/>
      <c r="U1618" s="224"/>
      <c r="V1618" s="224"/>
    </row>
    <row r="1619" spans="1:22" x14ac:dyDescent="0.3">
      <c r="A1619" s="222"/>
      <c r="B1619" s="235"/>
      <c r="C1619" s="227"/>
      <c r="D1619" s="344"/>
      <c r="E1619" s="235"/>
      <c r="F1619" s="235"/>
      <c r="G1619" s="227"/>
      <c r="H1619" s="227"/>
      <c r="I1619" s="350"/>
      <c r="J1619" s="227"/>
      <c r="K1619" s="227"/>
      <c r="L1619" s="224"/>
      <c r="M1619" s="224"/>
      <c r="N1619" s="224"/>
      <c r="O1619" s="224"/>
      <c r="P1619" s="224"/>
      <c r="Q1619" s="224"/>
      <c r="R1619" s="224"/>
      <c r="S1619" s="224"/>
      <c r="T1619" s="224"/>
      <c r="U1619" s="224"/>
      <c r="V1619" s="224"/>
    </row>
    <row r="1620" spans="1:22" x14ac:dyDescent="0.3">
      <c r="A1620" s="222"/>
      <c r="B1620" s="235"/>
      <c r="C1620" s="227"/>
      <c r="D1620" s="344"/>
      <c r="E1620" s="235"/>
      <c r="F1620" s="235"/>
      <c r="G1620" s="227"/>
      <c r="H1620" s="227"/>
      <c r="I1620" s="350"/>
      <c r="J1620" s="227"/>
      <c r="K1620" s="227"/>
      <c r="L1620" s="224"/>
      <c r="M1620" s="224"/>
      <c r="N1620" s="224"/>
      <c r="O1620" s="224"/>
      <c r="P1620" s="224"/>
      <c r="Q1620" s="224"/>
      <c r="R1620" s="224"/>
      <c r="S1620" s="224"/>
      <c r="T1620" s="224"/>
      <c r="U1620" s="224"/>
      <c r="V1620" s="224"/>
    </row>
    <row r="1621" spans="1:22" x14ac:dyDescent="0.3">
      <c r="A1621" s="222"/>
      <c r="B1621" s="235"/>
      <c r="C1621" s="227"/>
      <c r="D1621" s="344"/>
      <c r="E1621" s="235"/>
      <c r="F1621" s="235"/>
      <c r="G1621" s="227"/>
      <c r="H1621" s="227"/>
      <c r="I1621" s="350"/>
      <c r="J1621" s="227"/>
      <c r="K1621" s="227"/>
      <c r="L1621" s="224"/>
      <c r="M1621" s="224"/>
      <c r="N1621" s="224"/>
      <c r="O1621" s="224"/>
      <c r="P1621" s="224"/>
      <c r="Q1621" s="224"/>
      <c r="R1621" s="224"/>
      <c r="S1621" s="224"/>
      <c r="T1621" s="224"/>
      <c r="U1621" s="224"/>
      <c r="V1621" s="224"/>
    </row>
    <row r="1622" spans="1:22" x14ac:dyDescent="0.3">
      <c r="A1622" s="222"/>
      <c r="B1622" s="235"/>
      <c r="C1622" s="227"/>
      <c r="D1622" s="344"/>
      <c r="E1622" s="235"/>
      <c r="F1622" s="235"/>
      <c r="G1622" s="227"/>
      <c r="H1622" s="227"/>
      <c r="I1622" s="350"/>
      <c r="J1622" s="227"/>
      <c r="K1622" s="227"/>
      <c r="L1622" s="224"/>
      <c r="M1622" s="224"/>
      <c r="N1622" s="224"/>
      <c r="O1622" s="224"/>
      <c r="P1622" s="224"/>
      <c r="Q1622" s="224"/>
      <c r="R1622" s="224"/>
      <c r="S1622" s="224"/>
      <c r="T1622" s="224"/>
      <c r="U1622" s="224"/>
      <c r="V1622" s="224"/>
    </row>
    <row r="1623" spans="1:22" x14ac:dyDescent="0.3">
      <c r="A1623" s="222"/>
      <c r="B1623" s="235"/>
      <c r="C1623" s="227"/>
      <c r="D1623" s="344"/>
      <c r="E1623" s="235"/>
      <c r="F1623" s="235"/>
      <c r="G1623" s="227"/>
      <c r="H1623" s="227"/>
      <c r="I1623" s="350"/>
      <c r="J1623" s="227"/>
      <c r="K1623" s="227"/>
      <c r="L1623" s="224"/>
      <c r="M1623" s="224"/>
      <c r="N1623" s="224"/>
      <c r="O1623" s="224"/>
      <c r="P1623" s="224"/>
      <c r="Q1623" s="224"/>
      <c r="R1623" s="224"/>
      <c r="S1623" s="224"/>
      <c r="T1623" s="224"/>
      <c r="U1623" s="224"/>
      <c r="V1623" s="224"/>
    </row>
    <row r="1624" spans="1:22" x14ac:dyDescent="0.3">
      <c r="A1624" s="222"/>
      <c r="B1624" s="235"/>
      <c r="C1624" s="227"/>
      <c r="D1624" s="344"/>
      <c r="E1624" s="235"/>
      <c r="F1624" s="235"/>
      <c r="G1624" s="227"/>
      <c r="H1624" s="227"/>
      <c r="I1624" s="350"/>
      <c r="J1624" s="227"/>
      <c r="K1624" s="227"/>
      <c r="L1624" s="224"/>
      <c r="M1624" s="224"/>
      <c r="N1624" s="224"/>
      <c r="O1624" s="224"/>
      <c r="P1624" s="224"/>
      <c r="Q1624" s="224"/>
      <c r="R1624" s="224"/>
      <c r="S1624" s="224"/>
      <c r="T1624" s="224"/>
      <c r="U1624" s="224"/>
      <c r="V1624" s="224"/>
    </row>
    <row r="1625" spans="1:22" x14ac:dyDescent="0.3">
      <c r="A1625" s="222"/>
      <c r="B1625" s="235"/>
      <c r="C1625" s="227"/>
      <c r="D1625" s="344"/>
      <c r="E1625" s="235"/>
      <c r="F1625" s="235"/>
      <c r="G1625" s="227"/>
      <c r="H1625" s="227"/>
      <c r="I1625" s="350"/>
      <c r="J1625" s="227"/>
      <c r="K1625" s="227"/>
      <c r="L1625" s="224"/>
      <c r="M1625" s="224"/>
      <c r="N1625" s="224"/>
      <c r="O1625" s="224"/>
      <c r="P1625" s="224"/>
      <c r="Q1625" s="224"/>
      <c r="R1625" s="224"/>
      <c r="S1625" s="224"/>
      <c r="T1625" s="224"/>
      <c r="U1625" s="224"/>
      <c r="V1625" s="224"/>
    </row>
    <row r="1626" spans="1:22" x14ac:dyDescent="0.3">
      <c r="A1626" s="222"/>
      <c r="B1626" s="235"/>
      <c r="C1626" s="227"/>
      <c r="D1626" s="344"/>
      <c r="E1626" s="235"/>
      <c r="F1626" s="235"/>
      <c r="G1626" s="227"/>
      <c r="H1626" s="227"/>
      <c r="I1626" s="350"/>
      <c r="J1626" s="227"/>
      <c r="K1626" s="227"/>
      <c r="L1626" s="224"/>
      <c r="M1626" s="224"/>
      <c r="N1626" s="224"/>
      <c r="O1626" s="224"/>
      <c r="P1626" s="224"/>
      <c r="Q1626" s="224"/>
      <c r="R1626" s="224"/>
      <c r="S1626" s="224"/>
      <c r="T1626" s="224"/>
      <c r="U1626" s="224"/>
      <c r="V1626" s="224"/>
    </row>
    <row r="1627" spans="1:22" x14ac:dyDescent="0.3">
      <c r="A1627" s="222"/>
      <c r="B1627" s="235"/>
      <c r="C1627" s="227"/>
      <c r="D1627" s="344"/>
      <c r="E1627" s="235"/>
      <c r="F1627" s="235"/>
      <c r="G1627" s="227"/>
      <c r="H1627" s="227"/>
      <c r="I1627" s="350"/>
      <c r="J1627" s="227"/>
      <c r="K1627" s="227"/>
      <c r="L1627" s="224"/>
      <c r="M1627" s="224"/>
      <c r="N1627" s="224"/>
      <c r="O1627" s="224"/>
      <c r="P1627" s="224"/>
      <c r="Q1627" s="224"/>
      <c r="R1627" s="224"/>
      <c r="S1627" s="224"/>
      <c r="T1627" s="224"/>
      <c r="U1627" s="224"/>
      <c r="V1627" s="224"/>
    </row>
    <row r="1628" spans="1:22" x14ac:dyDescent="0.3">
      <c r="A1628" s="222"/>
      <c r="B1628" s="235"/>
      <c r="C1628" s="227"/>
      <c r="D1628" s="344"/>
      <c r="E1628" s="235"/>
      <c r="F1628" s="235"/>
      <c r="G1628" s="227"/>
      <c r="H1628" s="227"/>
      <c r="I1628" s="350"/>
      <c r="J1628" s="227"/>
      <c r="K1628" s="227"/>
      <c r="L1628" s="224"/>
      <c r="M1628" s="224"/>
      <c r="N1628" s="224"/>
      <c r="O1628" s="224"/>
      <c r="P1628" s="224"/>
      <c r="Q1628" s="224"/>
      <c r="R1628" s="224"/>
      <c r="S1628" s="224"/>
      <c r="T1628" s="224"/>
      <c r="U1628" s="224"/>
      <c r="V1628" s="224"/>
    </row>
    <row r="1629" spans="1:22" x14ac:dyDescent="0.3">
      <c r="A1629" s="222"/>
      <c r="B1629" s="235"/>
      <c r="C1629" s="227"/>
      <c r="D1629" s="344"/>
      <c r="E1629" s="235"/>
      <c r="F1629" s="235"/>
      <c r="G1629" s="227"/>
      <c r="H1629" s="227"/>
      <c r="I1629" s="350"/>
      <c r="J1629" s="227"/>
      <c r="K1629" s="227"/>
      <c r="L1629" s="224"/>
      <c r="M1629" s="224"/>
      <c r="N1629" s="224"/>
      <c r="O1629" s="224"/>
      <c r="P1629" s="224"/>
      <c r="Q1629" s="224"/>
      <c r="R1629" s="224"/>
      <c r="S1629" s="224"/>
      <c r="T1629" s="224"/>
      <c r="U1629" s="224"/>
      <c r="V1629" s="224"/>
    </row>
    <row r="1630" spans="1:22" x14ac:dyDescent="0.3">
      <c r="A1630" s="222"/>
      <c r="B1630" s="235"/>
      <c r="C1630" s="227"/>
      <c r="D1630" s="344"/>
      <c r="E1630" s="235"/>
      <c r="F1630" s="235"/>
      <c r="G1630" s="227"/>
      <c r="H1630" s="227"/>
      <c r="I1630" s="350"/>
      <c r="J1630" s="227"/>
      <c r="K1630" s="227"/>
      <c r="L1630" s="224"/>
      <c r="M1630" s="224"/>
      <c r="N1630" s="224"/>
      <c r="O1630" s="224"/>
      <c r="P1630" s="224"/>
      <c r="Q1630" s="224"/>
      <c r="R1630" s="224"/>
      <c r="S1630" s="224"/>
      <c r="T1630" s="224"/>
      <c r="U1630" s="224"/>
      <c r="V1630" s="224"/>
    </row>
    <row r="1631" spans="1:22" x14ac:dyDescent="0.3">
      <c r="A1631" s="222"/>
      <c r="B1631" s="235"/>
      <c r="C1631" s="227"/>
      <c r="D1631" s="344"/>
      <c r="E1631" s="235"/>
      <c r="F1631" s="235"/>
      <c r="G1631" s="227"/>
      <c r="H1631" s="227"/>
      <c r="I1631" s="350"/>
      <c r="J1631" s="227"/>
      <c r="K1631" s="227"/>
      <c r="L1631" s="224"/>
      <c r="M1631" s="224"/>
      <c r="N1631" s="224"/>
      <c r="O1631" s="224"/>
      <c r="P1631" s="224"/>
      <c r="Q1631" s="224"/>
      <c r="R1631" s="224"/>
      <c r="S1631" s="224"/>
      <c r="T1631" s="224"/>
      <c r="U1631" s="224"/>
      <c r="V1631" s="224"/>
    </row>
    <row r="1632" spans="1:22" x14ac:dyDescent="0.3">
      <c r="A1632" s="222"/>
      <c r="B1632" s="235"/>
      <c r="C1632" s="227"/>
      <c r="D1632" s="344"/>
      <c r="E1632" s="235"/>
      <c r="F1632" s="235"/>
      <c r="G1632" s="227"/>
      <c r="H1632" s="227"/>
      <c r="I1632" s="350"/>
      <c r="J1632" s="227"/>
      <c r="K1632" s="227"/>
      <c r="L1632" s="224"/>
      <c r="M1632" s="224"/>
      <c r="N1632" s="224"/>
      <c r="O1632" s="224"/>
      <c r="P1632" s="224"/>
      <c r="Q1632" s="224"/>
      <c r="R1632" s="224"/>
      <c r="S1632" s="224"/>
      <c r="T1632" s="224"/>
      <c r="U1632" s="224"/>
      <c r="V1632" s="224"/>
    </row>
    <row r="1633" spans="1:22" x14ac:dyDescent="0.3">
      <c r="A1633" s="222"/>
      <c r="B1633" s="235"/>
      <c r="C1633" s="227"/>
      <c r="D1633" s="344"/>
      <c r="E1633" s="235"/>
      <c r="F1633" s="235"/>
      <c r="G1633" s="227"/>
      <c r="H1633" s="227"/>
      <c r="I1633" s="350"/>
      <c r="J1633" s="227"/>
      <c r="K1633" s="227"/>
      <c r="L1633" s="224"/>
      <c r="M1633" s="224"/>
      <c r="N1633" s="224"/>
      <c r="O1633" s="224"/>
      <c r="P1633" s="224"/>
      <c r="Q1633" s="224"/>
      <c r="R1633" s="224"/>
      <c r="S1633" s="224"/>
      <c r="T1633" s="224"/>
      <c r="U1633" s="224"/>
      <c r="V1633" s="224"/>
    </row>
    <row r="1634" spans="1:22" x14ac:dyDescent="0.3">
      <c r="A1634" s="222"/>
      <c r="B1634" s="235"/>
      <c r="C1634" s="227"/>
      <c r="D1634" s="344"/>
      <c r="E1634" s="235"/>
      <c r="F1634" s="235"/>
      <c r="G1634" s="227"/>
      <c r="H1634" s="227"/>
      <c r="I1634" s="350"/>
      <c r="J1634" s="227"/>
      <c r="K1634" s="227"/>
      <c r="L1634" s="224"/>
      <c r="M1634" s="224"/>
      <c r="N1634" s="224"/>
      <c r="O1634" s="224"/>
      <c r="P1634" s="224"/>
      <c r="Q1634" s="224"/>
      <c r="R1634" s="224"/>
      <c r="S1634" s="224"/>
      <c r="T1634" s="224"/>
      <c r="U1634" s="224"/>
      <c r="V1634" s="224"/>
    </row>
    <row r="1635" spans="1:22" x14ac:dyDescent="0.3">
      <c r="A1635" s="222"/>
      <c r="B1635" s="235"/>
      <c r="C1635" s="227"/>
      <c r="D1635" s="344"/>
      <c r="E1635" s="235"/>
      <c r="F1635" s="235"/>
      <c r="G1635" s="227"/>
      <c r="H1635" s="227"/>
      <c r="I1635" s="350"/>
      <c r="J1635" s="227"/>
      <c r="K1635" s="227"/>
      <c r="L1635" s="224"/>
      <c r="M1635" s="224"/>
      <c r="N1635" s="224"/>
      <c r="O1635" s="224"/>
      <c r="P1635" s="224"/>
      <c r="Q1635" s="224"/>
      <c r="R1635" s="224"/>
      <c r="S1635" s="224"/>
      <c r="T1635" s="224"/>
      <c r="U1635" s="224"/>
      <c r="V1635" s="224"/>
    </row>
    <row r="1636" spans="1:22" x14ac:dyDescent="0.3">
      <c r="A1636" s="222"/>
      <c r="B1636" s="235"/>
      <c r="C1636" s="227"/>
      <c r="D1636" s="344"/>
      <c r="E1636" s="235"/>
      <c r="F1636" s="235"/>
      <c r="G1636" s="227"/>
      <c r="H1636" s="227"/>
      <c r="I1636" s="350"/>
      <c r="J1636" s="227"/>
      <c r="K1636" s="227"/>
      <c r="L1636" s="224"/>
      <c r="M1636" s="224"/>
      <c r="N1636" s="224"/>
      <c r="O1636" s="224"/>
      <c r="P1636" s="224"/>
      <c r="Q1636" s="224"/>
      <c r="R1636" s="224"/>
      <c r="S1636" s="224"/>
      <c r="T1636" s="224"/>
      <c r="U1636" s="224"/>
      <c r="V1636" s="224"/>
    </row>
    <row r="1637" spans="1:22" x14ac:dyDescent="0.3">
      <c r="A1637" s="222"/>
      <c r="B1637" s="235"/>
      <c r="C1637" s="227"/>
      <c r="D1637" s="344"/>
      <c r="E1637" s="235"/>
      <c r="F1637" s="235"/>
      <c r="G1637" s="227"/>
      <c r="H1637" s="227"/>
      <c r="I1637" s="350"/>
      <c r="J1637" s="227"/>
      <c r="K1637" s="227"/>
      <c r="L1637" s="224"/>
      <c r="M1637" s="224"/>
      <c r="N1637" s="224"/>
      <c r="O1637" s="224"/>
      <c r="P1637" s="224"/>
      <c r="Q1637" s="224"/>
      <c r="R1637" s="224"/>
      <c r="S1637" s="224"/>
      <c r="T1637" s="224"/>
      <c r="U1637" s="224"/>
      <c r="V1637" s="224"/>
    </row>
    <row r="1638" spans="1:22" x14ac:dyDescent="0.3">
      <c r="A1638" s="222"/>
      <c r="B1638" s="235"/>
      <c r="C1638" s="227"/>
      <c r="D1638" s="344"/>
      <c r="E1638" s="235"/>
      <c r="F1638" s="235"/>
      <c r="G1638" s="227"/>
      <c r="H1638" s="227"/>
      <c r="I1638" s="350"/>
      <c r="J1638" s="227"/>
      <c r="K1638" s="227"/>
      <c r="L1638" s="224"/>
      <c r="M1638" s="224"/>
      <c r="N1638" s="224"/>
      <c r="O1638" s="224"/>
      <c r="P1638" s="224"/>
      <c r="Q1638" s="224"/>
      <c r="R1638" s="224"/>
      <c r="S1638" s="224"/>
      <c r="T1638" s="224"/>
      <c r="U1638" s="224"/>
      <c r="V1638" s="224"/>
    </row>
    <row r="1639" spans="1:22" x14ac:dyDescent="0.3">
      <c r="A1639" s="222"/>
      <c r="B1639" s="235"/>
      <c r="C1639" s="227"/>
      <c r="D1639" s="344"/>
      <c r="E1639" s="235"/>
      <c r="F1639" s="235"/>
      <c r="G1639" s="227"/>
      <c r="H1639" s="227"/>
      <c r="I1639" s="350"/>
      <c r="J1639" s="227"/>
      <c r="K1639" s="227"/>
      <c r="L1639" s="224"/>
      <c r="M1639" s="224"/>
      <c r="N1639" s="224"/>
      <c r="O1639" s="224"/>
      <c r="P1639" s="224"/>
      <c r="Q1639" s="224"/>
      <c r="R1639" s="224"/>
      <c r="S1639" s="224"/>
      <c r="T1639" s="224"/>
      <c r="U1639" s="224"/>
      <c r="V1639" s="224"/>
    </row>
    <row r="1640" spans="1:22" x14ac:dyDescent="0.3">
      <c r="A1640" s="222"/>
      <c r="B1640" s="235"/>
      <c r="C1640" s="227"/>
      <c r="D1640" s="344"/>
      <c r="E1640" s="235"/>
      <c r="F1640" s="235"/>
      <c r="G1640" s="227"/>
      <c r="H1640" s="227"/>
      <c r="I1640" s="350"/>
      <c r="J1640" s="227"/>
      <c r="K1640" s="227"/>
      <c r="L1640" s="224"/>
      <c r="M1640" s="224"/>
      <c r="N1640" s="224"/>
      <c r="O1640" s="224"/>
      <c r="P1640" s="224"/>
      <c r="Q1640" s="224"/>
      <c r="R1640" s="224"/>
      <c r="S1640" s="224"/>
      <c r="T1640" s="224"/>
      <c r="U1640" s="224"/>
      <c r="V1640" s="224"/>
    </row>
    <row r="1641" spans="1:22" x14ac:dyDescent="0.3">
      <c r="A1641" s="222"/>
      <c r="B1641" s="235"/>
      <c r="C1641" s="227"/>
      <c r="D1641" s="344"/>
      <c r="E1641" s="235"/>
      <c r="F1641" s="235"/>
      <c r="G1641" s="227"/>
      <c r="H1641" s="227"/>
      <c r="I1641" s="350"/>
      <c r="J1641" s="227"/>
      <c r="K1641" s="227"/>
      <c r="L1641" s="224"/>
      <c r="M1641" s="224"/>
      <c r="N1641" s="224"/>
      <c r="O1641" s="224"/>
      <c r="P1641" s="224"/>
      <c r="Q1641" s="224"/>
      <c r="R1641" s="224"/>
      <c r="S1641" s="224"/>
      <c r="T1641" s="224"/>
      <c r="U1641" s="224"/>
      <c r="V1641" s="224"/>
    </row>
    <row r="1642" spans="1:22" x14ac:dyDescent="0.3">
      <c r="A1642" s="222"/>
      <c r="B1642" s="235"/>
      <c r="C1642" s="227"/>
      <c r="D1642" s="344"/>
      <c r="E1642" s="235"/>
      <c r="F1642" s="235"/>
      <c r="G1642" s="227"/>
      <c r="H1642" s="227"/>
      <c r="I1642" s="350"/>
      <c r="J1642" s="227"/>
      <c r="K1642" s="227"/>
      <c r="L1642" s="224"/>
      <c r="M1642" s="224"/>
      <c r="N1642" s="224"/>
      <c r="O1642" s="224"/>
      <c r="P1642" s="224"/>
      <c r="Q1642" s="224"/>
      <c r="R1642" s="224"/>
      <c r="S1642" s="224"/>
      <c r="T1642" s="224"/>
      <c r="U1642" s="224"/>
      <c r="V1642" s="224"/>
    </row>
    <row r="1643" spans="1:22" x14ac:dyDescent="0.3">
      <c r="A1643" s="222"/>
      <c r="B1643" s="235"/>
      <c r="C1643" s="227"/>
      <c r="D1643" s="344"/>
      <c r="E1643" s="235"/>
      <c r="F1643" s="235"/>
      <c r="G1643" s="227"/>
      <c r="H1643" s="227"/>
      <c r="I1643" s="350"/>
      <c r="J1643" s="227"/>
      <c r="K1643" s="227"/>
      <c r="L1643" s="224"/>
      <c r="M1643" s="224"/>
      <c r="N1643" s="224"/>
      <c r="O1643" s="224"/>
      <c r="P1643" s="224"/>
      <c r="Q1643" s="224"/>
      <c r="R1643" s="224"/>
      <c r="S1643" s="224"/>
      <c r="T1643" s="224"/>
      <c r="U1643" s="224"/>
      <c r="V1643" s="224"/>
    </row>
    <row r="1644" spans="1:22" x14ac:dyDescent="0.3">
      <c r="A1644" s="222"/>
      <c r="B1644" s="235"/>
      <c r="C1644" s="227"/>
      <c r="D1644" s="344"/>
      <c r="E1644" s="235"/>
      <c r="F1644" s="235"/>
      <c r="G1644" s="227"/>
      <c r="H1644" s="227"/>
      <c r="I1644" s="350"/>
      <c r="J1644" s="227"/>
      <c r="K1644" s="227"/>
      <c r="L1644" s="224"/>
      <c r="M1644" s="224"/>
      <c r="N1644" s="224"/>
      <c r="O1644" s="224"/>
      <c r="P1644" s="224"/>
      <c r="Q1644" s="224"/>
      <c r="R1644" s="224"/>
      <c r="S1644" s="224"/>
      <c r="T1644" s="224"/>
      <c r="U1644" s="224"/>
      <c r="V1644" s="224"/>
    </row>
    <row r="1645" spans="1:22" x14ac:dyDescent="0.3">
      <c r="A1645" s="222"/>
      <c r="B1645" s="235"/>
      <c r="C1645" s="227"/>
      <c r="D1645" s="344"/>
      <c r="E1645" s="235"/>
      <c r="F1645" s="235"/>
      <c r="G1645" s="227"/>
      <c r="H1645" s="227"/>
      <c r="I1645" s="350"/>
      <c r="J1645" s="227"/>
      <c r="K1645" s="227"/>
      <c r="L1645" s="224"/>
      <c r="M1645" s="224"/>
      <c r="N1645" s="224"/>
      <c r="O1645" s="224"/>
      <c r="P1645" s="224"/>
      <c r="Q1645" s="224"/>
      <c r="R1645" s="224"/>
      <c r="S1645" s="224"/>
      <c r="T1645" s="224"/>
      <c r="U1645" s="224"/>
      <c r="V1645" s="224"/>
    </row>
    <row r="1646" spans="1:22" x14ac:dyDescent="0.3">
      <c r="A1646" s="222"/>
      <c r="B1646" s="235"/>
      <c r="C1646" s="227"/>
      <c r="D1646" s="344"/>
      <c r="E1646" s="235"/>
      <c r="F1646" s="235"/>
      <c r="G1646" s="227"/>
      <c r="H1646" s="227"/>
      <c r="I1646" s="350"/>
      <c r="J1646" s="227"/>
      <c r="K1646" s="227"/>
      <c r="L1646" s="224"/>
      <c r="M1646" s="224"/>
      <c r="N1646" s="224"/>
      <c r="O1646" s="224"/>
      <c r="P1646" s="224"/>
      <c r="Q1646" s="224"/>
      <c r="R1646" s="224"/>
      <c r="S1646" s="224"/>
      <c r="T1646" s="224"/>
      <c r="U1646" s="224"/>
      <c r="V1646" s="224"/>
    </row>
    <row r="1647" spans="1:22" x14ac:dyDescent="0.3">
      <c r="A1647" s="222"/>
      <c r="B1647" s="235"/>
      <c r="C1647" s="227"/>
      <c r="D1647" s="344"/>
      <c r="E1647" s="235"/>
      <c r="F1647" s="235"/>
      <c r="G1647" s="227"/>
      <c r="H1647" s="227"/>
      <c r="I1647" s="350"/>
      <c r="J1647" s="227"/>
      <c r="K1647" s="227"/>
      <c r="L1647" s="224"/>
      <c r="M1647" s="224"/>
      <c r="N1647" s="224"/>
      <c r="O1647" s="224"/>
      <c r="P1647" s="224"/>
      <c r="Q1647" s="224"/>
      <c r="R1647" s="224"/>
      <c r="S1647" s="224"/>
      <c r="T1647" s="224"/>
      <c r="U1647" s="224"/>
      <c r="V1647" s="224"/>
    </row>
    <row r="1648" spans="1:22" x14ac:dyDescent="0.3">
      <c r="A1648" s="222"/>
      <c r="B1648" s="235"/>
      <c r="C1648" s="227"/>
      <c r="D1648" s="344"/>
      <c r="E1648" s="235"/>
      <c r="F1648" s="235"/>
      <c r="G1648" s="227"/>
      <c r="H1648" s="227"/>
      <c r="I1648" s="350"/>
      <c r="J1648" s="227"/>
      <c r="K1648" s="227"/>
      <c r="L1648" s="224"/>
      <c r="M1648" s="224"/>
      <c r="N1648" s="224"/>
      <c r="O1648" s="224"/>
      <c r="P1648" s="224"/>
      <c r="Q1648" s="224"/>
      <c r="R1648" s="224"/>
      <c r="S1648" s="224"/>
      <c r="T1648" s="224"/>
      <c r="U1648" s="224"/>
      <c r="V1648" s="224"/>
    </row>
    <row r="1649" spans="1:22" x14ac:dyDescent="0.3">
      <c r="A1649" s="222"/>
      <c r="B1649" s="235"/>
      <c r="C1649" s="227"/>
      <c r="D1649" s="344"/>
      <c r="E1649" s="235"/>
      <c r="F1649" s="235"/>
      <c r="G1649" s="227"/>
      <c r="H1649" s="227"/>
      <c r="I1649" s="350"/>
      <c r="J1649" s="227"/>
      <c r="K1649" s="227"/>
      <c r="L1649" s="224"/>
      <c r="M1649" s="224"/>
      <c r="N1649" s="224"/>
      <c r="O1649" s="224"/>
      <c r="P1649" s="224"/>
      <c r="Q1649" s="224"/>
      <c r="R1649" s="224"/>
      <c r="S1649" s="224"/>
      <c r="T1649" s="224"/>
      <c r="U1649" s="224"/>
      <c r="V1649" s="224"/>
    </row>
    <row r="1650" spans="1:22" x14ac:dyDescent="0.3">
      <c r="A1650" s="222"/>
      <c r="B1650" s="235"/>
      <c r="C1650" s="227"/>
      <c r="D1650" s="344"/>
      <c r="E1650" s="235"/>
      <c r="F1650" s="235"/>
      <c r="G1650" s="227"/>
      <c r="H1650" s="227"/>
      <c r="I1650" s="350"/>
      <c r="J1650" s="227"/>
      <c r="K1650" s="227"/>
      <c r="L1650" s="224"/>
      <c r="M1650" s="224"/>
      <c r="N1650" s="224"/>
      <c r="O1650" s="224"/>
      <c r="P1650" s="224"/>
      <c r="Q1650" s="224"/>
      <c r="R1650" s="224"/>
      <c r="S1650" s="224"/>
      <c r="T1650" s="224"/>
      <c r="U1650" s="224"/>
      <c r="V1650" s="224"/>
    </row>
    <row r="1651" spans="1:22" x14ac:dyDescent="0.3">
      <c r="A1651" s="222"/>
      <c r="B1651" s="235"/>
      <c r="C1651" s="227"/>
      <c r="D1651" s="344"/>
      <c r="E1651" s="235"/>
      <c r="F1651" s="235"/>
      <c r="G1651" s="227"/>
      <c r="H1651" s="227"/>
      <c r="I1651" s="350"/>
      <c r="J1651" s="227"/>
      <c r="K1651" s="227"/>
      <c r="L1651" s="224"/>
      <c r="M1651" s="224"/>
      <c r="N1651" s="224"/>
      <c r="O1651" s="224"/>
      <c r="P1651" s="224"/>
      <c r="Q1651" s="224"/>
      <c r="R1651" s="224"/>
      <c r="S1651" s="224"/>
      <c r="T1651" s="224"/>
      <c r="U1651" s="224"/>
      <c r="V1651" s="224"/>
    </row>
    <row r="1652" spans="1:22" x14ac:dyDescent="0.3">
      <c r="A1652" s="222"/>
      <c r="B1652" s="235"/>
      <c r="C1652" s="227"/>
      <c r="D1652" s="344"/>
      <c r="E1652" s="235"/>
      <c r="F1652" s="235"/>
      <c r="G1652" s="227"/>
      <c r="H1652" s="227"/>
      <c r="I1652" s="350"/>
      <c r="J1652" s="227"/>
      <c r="K1652" s="227"/>
      <c r="L1652" s="224"/>
      <c r="M1652" s="224"/>
      <c r="N1652" s="224"/>
      <c r="O1652" s="224"/>
      <c r="P1652" s="224"/>
      <c r="Q1652" s="224"/>
      <c r="R1652" s="224"/>
      <c r="S1652" s="224"/>
      <c r="T1652" s="224"/>
      <c r="U1652" s="224"/>
      <c r="V1652" s="224"/>
    </row>
    <row r="1653" spans="1:22" x14ac:dyDescent="0.3">
      <c r="A1653" s="222"/>
      <c r="B1653" s="235"/>
      <c r="C1653" s="227"/>
      <c r="D1653" s="344"/>
      <c r="E1653" s="235"/>
      <c r="F1653" s="235"/>
      <c r="G1653" s="227"/>
      <c r="H1653" s="227"/>
      <c r="I1653" s="350"/>
      <c r="J1653" s="227"/>
      <c r="K1653" s="227"/>
      <c r="L1653" s="224"/>
      <c r="M1653" s="224"/>
      <c r="N1653" s="224"/>
      <c r="O1653" s="224"/>
      <c r="P1653" s="224"/>
      <c r="Q1653" s="224"/>
      <c r="R1653" s="224"/>
      <c r="S1653" s="224"/>
      <c r="T1653" s="224"/>
      <c r="U1653" s="224"/>
      <c r="V1653" s="224"/>
    </row>
    <row r="1654" spans="1:22" x14ac:dyDescent="0.3">
      <c r="A1654" s="222"/>
      <c r="B1654" s="235"/>
      <c r="C1654" s="227"/>
      <c r="D1654" s="344"/>
      <c r="E1654" s="235"/>
      <c r="F1654" s="235"/>
      <c r="G1654" s="227"/>
      <c r="H1654" s="227"/>
      <c r="I1654" s="350"/>
      <c r="J1654" s="227"/>
      <c r="K1654" s="227"/>
      <c r="L1654" s="224"/>
      <c r="M1654" s="224"/>
      <c r="N1654" s="224"/>
      <c r="O1654" s="224"/>
      <c r="P1654" s="224"/>
      <c r="Q1654" s="224"/>
      <c r="R1654" s="224"/>
      <c r="S1654" s="224"/>
      <c r="T1654" s="224"/>
      <c r="U1654" s="224"/>
      <c r="V1654" s="224"/>
    </row>
    <row r="1655" spans="1:22" x14ac:dyDescent="0.3">
      <c r="A1655" s="222"/>
      <c r="B1655" s="235"/>
      <c r="C1655" s="227"/>
      <c r="D1655" s="344"/>
      <c r="E1655" s="235"/>
      <c r="F1655" s="235"/>
      <c r="G1655" s="227"/>
      <c r="H1655" s="227"/>
      <c r="I1655" s="350"/>
      <c r="J1655" s="227"/>
      <c r="K1655" s="227"/>
      <c r="L1655" s="224"/>
      <c r="M1655" s="224"/>
      <c r="N1655" s="224"/>
      <c r="O1655" s="224"/>
      <c r="P1655" s="224"/>
      <c r="Q1655" s="224"/>
      <c r="R1655" s="224"/>
      <c r="S1655" s="224"/>
      <c r="T1655" s="224"/>
      <c r="U1655" s="224"/>
      <c r="V1655" s="224"/>
    </row>
    <row r="1656" spans="1:22" x14ac:dyDescent="0.3">
      <c r="A1656" s="222"/>
      <c r="B1656" s="235"/>
      <c r="C1656" s="227"/>
      <c r="D1656" s="344"/>
      <c r="E1656" s="235"/>
      <c r="F1656" s="235"/>
      <c r="G1656" s="227"/>
      <c r="H1656" s="227"/>
      <c r="I1656" s="350"/>
      <c r="J1656" s="227"/>
      <c r="K1656" s="227"/>
      <c r="L1656" s="224"/>
      <c r="M1656" s="224"/>
      <c r="N1656" s="224"/>
      <c r="O1656" s="224"/>
      <c r="P1656" s="224"/>
      <c r="Q1656" s="224"/>
      <c r="R1656" s="224"/>
      <c r="S1656" s="224"/>
      <c r="T1656" s="224"/>
      <c r="U1656" s="224"/>
      <c r="V1656" s="224"/>
    </row>
    <row r="1657" spans="1:22" x14ac:dyDescent="0.3">
      <c r="A1657" s="222"/>
      <c r="B1657" s="235"/>
      <c r="C1657" s="227"/>
      <c r="D1657" s="344"/>
      <c r="E1657" s="235"/>
      <c r="F1657" s="235"/>
      <c r="G1657" s="227"/>
      <c r="H1657" s="227"/>
      <c r="I1657" s="350"/>
      <c r="J1657" s="227"/>
      <c r="K1657" s="227"/>
      <c r="L1657" s="224"/>
      <c r="M1657" s="224"/>
      <c r="N1657" s="224"/>
      <c r="O1657" s="224"/>
      <c r="P1657" s="224"/>
      <c r="Q1657" s="224"/>
      <c r="R1657" s="224"/>
      <c r="S1657" s="224"/>
      <c r="T1657" s="224"/>
      <c r="U1657" s="224"/>
      <c r="V1657" s="224"/>
    </row>
    <row r="1658" spans="1:22" x14ac:dyDescent="0.3">
      <c r="A1658" s="222"/>
      <c r="B1658" s="235"/>
      <c r="C1658" s="227"/>
      <c r="D1658" s="344"/>
      <c r="E1658" s="235"/>
      <c r="F1658" s="235"/>
      <c r="G1658" s="227"/>
      <c r="H1658" s="227"/>
      <c r="I1658" s="350"/>
      <c r="J1658" s="227"/>
      <c r="K1658" s="227"/>
      <c r="L1658" s="224"/>
      <c r="M1658" s="224"/>
      <c r="N1658" s="224"/>
      <c r="O1658" s="224"/>
      <c r="P1658" s="224"/>
      <c r="Q1658" s="224"/>
      <c r="R1658" s="224"/>
      <c r="S1658" s="224"/>
      <c r="T1658" s="224"/>
      <c r="U1658" s="224"/>
      <c r="V1658" s="224"/>
    </row>
    <row r="1659" spans="1:22" x14ac:dyDescent="0.3">
      <c r="A1659" s="222"/>
      <c r="B1659" s="235"/>
      <c r="C1659" s="227"/>
      <c r="D1659" s="344"/>
      <c r="E1659" s="235"/>
      <c r="F1659" s="235"/>
      <c r="G1659" s="227"/>
      <c r="H1659" s="227"/>
      <c r="I1659" s="350"/>
      <c r="J1659" s="227"/>
      <c r="K1659" s="227"/>
      <c r="L1659" s="224"/>
      <c r="M1659" s="224"/>
      <c r="N1659" s="224"/>
      <c r="O1659" s="224"/>
      <c r="P1659" s="224"/>
      <c r="Q1659" s="224"/>
      <c r="R1659" s="224"/>
      <c r="S1659" s="224"/>
      <c r="T1659" s="224"/>
      <c r="U1659" s="224"/>
      <c r="V1659" s="224"/>
    </row>
    <row r="1660" spans="1:22" x14ac:dyDescent="0.3">
      <c r="A1660" s="222"/>
      <c r="B1660" s="235"/>
      <c r="C1660" s="227"/>
      <c r="D1660" s="344"/>
      <c r="E1660" s="235"/>
      <c r="F1660" s="235"/>
      <c r="G1660" s="227"/>
      <c r="H1660" s="227"/>
      <c r="I1660" s="350"/>
      <c r="J1660" s="227"/>
      <c r="K1660" s="227"/>
      <c r="L1660" s="224"/>
      <c r="M1660" s="224"/>
      <c r="N1660" s="224"/>
      <c r="O1660" s="224"/>
      <c r="P1660" s="224"/>
      <c r="Q1660" s="224"/>
      <c r="R1660" s="224"/>
      <c r="S1660" s="224"/>
      <c r="T1660" s="224"/>
      <c r="U1660" s="224"/>
      <c r="V1660" s="224"/>
    </row>
    <row r="1661" spans="1:22" x14ac:dyDescent="0.3">
      <c r="A1661" s="222"/>
      <c r="B1661" s="235"/>
      <c r="C1661" s="227"/>
      <c r="D1661" s="344"/>
      <c r="E1661" s="235"/>
      <c r="F1661" s="235"/>
      <c r="G1661" s="227"/>
      <c r="H1661" s="227"/>
      <c r="I1661" s="350"/>
      <c r="J1661" s="227"/>
      <c r="K1661" s="227"/>
      <c r="L1661" s="224"/>
      <c r="M1661" s="224"/>
      <c r="N1661" s="224"/>
      <c r="O1661" s="224"/>
      <c r="P1661" s="224"/>
      <c r="Q1661" s="224"/>
      <c r="R1661" s="224"/>
      <c r="S1661" s="224"/>
      <c r="T1661" s="224"/>
      <c r="U1661" s="224"/>
      <c r="V1661" s="224"/>
    </row>
    <row r="1662" spans="1:22" x14ac:dyDescent="0.3">
      <c r="A1662" s="222"/>
      <c r="B1662" s="235"/>
      <c r="C1662" s="227"/>
      <c r="D1662" s="344"/>
      <c r="E1662" s="235"/>
      <c r="F1662" s="235"/>
      <c r="G1662" s="227"/>
      <c r="H1662" s="227"/>
      <c r="I1662" s="350"/>
      <c r="J1662" s="227"/>
      <c r="K1662" s="227"/>
      <c r="L1662" s="224"/>
      <c r="M1662" s="224"/>
      <c r="N1662" s="224"/>
      <c r="O1662" s="224"/>
      <c r="P1662" s="224"/>
      <c r="Q1662" s="224"/>
      <c r="R1662" s="224"/>
      <c r="S1662" s="224"/>
      <c r="T1662" s="224"/>
      <c r="U1662" s="224"/>
      <c r="V1662" s="224"/>
    </row>
    <row r="1663" spans="1:22" x14ac:dyDescent="0.3">
      <c r="A1663" s="222"/>
      <c r="B1663" s="235"/>
      <c r="C1663" s="227"/>
      <c r="D1663" s="344"/>
      <c r="E1663" s="235"/>
      <c r="F1663" s="235"/>
      <c r="G1663" s="227"/>
      <c r="H1663" s="227"/>
      <c r="I1663" s="350"/>
      <c r="J1663" s="227"/>
      <c r="K1663" s="227"/>
      <c r="L1663" s="224"/>
      <c r="M1663" s="224"/>
      <c r="N1663" s="224"/>
      <c r="O1663" s="224"/>
      <c r="P1663" s="224"/>
      <c r="Q1663" s="224"/>
      <c r="R1663" s="224"/>
      <c r="S1663" s="224"/>
      <c r="T1663" s="224"/>
      <c r="U1663" s="224"/>
      <c r="V1663" s="224"/>
    </row>
    <row r="1664" spans="1:22" x14ac:dyDescent="0.3">
      <c r="A1664" s="222"/>
      <c r="B1664" s="235"/>
      <c r="C1664" s="227"/>
      <c r="D1664" s="344"/>
      <c r="E1664" s="235"/>
      <c r="F1664" s="235"/>
      <c r="G1664" s="227"/>
      <c r="H1664" s="227"/>
      <c r="I1664" s="350"/>
      <c r="J1664" s="227"/>
      <c r="K1664" s="227"/>
      <c r="L1664" s="224"/>
      <c r="M1664" s="224"/>
      <c r="N1664" s="224"/>
      <c r="O1664" s="224"/>
      <c r="P1664" s="224"/>
      <c r="Q1664" s="224"/>
      <c r="R1664" s="224"/>
      <c r="S1664" s="224"/>
      <c r="T1664" s="224"/>
      <c r="U1664" s="224"/>
      <c r="V1664" s="224"/>
    </row>
    <row r="1665" spans="1:22" x14ac:dyDescent="0.3">
      <c r="A1665" s="222"/>
      <c r="B1665" s="235"/>
      <c r="C1665" s="227"/>
      <c r="D1665" s="344"/>
      <c r="E1665" s="235"/>
      <c r="F1665" s="235"/>
      <c r="G1665" s="227"/>
      <c r="H1665" s="227"/>
      <c r="I1665" s="350"/>
      <c r="J1665" s="227"/>
      <c r="K1665" s="227"/>
      <c r="L1665" s="224"/>
      <c r="M1665" s="224"/>
      <c r="N1665" s="224"/>
      <c r="O1665" s="224"/>
      <c r="P1665" s="224"/>
      <c r="Q1665" s="224"/>
      <c r="R1665" s="224"/>
      <c r="S1665" s="224"/>
      <c r="T1665" s="224"/>
      <c r="U1665" s="224"/>
      <c r="V1665" s="224"/>
    </row>
    <row r="1666" spans="1:22" x14ac:dyDescent="0.3">
      <c r="A1666" s="222"/>
      <c r="B1666" s="235"/>
      <c r="C1666" s="227"/>
      <c r="D1666" s="344"/>
      <c r="E1666" s="235"/>
      <c r="F1666" s="235"/>
      <c r="G1666" s="227"/>
      <c r="H1666" s="227"/>
      <c r="I1666" s="350"/>
      <c r="J1666" s="227"/>
      <c r="K1666" s="227"/>
      <c r="L1666" s="224"/>
      <c r="M1666" s="224"/>
      <c r="N1666" s="224"/>
      <c r="O1666" s="224"/>
      <c r="P1666" s="224"/>
      <c r="Q1666" s="224"/>
      <c r="R1666" s="224"/>
      <c r="S1666" s="224"/>
      <c r="T1666" s="224"/>
      <c r="U1666" s="224"/>
      <c r="V1666" s="224"/>
    </row>
    <row r="1667" spans="1:22" x14ac:dyDescent="0.3">
      <c r="A1667" s="222"/>
      <c r="B1667" s="235"/>
      <c r="C1667" s="227"/>
      <c r="D1667" s="344"/>
      <c r="E1667" s="235"/>
      <c r="F1667" s="235"/>
      <c r="G1667" s="227"/>
      <c r="H1667" s="227"/>
      <c r="I1667" s="350"/>
      <c r="J1667" s="227"/>
      <c r="K1667" s="227"/>
      <c r="L1667" s="224"/>
      <c r="M1667" s="224"/>
      <c r="N1667" s="224"/>
      <c r="O1667" s="224"/>
      <c r="P1667" s="224"/>
      <c r="Q1667" s="224"/>
      <c r="R1667" s="224"/>
      <c r="S1667" s="224"/>
      <c r="T1667" s="224"/>
      <c r="U1667" s="224"/>
      <c r="V1667" s="224"/>
    </row>
    <row r="1668" spans="1:22" x14ac:dyDescent="0.3">
      <c r="A1668" s="222"/>
      <c r="B1668" s="235"/>
      <c r="C1668" s="227"/>
      <c r="D1668" s="344"/>
      <c r="E1668" s="235"/>
      <c r="F1668" s="235"/>
      <c r="G1668" s="227"/>
      <c r="H1668" s="227"/>
      <c r="I1668" s="350"/>
      <c r="J1668" s="227"/>
      <c r="K1668" s="227"/>
      <c r="L1668" s="224"/>
      <c r="M1668" s="224"/>
      <c r="N1668" s="224"/>
      <c r="O1668" s="224"/>
      <c r="P1668" s="224"/>
      <c r="Q1668" s="224"/>
      <c r="R1668" s="224"/>
      <c r="S1668" s="224"/>
      <c r="T1668" s="224"/>
      <c r="U1668" s="224"/>
      <c r="V1668" s="224"/>
    </row>
    <row r="1669" spans="1:22" x14ac:dyDescent="0.3">
      <c r="A1669" s="222"/>
      <c r="B1669" s="235"/>
      <c r="C1669" s="227"/>
      <c r="D1669" s="344"/>
      <c r="E1669" s="235"/>
      <c r="F1669" s="235"/>
      <c r="G1669" s="227"/>
      <c r="H1669" s="227"/>
      <c r="I1669" s="350"/>
      <c r="J1669" s="227"/>
      <c r="K1669" s="227"/>
      <c r="L1669" s="224"/>
      <c r="M1669" s="224"/>
      <c r="N1669" s="224"/>
      <c r="O1669" s="224"/>
      <c r="P1669" s="224"/>
      <c r="Q1669" s="224"/>
      <c r="R1669" s="224"/>
      <c r="S1669" s="224"/>
      <c r="T1669" s="224"/>
      <c r="U1669" s="224"/>
      <c r="V1669" s="224"/>
    </row>
    <row r="1670" spans="1:22" x14ac:dyDescent="0.3">
      <c r="A1670" s="222"/>
      <c r="B1670" s="235"/>
      <c r="C1670" s="227"/>
      <c r="D1670" s="344"/>
      <c r="E1670" s="235"/>
      <c r="F1670" s="235"/>
      <c r="G1670" s="227"/>
      <c r="H1670" s="227"/>
      <c r="I1670" s="350"/>
      <c r="J1670" s="227"/>
      <c r="K1670" s="227"/>
      <c r="L1670" s="224"/>
      <c r="M1670" s="224"/>
      <c r="N1670" s="224"/>
      <c r="O1670" s="224"/>
      <c r="P1670" s="224"/>
      <c r="Q1670" s="224"/>
      <c r="R1670" s="224"/>
      <c r="S1670" s="224"/>
      <c r="T1670" s="224"/>
      <c r="U1670" s="224"/>
      <c r="V1670" s="224"/>
    </row>
    <row r="1671" spans="1:22" x14ac:dyDescent="0.3">
      <c r="A1671" s="222"/>
      <c r="B1671" s="235"/>
      <c r="C1671" s="227"/>
      <c r="D1671" s="344"/>
      <c r="E1671" s="235"/>
      <c r="F1671" s="235"/>
      <c r="G1671" s="227"/>
      <c r="H1671" s="227"/>
      <c r="I1671" s="350"/>
      <c r="J1671" s="227"/>
      <c r="K1671" s="227"/>
      <c r="L1671" s="224"/>
      <c r="M1671" s="224"/>
      <c r="N1671" s="224"/>
      <c r="O1671" s="224"/>
      <c r="P1671" s="224"/>
      <c r="Q1671" s="224"/>
      <c r="R1671" s="224"/>
      <c r="S1671" s="224"/>
      <c r="T1671" s="224"/>
      <c r="U1671" s="224"/>
      <c r="V1671" s="224"/>
    </row>
    <row r="1672" spans="1:22" x14ac:dyDescent="0.3">
      <c r="A1672" s="222"/>
      <c r="B1672" s="235"/>
      <c r="C1672" s="227"/>
      <c r="D1672" s="344"/>
      <c r="E1672" s="235"/>
      <c r="F1672" s="235"/>
      <c r="G1672" s="227"/>
      <c r="H1672" s="227"/>
      <c r="I1672" s="350"/>
      <c r="J1672" s="227"/>
      <c r="K1672" s="227"/>
      <c r="L1672" s="224"/>
      <c r="M1672" s="224"/>
      <c r="N1672" s="224"/>
      <c r="O1672" s="224"/>
      <c r="P1672" s="224"/>
      <c r="Q1672" s="224"/>
      <c r="R1672" s="224"/>
      <c r="S1672" s="224"/>
      <c r="T1672" s="224"/>
      <c r="U1672" s="224"/>
      <c r="V1672" s="224"/>
    </row>
    <row r="1673" spans="1:22" x14ac:dyDescent="0.3">
      <c r="A1673" s="222"/>
      <c r="B1673" s="235"/>
      <c r="C1673" s="227"/>
      <c r="D1673" s="344"/>
      <c r="E1673" s="235"/>
      <c r="F1673" s="235"/>
      <c r="G1673" s="227"/>
      <c r="H1673" s="227"/>
      <c r="I1673" s="350"/>
      <c r="J1673" s="227"/>
      <c r="K1673" s="227"/>
      <c r="L1673" s="224"/>
      <c r="M1673" s="224"/>
      <c r="N1673" s="224"/>
      <c r="O1673" s="224"/>
      <c r="P1673" s="224"/>
      <c r="Q1673" s="224"/>
      <c r="R1673" s="224"/>
      <c r="S1673" s="224"/>
      <c r="T1673" s="224"/>
      <c r="U1673" s="224"/>
      <c r="V1673" s="224"/>
    </row>
    <row r="1674" spans="1:22" x14ac:dyDescent="0.3">
      <c r="A1674" s="222"/>
      <c r="B1674" s="235"/>
      <c r="C1674" s="227"/>
      <c r="D1674" s="344"/>
      <c r="E1674" s="235"/>
      <c r="F1674" s="235"/>
      <c r="G1674" s="227"/>
      <c r="H1674" s="227"/>
      <c r="I1674" s="350"/>
      <c r="J1674" s="227"/>
      <c r="K1674" s="227"/>
      <c r="L1674" s="224"/>
      <c r="M1674" s="224"/>
      <c r="N1674" s="224"/>
      <c r="O1674" s="224"/>
      <c r="P1674" s="224"/>
      <c r="Q1674" s="224"/>
      <c r="R1674" s="224"/>
      <c r="S1674" s="224"/>
      <c r="T1674" s="224"/>
      <c r="U1674" s="224"/>
      <c r="V1674" s="224"/>
    </row>
    <row r="1675" spans="1:22" x14ac:dyDescent="0.3">
      <c r="A1675" s="222"/>
      <c r="B1675" s="235"/>
      <c r="C1675" s="227"/>
      <c r="D1675" s="344"/>
      <c r="E1675" s="235"/>
      <c r="F1675" s="235"/>
      <c r="G1675" s="227"/>
      <c r="H1675" s="227"/>
      <c r="I1675" s="350"/>
      <c r="J1675" s="227"/>
      <c r="K1675" s="227"/>
      <c r="L1675" s="224"/>
      <c r="M1675" s="224"/>
      <c r="N1675" s="224"/>
      <c r="O1675" s="224"/>
      <c r="P1675" s="224"/>
      <c r="Q1675" s="224"/>
      <c r="R1675" s="224"/>
      <c r="S1675" s="224"/>
      <c r="T1675" s="224"/>
      <c r="U1675" s="224"/>
      <c r="V1675" s="224"/>
    </row>
    <row r="1676" spans="1:22" x14ac:dyDescent="0.3">
      <c r="A1676" s="222"/>
      <c r="B1676" s="235"/>
      <c r="C1676" s="227"/>
      <c r="D1676" s="344"/>
      <c r="E1676" s="235"/>
      <c r="F1676" s="235"/>
      <c r="G1676" s="227"/>
      <c r="H1676" s="227"/>
      <c r="I1676" s="350"/>
      <c r="J1676" s="227"/>
      <c r="K1676" s="227"/>
      <c r="L1676" s="224"/>
      <c r="M1676" s="224"/>
      <c r="N1676" s="224"/>
      <c r="O1676" s="224"/>
      <c r="P1676" s="224"/>
      <c r="Q1676" s="224"/>
      <c r="R1676" s="224"/>
      <c r="S1676" s="224"/>
      <c r="T1676" s="224"/>
      <c r="U1676" s="224"/>
      <c r="V1676" s="224"/>
    </row>
    <row r="1677" spans="1:22" x14ac:dyDescent="0.3">
      <c r="A1677" s="222"/>
      <c r="B1677" s="235"/>
      <c r="C1677" s="227"/>
      <c r="D1677" s="344"/>
      <c r="E1677" s="235"/>
      <c r="F1677" s="235"/>
      <c r="G1677" s="227"/>
      <c r="H1677" s="227"/>
      <c r="I1677" s="350"/>
      <c r="J1677" s="227"/>
      <c r="K1677" s="227"/>
      <c r="L1677" s="224"/>
      <c r="M1677" s="224"/>
      <c r="N1677" s="224"/>
      <c r="O1677" s="224"/>
      <c r="P1677" s="224"/>
      <c r="Q1677" s="224"/>
      <c r="R1677" s="224"/>
      <c r="S1677" s="224"/>
      <c r="T1677" s="224"/>
      <c r="U1677" s="224"/>
      <c r="V1677" s="224"/>
    </row>
    <row r="1678" spans="1:22" x14ac:dyDescent="0.3">
      <c r="A1678" s="222"/>
      <c r="B1678" s="235"/>
      <c r="C1678" s="227"/>
      <c r="D1678" s="344"/>
      <c r="E1678" s="235"/>
      <c r="F1678" s="235"/>
      <c r="G1678" s="227"/>
      <c r="H1678" s="227"/>
      <c r="I1678" s="350"/>
      <c r="J1678" s="227"/>
      <c r="K1678" s="227"/>
      <c r="L1678" s="224"/>
      <c r="M1678" s="224"/>
      <c r="N1678" s="224"/>
      <c r="O1678" s="224"/>
      <c r="P1678" s="224"/>
      <c r="Q1678" s="224"/>
      <c r="R1678" s="224"/>
      <c r="S1678" s="224"/>
      <c r="T1678" s="224"/>
      <c r="U1678" s="224"/>
      <c r="V1678" s="224"/>
    </row>
    <row r="1679" spans="1:22" x14ac:dyDescent="0.3">
      <c r="A1679" s="222"/>
      <c r="B1679" s="235"/>
      <c r="C1679" s="227"/>
      <c r="D1679" s="344"/>
      <c r="E1679" s="235"/>
      <c r="F1679" s="235"/>
      <c r="G1679" s="227"/>
      <c r="H1679" s="227"/>
      <c r="I1679" s="350"/>
      <c r="J1679" s="227"/>
      <c r="K1679" s="227"/>
      <c r="L1679" s="224"/>
      <c r="M1679" s="224"/>
      <c r="N1679" s="224"/>
      <c r="O1679" s="224"/>
      <c r="P1679" s="224"/>
      <c r="Q1679" s="224"/>
      <c r="R1679" s="224"/>
      <c r="S1679" s="224"/>
      <c r="T1679" s="224"/>
      <c r="U1679" s="224"/>
      <c r="V1679" s="224"/>
    </row>
    <row r="1680" spans="1:22" x14ac:dyDescent="0.3">
      <c r="A1680" s="222"/>
      <c r="B1680" s="235"/>
      <c r="C1680" s="227"/>
      <c r="D1680" s="344"/>
      <c r="E1680" s="235"/>
      <c r="F1680" s="235"/>
      <c r="G1680" s="227"/>
      <c r="H1680" s="227"/>
      <c r="I1680" s="350"/>
      <c r="J1680" s="227"/>
      <c r="K1680" s="227"/>
      <c r="L1680" s="224"/>
      <c r="M1680" s="224"/>
      <c r="N1680" s="224"/>
      <c r="O1680" s="224"/>
      <c r="P1680" s="224"/>
      <c r="Q1680" s="224"/>
      <c r="R1680" s="224"/>
      <c r="S1680" s="224"/>
      <c r="T1680" s="224"/>
      <c r="U1680" s="224"/>
      <c r="V1680" s="224"/>
    </row>
    <row r="1681" spans="1:22" x14ac:dyDescent="0.3">
      <c r="A1681" s="222"/>
      <c r="B1681" s="235"/>
      <c r="C1681" s="227"/>
      <c r="D1681" s="344"/>
      <c r="E1681" s="235"/>
      <c r="F1681" s="235"/>
      <c r="G1681" s="227"/>
      <c r="H1681" s="227"/>
      <c r="I1681" s="350"/>
      <c r="J1681" s="227"/>
      <c r="K1681" s="227"/>
      <c r="L1681" s="224"/>
      <c r="M1681" s="224"/>
      <c r="N1681" s="224"/>
      <c r="O1681" s="224"/>
      <c r="P1681" s="224"/>
      <c r="Q1681" s="224"/>
      <c r="R1681" s="224"/>
      <c r="S1681" s="224"/>
      <c r="T1681" s="224"/>
      <c r="U1681" s="224"/>
      <c r="V1681" s="224"/>
    </row>
    <row r="1682" spans="1:22" x14ac:dyDescent="0.3">
      <c r="A1682" s="222"/>
      <c r="B1682" s="235"/>
      <c r="C1682" s="227"/>
      <c r="D1682" s="344"/>
      <c r="E1682" s="235"/>
      <c r="F1682" s="235"/>
      <c r="G1682" s="227"/>
      <c r="H1682" s="227"/>
      <c r="I1682" s="350"/>
      <c r="J1682" s="227"/>
      <c r="K1682" s="227"/>
      <c r="L1682" s="224"/>
      <c r="M1682" s="224"/>
      <c r="N1682" s="224"/>
      <c r="O1682" s="224"/>
      <c r="P1682" s="224"/>
      <c r="Q1682" s="224"/>
      <c r="R1682" s="224"/>
      <c r="S1682" s="224"/>
      <c r="T1682" s="224"/>
      <c r="U1682" s="224"/>
      <c r="V1682" s="224"/>
    </row>
    <row r="1683" spans="1:22" x14ac:dyDescent="0.3">
      <c r="A1683" s="222"/>
      <c r="B1683" s="235"/>
      <c r="C1683" s="227"/>
      <c r="D1683" s="344"/>
      <c r="E1683" s="235"/>
      <c r="F1683" s="235"/>
      <c r="G1683" s="227"/>
      <c r="H1683" s="227"/>
      <c r="I1683" s="350"/>
      <c r="J1683" s="227"/>
      <c r="K1683" s="227"/>
      <c r="L1683" s="224"/>
      <c r="M1683" s="224"/>
      <c r="N1683" s="224"/>
      <c r="O1683" s="224"/>
      <c r="P1683" s="224"/>
      <c r="Q1683" s="224"/>
      <c r="R1683" s="224"/>
      <c r="S1683" s="224"/>
      <c r="T1683" s="224"/>
      <c r="U1683" s="224"/>
      <c r="V1683" s="224"/>
    </row>
    <row r="1684" spans="1:22" x14ac:dyDescent="0.3">
      <c r="A1684" s="222"/>
      <c r="B1684" s="235"/>
      <c r="C1684" s="227"/>
      <c r="D1684" s="344"/>
      <c r="E1684" s="235"/>
      <c r="F1684" s="235"/>
      <c r="G1684" s="227"/>
      <c r="H1684" s="227"/>
      <c r="I1684" s="350"/>
      <c r="J1684" s="227"/>
      <c r="K1684" s="227"/>
      <c r="L1684" s="224"/>
      <c r="M1684" s="224"/>
      <c r="N1684" s="224"/>
      <c r="O1684" s="224"/>
      <c r="P1684" s="224"/>
      <c r="Q1684" s="224"/>
      <c r="R1684" s="224"/>
      <c r="S1684" s="224"/>
      <c r="T1684" s="224"/>
      <c r="U1684" s="224"/>
      <c r="V1684" s="224"/>
    </row>
    <row r="1685" spans="1:22" x14ac:dyDescent="0.3">
      <c r="A1685" s="222"/>
      <c r="B1685" s="235"/>
      <c r="C1685" s="227"/>
      <c r="D1685" s="344"/>
      <c r="E1685" s="235"/>
      <c r="F1685" s="235"/>
      <c r="G1685" s="227"/>
      <c r="H1685" s="227"/>
      <c r="I1685" s="350"/>
      <c r="J1685" s="227"/>
      <c r="K1685" s="227"/>
      <c r="L1685" s="224"/>
      <c r="M1685" s="224"/>
      <c r="N1685" s="224"/>
      <c r="O1685" s="224"/>
      <c r="P1685" s="224"/>
      <c r="Q1685" s="224"/>
      <c r="R1685" s="224"/>
      <c r="S1685" s="224"/>
      <c r="T1685" s="224"/>
      <c r="U1685" s="224"/>
      <c r="V1685" s="224"/>
    </row>
    <row r="1686" spans="1:22" x14ac:dyDescent="0.3">
      <c r="A1686" s="222"/>
      <c r="B1686" s="235"/>
      <c r="C1686" s="227"/>
      <c r="D1686" s="344"/>
      <c r="E1686" s="235"/>
      <c r="F1686" s="235"/>
      <c r="G1686" s="227"/>
      <c r="H1686" s="227"/>
      <c r="I1686" s="350"/>
      <c r="J1686" s="227"/>
      <c r="K1686" s="227"/>
      <c r="L1686" s="224"/>
      <c r="M1686" s="224"/>
      <c r="N1686" s="224"/>
      <c r="O1686" s="224"/>
      <c r="P1686" s="224"/>
      <c r="Q1686" s="224"/>
      <c r="R1686" s="224"/>
      <c r="S1686" s="224"/>
      <c r="T1686" s="224"/>
      <c r="U1686" s="224"/>
      <c r="V1686" s="224"/>
    </row>
    <row r="1687" spans="1:22" x14ac:dyDescent="0.3">
      <c r="A1687" s="222"/>
      <c r="B1687" s="235"/>
      <c r="C1687" s="227"/>
      <c r="D1687" s="344"/>
      <c r="E1687" s="235"/>
      <c r="F1687" s="235"/>
      <c r="G1687" s="227"/>
      <c r="H1687" s="227"/>
      <c r="I1687" s="350"/>
      <c r="J1687" s="227"/>
      <c r="K1687" s="227"/>
      <c r="L1687" s="224"/>
      <c r="M1687" s="224"/>
      <c r="N1687" s="224"/>
      <c r="O1687" s="224"/>
      <c r="P1687" s="224"/>
      <c r="Q1687" s="224"/>
      <c r="R1687" s="224"/>
      <c r="S1687" s="224"/>
      <c r="T1687" s="224"/>
      <c r="U1687" s="224"/>
      <c r="V1687" s="224"/>
    </row>
    <row r="1688" spans="1:22" x14ac:dyDescent="0.3">
      <c r="A1688" s="222"/>
      <c r="B1688" s="235"/>
      <c r="C1688" s="227"/>
      <c r="D1688" s="344"/>
      <c r="E1688" s="235"/>
      <c r="F1688" s="235"/>
      <c r="G1688" s="227"/>
      <c r="H1688" s="227"/>
      <c r="I1688" s="350"/>
      <c r="J1688" s="227"/>
      <c r="K1688" s="227"/>
      <c r="L1688" s="224"/>
      <c r="M1688" s="224"/>
      <c r="N1688" s="224"/>
      <c r="O1688" s="224"/>
      <c r="P1688" s="224"/>
      <c r="Q1688" s="224"/>
      <c r="R1688" s="224"/>
      <c r="S1688" s="224"/>
      <c r="T1688" s="224"/>
      <c r="U1688" s="224"/>
      <c r="V1688" s="224"/>
    </row>
    <row r="1689" spans="1:22" x14ac:dyDescent="0.3">
      <c r="A1689" s="222"/>
      <c r="B1689" s="235"/>
      <c r="C1689" s="227"/>
      <c r="D1689" s="344"/>
      <c r="E1689" s="235"/>
      <c r="F1689" s="235"/>
      <c r="G1689" s="227"/>
      <c r="H1689" s="227"/>
      <c r="I1689" s="350"/>
      <c r="J1689" s="227"/>
      <c r="K1689" s="227"/>
      <c r="L1689" s="224"/>
      <c r="M1689" s="224"/>
      <c r="N1689" s="224"/>
      <c r="O1689" s="224"/>
      <c r="P1689" s="224"/>
      <c r="Q1689" s="224"/>
      <c r="R1689" s="224"/>
      <c r="S1689" s="224"/>
      <c r="T1689" s="224"/>
      <c r="U1689" s="224"/>
      <c r="V1689" s="224"/>
    </row>
    <row r="1690" spans="1:22" x14ac:dyDescent="0.3">
      <c r="A1690" s="222"/>
      <c r="B1690" s="235"/>
      <c r="C1690" s="227"/>
      <c r="D1690" s="344"/>
      <c r="E1690" s="235"/>
      <c r="F1690" s="235"/>
      <c r="G1690" s="227"/>
      <c r="H1690" s="227"/>
      <c r="I1690" s="350"/>
      <c r="J1690" s="227"/>
      <c r="K1690" s="227"/>
      <c r="L1690" s="224"/>
      <c r="M1690" s="224"/>
      <c r="N1690" s="224"/>
      <c r="O1690" s="224"/>
      <c r="P1690" s="224"/>
      <c r="Q1690" s="224"/>
      <c r="R1690" s="224"/>
      <c r="S1690" s="224"/>
      <c r="T1690" s="224"/>
      <c r="U1690" s="224"/>
      <c r="V1690" s="224"/>
    </row>
    <row r="1691" spans="1:22" x14ac:dyDescent="0.3">
      <c r="A1691" s="222"/>
      <c r="B1691" s="235"/>
      <c r="C1691" s="227"/>
      <c r="D1691" s="344"/>
      <c r="E1691" s="235"/>
      <c r="F1691" s="235"/>
      <c r="G1691" s="227"/>
      <c r="H1691" s="227"/>
      <c r="I1691" s="350"/>
      <c r="J1691" s="227"/>
      <c r="K1691" s="227"/>
      <c r="L1691" s="224"/>
      <c r="M1691" s="224"/>
      <c r="N1691" s="224"/>
      <c r="O1691" s="224"/>
      <c r="P1691" s="224"/>
      <c r="Q1691" s="224"/>
      <c r="R1691" s="224"/>
      <c r="S1691" s="224"/>
      <c r="T1691" s="224"/>
      <c r="U1691" s="224"/>
      <c r="V1691" s="224"/>
    </row>
    <row r="1692" spans="1:22" x14ac:dyDescent="0.3">
      <c r="A1692" s="222"/>
      <c r="B1692" s="235"/>
      <c r="C1692" s="227"/>
      <c r="D1692" s="344"/>
      <c r="E1692" s="235"/>
      <c r="F1692" s="235"/>
      <c r="G1692" s="227"/>
      <c r="H1692" s="227"/>
      <c r="I1692" s="350"/>
      <c r="J1692" s="227"/>
      <c r="K1692" s="227"/>
      <c r="L1692" s="224"/>
      <c r="M1692" s="224"/>
      <c r="N1692" s="224"/>
      <c r="O1692" s="224"/>
      <c r="P1692" s="224"/>
      <c r="Q1692" s="224"/>
      <c r="R1692" s="224"/>
      <c r="S1692" s="224"/>
      <c r="T1692" s="224"/>
      <c r="U1692" s="224"/>
      <c r="V1692" s="224"/>
    </row>
    <row r="1693" spans="1:22" x14ac:dyDescent="0.3">
      <c r="A1693" s="222"/>
      <c r="B1693" s="235"/>
      <c r="C1693" s="227"/>
      <c r="D1693" s="344"/>
      <c r="E1693" s="235"/>
      <c r="F1693" s="235"/>
      <c r="G1693" s="227"/>
      <c r="H1693" s="227"/>
      <c r="I1693" s="350"/>
      <c r="J1693" s="227"/>
      <c r="K1693" s="227"/>
      <c r="L1693" s="224"/>
      <c r="M1693" s="224"/>
      <c r="N1693" s="224"/>
      <c r="O1693" s="224"/>
      <c r="P1693" s="224"/>
      <c r="Q1693" s="224"/>
      <c r="R1693" s="224"/>
      <c r="S1693" s="224"/>
      <c r="T1693" s="224"/>
      <c r="U1693" s="224"/>
      <c r="V1693" s="224"/>
    </row>
    <row r="1694" spans="1:22" x14ac:dyDescent="0.3">
      <c r="A1694" s="222"/>
      <c r="B1694" s="235"/>
      <c r="C1694" s="227"/>
      <c r="D1694" s="344"/>
      <c r="E1694" s="235"/>
      <c r="F1694" s="235"/>
      <c r="G1694" s="227"/>
      <c r="H1694" s="227"/>
      <c r="I1694" s="350"/>
      <c r="J1694" s="227"/>
      <c r="K1694" s="227"/>
      <c r="L1694" s="224"/>
      <c r="M1694" s="224"/>
      <c r="N1694" s="224"/>
      <c r="O1694" s="224"/>
      <c r="P1694" s="224"/>
      <c r="Q1694" s="224"/>
      <c r="R1694" s="224"/>
      <c r="S1694" s="224"/>
      <c r="T1694" s="224"/>
      <c r="U1694" s="224"/>
      <c r="V1694" s="224"/>
    </row>
    <row r="1695" spans="1:22" x14ac:dyDescent="0.3">
      <c r="A1695" s="222"/>
      <c r="B1695" s="235"/>
      <c r="C1695" s="227"/>
      <c r="D1695" s="344"/>
      <c r="E1695" s="235"/>
      <c r="F1695" s="235"/>
      <c r="G1695" s="227"/>
      <c r="H1695" s="227"/>
      <c r="I1695" s="350"/>
      <c r="J1695" s="227"/>
      <c r="K1695" s="227"/>
      <c r="L1695" s="224"/>
      <c r="M1695" s="224"/>
      <c r="N1695" s="224"/>
      <c r="O1695" s="224"/>
      <c r="P1695" s="224"/>
      <c r="Q1695" s="224"/>
      <c r="R1695" s="224"/>
      <c r="S1695" s="224"/>
      <c r="T1695" s="224"/>
      <c r="U1695" s="224"/>
      <c r="V1695" s="224"/>
    </row>
    <row r="1696" spans="1:22" x14ac:dyDescent="0.3">
      <c r="A1696" s="222"/>
      <c r="B1696" s="235"/>
      <c r="C1696" s="227"/>
      <c r="D1696" s="344"/>
      <c r="E1696" s="235"/>
      <c r="F1696" s="235"/>
      <c r="G1696" s="227"/>
      <c r="H1696" s="227"/>
      <c r="I1696" s="350"/>
      <c r="J1696" s="227"/>
      <c r="K1696" s="227"/>
      <c r="L1696" s="224"/>
      <c r="M1696" s="224"/>
      <c r="N1696" s="224"/>
      <c r="O1696" s="224"/>
      <c r="P1696" s="224"/>
      <c r="Q1696" s="224"/>
      <c r="R1696" s="224"/>
      <c r="S1696" s="224"/>
      <c r="T1696" s="224"/>
      <c r="U1696" s="224"/>
      <c r="V1696" s="224"/>
    </row>
    <row r="1697" spans="1:22" x14ac:dyDescent="0.3">
      <c r="A1697" s="222"/>
      <c r="B1697" s="235"/>
      <c r="C1697" s="227"/>
      <c r="D1697" s="344"/>
      <c r="E1697" s="235"/>
      <c r="F1697" s="235"/>
      <c r="G1697" s="227"/>
      <c r="H1697" s="227"/>
      <c r="I1697" s="350"/>
      <c r="J1697" s="227"/>
      <c r="K1697" s="227"/>
      <c r="L1697" s="224"/>
      <c r="M1697" s="224"/>
      <c r="N1697" s="224"/>
      <c r="O1697" s="224"/>
      <c r="P1697" s="224"/>
      <c r="Q1697" s="224"/>
      <c r="R1697" s="224"/>
      <c r="S1697" s="224"/>
      <c r="T1697" s="224"/>
      <c r="U1697" s="224"/>
      <c r="V1697" s="224"/>
    </row>
    <row r="1698" spans="1:22" x14ac:dyDescent="0.3">
      <c r="A1698" s="222"/>
      <c r="B1698" s="235"/>
      <c r="C1698" s="227"/>
      <c r="D1698" s="344"/>
      <c r="E1698" s="235"/>
      <c r="F1698" s="235"/>
      <c r="G1698" s="227"/>
      <c r="H1698" s="227"/>
      <c r="I1698" s="350"/>
      <c r="J1698" s="227"/>
      <c r="K1698" s="227"/>
      <c r="L1698" s="224"/>
      <c r="M1698" s="224"/>
      <c r="N1698" s="224"/>
      <c r="O1698" s="224"/>
      <c r="P1698" s="224"/>
      <c r="Q1698" s="224"/>
      <c r="R1698" s="224"/>
      <c r="S1698" s="224"/>
      <c r="T1698" s="224"/>
      <c r="U1698" s="224"/>
      <c r="V1698" s="224"/>
    </row>
    <row r="1699" spans="1:22" x14ac:dyDescent="0.3">
      <c r="A1699" s="222"/>
      <c r="B1699" s="235"/>
      <c r="C1699" s="227"/>
      <c r="D1699" s="344"/>
      <c r="E1699" s="235"/>
      <c r="F1699" s="235"/>
      <c r="G1699" s="227"/>
      <c r="H1699" s="227"/>
      <c r="I1699" s="350"/>
      <c r="J1699" s="227"/>
      <c r="K1699" s="227"/>
      <c r="L1699" s="224"/>
      <c r="M1699" s="224"/>
      <c r="N1699" s="224"/>
      <c r="O1699" s="224"/>
      <c r="P1699" s="224"/>
      <c r="Q1699" s="224"/>
      <c r="R1699" s="224"/>
      <c r="S1699" s="224"/>
      <c r="T1699" s="224"/>
      <c r="U1699" s="224"/>
      <c r="V1699" s="224"/>
    </row>
    <row r="1700" spans="1:22" x14ac:dyDescent="0.3">
      <c r="A1700" s="222"/>
      <c r="B1700" s="235"/>
      <c r="C1700" s="227"/>
      <c r="D1700" s="344"/>
      <c r="E1700" s="235"/>
      <c r="F1700" s="235"/>
      <c r="G1700" s="227"/>
      <c r="H1700" s="227"/>
      <c r="I1700" s="350"/>
      <c r="J1700" s="227"/>
      <c r="K1700" s="227"/>
      <c r="L1700" s="224"/>
      <c r="M1700" s="224"/>
      <c r="N1700" s="224"/>
      <c r="O1700" s="224"/>
      <c r="P1700" s="224"/>
      <c r="Q1700" s="224"/>
      <c r="R1700" s="224"/>
      <c r="S1700" s="224"/>
      <c r="T1700" s="224"/>
      <c r="U1700" s="224"/>
      <c r="V1700" s="224"/>
    </row>
    <row r="1701" spans="1:22" x14ac:dyDescent="0.3">
      <c r="A1701" s="222"/>
      <c r="B1701" s="235"/>
      <c r="C1701" s="227"/>
      <c r="D1701" s="344"/>
      <c r="E1701" s="235"/>
      <c r="F1701" s="235"/>
      <c r="G1701" s="227"/>
      <c r="H1701" s="227"/>
      <c r="I1701" s="350"/>
      <c r="J1701" s="227"/>
      <c r="K1701" s="227"/>
      <c r="L1701" s="224"/>
      <c r="M1701" s="224"/>
      <c r="N1701" s="224"/>
      <c r="O1701" s="224"/>
      <c r="P1701" s="224"/>
      <c r="Q1701" s="224"/>
      <c r="R1701" s="224"/>
      <c r="S1701" s="224"/>
      <c r="T1701" s="224"/>
      <c r="U1701" s="224"/>
      <c r="V1701" s="224"/>
    </row>
    <row r="1702" spans="1:22" x14ac:dyDescent="0.3">
      <c r="A1702" s="222"/>
      <c r="B1702" s="235"/>
      <c r="C1702" s="227"/>
      <c r="D1702" s="344"/>
      <c r="E1702" s="235"/>
      <c r="F1702" s="235"/>
      <c r="G1702" s="227"/>
      <c r="H1702" s="227"/>
      <c r="I1702" s="350"/>
      <c r="J1702" s="227"/>
      <c r="K1702" s="227"/>
      <c r="L1702" s="224"/>
      <c r="M1702" s="224"/>
      <c r="N1702" s="224"/>
      <c r="O1702" s="224"/>
      <c r="P1702" s="224"/>
      <c r="Q1702" s="224"/>
      <c r="R1702" s="224"/>
      <c r="S1702" s="224"/>
      <c r="T1702" s="224"/>
      <c r="U1702" s="224"/>
      <c r="V1702" s="224"/>
    </row>
    <row r="1703" spans="1:22" x14ac:dyDescent="0.3">
      <c r="A1703" s="222"/>
      <c r="B1703" s="235"/>
      <c r="C1703" s="227"/>
      <c r="D1703" s="344"/>
      <c r="E1703" s="235"/>
      <c r="F1703" s="235"/>
      <c r="G1703" s="227"/>
      <c r="H1703" s="227"/>
      <c r="I1703" s="350"/>
      <c r="J1703" s="227"/>
      <c r="K1703" s="227"/>
      <c r="L1703" s="224"/>
      <c r="M1703" s="224"/>
      <c r="N1703" s="224"/>
      <c r="O1703" s="224"/>
      <c r="P1703" s="224"/>
      <c r="Q1703" s="224"/>
      <c r="R1703" s="224"/>
      <c r="S1703" s="224"/>
      <c r="T1703" s="224"/>
      <c r="U1703" s="224"/>
      <c r="V1703" s="224"/>
    </row>
    <row r="1704" spans="1:22" x14ac:dyDescent="0.3">
      <c r="A1704" s="222"/>
      <c r="B1704" s="235"/>
      <c r="C1704" s="227"/>
      <c r="D1704" s="344"/>
      <c r="E1704" s="235"/>
      <c r="F1704" s="235"/>
      <c r="G1704" s="227"/>
      <c r="H1704" s="227"/>
      <c r="I1704" s="350"/>
      <c r="J1704" s="227"/>
      <c r="K1704" s="227"/>
      <c r="L1704" s="224"/>
      <c r="M1704" s="224"/>
      <c r="N1704" s="224"/>
      <c r="O1704" s="224"/>
      <c r="P1704" s="224"/>
      <c r="Q1704" s="224"/>
      <c r="R1704" s="224"/>
      <c r="S1704" s="224"/>
      <c r="T1704" s="224"/>
      <c r="U1704" s="224"/>
      <c r="V1704" s="224"/>
    </row>
    <row r="1705" spans="1:22" x14ac:dyDescent="0.3">
      <c r="A1705" s="222"/>
      <c r="B1705" s="235"/>
      <c r="C1705" s="227"/>
      <c r="D1705" s="344"/>
      <c r="E1705" s="235"/>
      <c r="F1705" s="235"/>
      <c r="G1705" s="227"/>
      <c r="H1705" s="227"/>
      <c r="I1705" s="350"/>
      <c r="J1705" s="227"/>
      <c r="K1705" s="227"/>
      <c r="L1705" s="224"/>
      <c r="M1705" s="224"/>
      <c r="N1705" s="224"/>
      <c r="O1705" s="224"/>
      <c r="P1705" s="224"/>
      <c r="Q1705" s="224"/>
      <c r="R1705" s="224"/>
      <c r="S1705" s="224"/>
      <c r="T1705" s="224"/>
      <c r="U1705" s="224"/>
      <c r="V1705" s="224"/>
    </row>
    <row r="1706" spans="1:22" x14ac:dyDescent="0.3">
      <c r="A1706" s="222"/>
      <c r="B1706" s="235"/>
      <c r="C1706" s="227"/>
      <c r="D1706" s="344"/>
      <c r="E1706" s="235"/>
      <c r="F1706" s="235"/>
      <c r="G1706" s="227"/>
      <c r="H1706" s="227"/>
      <c r="I1706" s="350"/>
      <c r="J1706" s="227"/>
      <c r="K1706" s="227"/>
      <c r="L1706" s="224"/>
      <c r="M1706" s="224"/>
      <c r="N1706" s="224"/>
      <c r="O1706" s="224"/>
      <c r="P1706" s="224"/>
      <c r="Q1706" s="224"/>
      <c r="R1706" s="224"/>
      <c r="S1706" s="224"/>
      <c r="T1706" s="224"/>
      <c r="U1706" s="224"/>
      <c r="V1706" s="224"/>
    </row>
    <row r="1707" spans="1:22" x14ac:dyDescent="0.3">
      <c r="A1707" s="222"/>
      <c r="B1707" s="235"/>
      <c r="C1707" s="227"/>
      <c r="D1707" s="344"/>
      <c r="E1707" s="235"/>
      <c r="F1707" s="235"/>
      <c r="G1707" s="227"/>
      <c r="H1707" s="227"/>
      <c r="I1707" s="350"/>
      <c r="J1707" s="227"/>
      <c r="K1707" s="227"/>
      <c r="L1707" s="224"/>
      <c r="M1707" s="224"/>
      <c r="N1707" s="224"/>
      <c r="O1707" s="224"/>
      <c r="P1707" s="224"/>
      <c r="Q1707" s="224"/>
      <c r="R1707" s="224"/>
      <c r="S1707" s="224"/>
      <c r="T1707" s="224"/>
      <c r="U1707" s="224"/>
      <c r="V1707" s="224"/>
    </row>
    <row r="1708" spans="1:22" x14ac:dyDescent="0.3">
      <c r="A1708" s="222"/>
      <c r="B1708" s="235"/>
      <c r="C1708" s="227"/>
      <c r="D1708" s="344"/>
      <c r="E1708" s="235"/>
      <c r="F1708" s="235"/>
      <c r="G1708" s="227"/>
      <c r="H1708" s="227"/>
      <c r="I1708" s="350"/>
      <c r="J1708" s="227"/>
      <c r="K1708" s="227"/>
      <c r="L1708" s="224"/>
      <c r="M1708" s="224"/>
      <c r="N1708" s="224"/>
      <c r="O1708" s="224"/>
      <c r="P1708" s="224"/>
      <c r="Q1708" s="224"/>
      <c r="R1708" s="224"/>
      <c r="S1708" s="224"/>
      <c r="T1708" s="224"/>
      <c r="U1708" s="224"/>
      <c r="V1708" s="224"/>
    </row>
    <row r="1709" spans="1:22" x14ac:dyDescent="0.3">
      <c r="A1709" s="222"/>
      <c r="B1709" s="235"/>
      <c r="C1709" s="227"/>
      <c r="D1709" s="344"/>
      <c r="E1709" s="235"/>
      <c r="F1709" s="235"/>
      <c r="G1709" s="227"/>
      <c r="H1709" s="227"/>
      <c r="I1709" s="350"/>
      <c r="J1709" s="227"/>
      <c r="K1709" s="227"/>
      <c r="L1709" s="224"/>
      <c r="M1709" s="224"/>
      <c r="N1709" s="224"/>
      <c r="O1709" s="224"/>
      <c r="P1709" s="224"/>
      <c r="Q1709" s="224"/>
      <c r="R1709" s="224"/>
      <c r="S1709" s="224"/>
      <c r="T1709" s="224"/>
      <c r="U1709" s="224"/>
      <c r="V1709" s="224"/>
    </row>
    <row r="1710" spans="1:22" x14ac:dyDescent="0.3">
      <c r="A1710" s="222"/>
      <c r="B1710" s="235"/>
      <c r="C1710" s="227"/>
      <c r="D1710" s="344"/>
      <c r="E1710" s="235"/>
      <c r="F1710" s="235"/>
      <c r="G1710" s="227"/>
      <c r="H1710" s="227"/>
      <c r="I1710" s="350"/>
      <c r="J1710" s="227"/>
      <c r="K1710" s="227"/>
      <c r="L1710" s="224"/>
      <c r="M1710" s="224"/>
      <c r="N1710" s="224"/>
      <c r="O1710" s="224"/>
      <c r="P1710" s="224"/>
      <c r="Q1710" s="224"/>
      <c r="R1710" s="224"/>
      <c r="S1710" s="224"/>
      <c r="T1710" s="224"/>
      <c r="U1710" s="224"/>
      <c r="V1710" s="224"/>
    </row>
    <row r="1711" spans="1:22" x14ac:dyDescent="0.3">
      <c r="A1711" s="222"/>
      <c r="B1711" s="235"/>
      <c r="C1711" s="227"/>
      <c r="D1711" s="344"/>
      <c r="E1711" s="235"/>
      <c r="F1711" s="235"/>
      <c r="G1711" s="227"/>
      <c r="H1711" s="227"/>
      <c r="I1711" s="350"/>
      <c r="J1711" s="227"/>
      <c r="K1711" s="227"/>
      <c r="L1711" s="224"/>
      <c r="M1711" s="224"/>
      <c r="N1711" s="224"/>
      <c r="O1711" s="224"/>
      <c r="P1711" s="224"/>
      <c r="Q1711" s="224"/>
      <c r="R1711" s="224"/>
      <c r="S1711" s="224"/>
      <c r="T1711" s="224"/>
      <c r="U1711" s="224"/>
      <c r="V1711" s="224"/>
    </row>
    <row r="1712" spans="1:22" x14ac:dyDescent="0.3">
      <c r="A1712" s="222"/>
      <c r="B1712" s="235"/>
      <c r="C1712" s="227"/>
      <c r="D1712" s="344"/>
      <c r="E1712" s="235"/>
      <c r="F1712" s="235"/>
      <c r="G1712" s="227"/>
      <c r="H1712" s="227"/>
      <c r="I1712" s="350"/>
      <c r="J1712" s="227"/>
      <c r="K1712" s="227"/>
      <c r="L1712" s="224"/>
      <c r="M1712" s="224"/>
      <c r="N1712" s="224"/>
      <c r="O1712" s="224"/>
      <c r="P1712" s="224"/>
      <c r="Q1712" s="224"/>
      <c r="R1712" s="224"/>
      <c r="S1712" s="224"/>
      <c r="T1712" s="224"/>
      <c r="U1712" s="224"/>
      <c r="V1712" s="224"/>
    </row>
    <row r="1713" spans="1:22" x14ac:dyDescent="0.3">
      <c r="A1713" s="222"/>
      <c r="B1713" s="235"/>
      <c r="C1713" s="227"/>
      <c r="D1713" s="344"/>
      <c r="E1713" s="235"/>
      <c r="F1713" s="235"/>
      <c r="G1713" s="227"/>
      <c r="H1713" s="227"/>
      <c r="I1713" s="350"/>
      <c r="J1713" s="227"/>
      <c r="K1713" s="227"/>
      <c r="L1713" s="224"/>
      <c r="M1713" s="224"/>
      <c r="N1713" s="224"/>
      <c r="O1713" s="224"/>
      <c r="P1713" s="224"/>
      <c r="Q1713" s="224"/>
      <c r="R1713" s="224"/>
      <c r="S1713" s="224"/>
      <c r="T1713" s="224"/>
      <c r="U1713" s="224"/>
      <c r="V1713" s="224"/>
    </row>
    <row r="1714" spans="1:22" x14ac:dyDescent="0.3">
      <c r="A1714" s="222"/>
      <c r="B1714" s="235"/>
      <c r="C1714" s="227"/>
      <c r="D1714" s="344"/>
      <c r="E1714" s="235"/>
      <c r="F1714" s="235"/>
      <c r="G1714" s="227"/>
      <c r="H1714" s="227"/>
      <c r="I1714" s="350"/>
      <c r="J1714" s="227"/>
      <c r="K1714" s="227"/>
      <c r="L1714" s="224"/>
      <c r="M1714" s="224"/>
      <c r="N1714" s="224"/>
      <c r="O1714" s="224"/>
      <c r="P1714" s="224"/>
      <c r="Q1714" s="224"/>
      <c r="R1714" s="224"/>
      <c r="S1714" s="224"/>
      <c r="T1714" s="224"/>
      <c r="U1714" s="224"/>
      <c r="V1714" s="224"/>
    </row>
    <row r="1715" spans="1:22" x14ac:dyDescent="0.3">
      <c r="A1715" s="222"/>
      <c r="B1715" s="235"/>
      <c r="C1715" s="227"/>
      <c r="D1715" s="344"/>
      <c r="E1715" s="235"/>
      <c r="F1715" s="235"/>
      <c r="G1715" s="227"/>
      <c r="H1715" s="227"/>
      <c r="I1715" s="350"/>
      <c r="J1715" s="227"/>
      <c r="K1715" s="227"/>
      <c r="L1715" s="224"/>
      <c r="M1715" s="224"/>
      <c r="N1715" s="224"/>
      <c r="O1715" s="224"/>
      <c r="P1715" s="224"/>
      <c r="Q1715" s="224"/>
      <c r="R1715" s="224"/>
      <c r="S1715" s="224"/>
      <c r="T1715" s="224"/>
      <c r="U1715" s="224"/>
      <c r="V1715" s="224"/>
    </row>
    <row r="1716" spans="1:22" x14ac:dyDescent="0.3">
      <c r="A1716" s="222"/>
      <c r="B1716" s="235"/>
      <c r="C1716" s="227"/>
      <c r="D1716" s="344"/>
      <c r="E1716" s="235"/>
      <c r="F1716" s="235"/>
      <c r="G1716" s="227"/>
      <c r="H1716" s="227"/>
      <c r="I1716" s="350"/>
      <c r="J1716" s="227"/>
      <c r="K1716" s="227"/>
      <c r="L1716" s="224"/>
      <c r="M1716" s="224"/>
      <c r="N1716" s="224"/>
      <c r="O1716" s="224"/>
      <c r="P1716" s="224"/>
      <c r="Q1716" s="224"/>
      <c r="R1716" s="224"/>
      <c r="S1716" s="224"/>
      <c r="T1716" s="224"/>
      <c r="U1716" s="224"/>
      <c r="V1716" s="224"/>
    </row>
    <row r="1717" spans="1:22" x14ac:dyDescent="0.3">
      <c r="A1717" s="222"/>
      <c r="B1717" s="235"/>
      <c r="C1717" s="227"/>
      <c r="D1717" s="344"/>
      <c r="E1717" s="235"/>
      <c r="F1717" s="235"/>
      <c r="G1717" s="227"/>
      <c r="H1717" s="227"/>
      <c r="I1717" s="350"/>
      <c r="J1717" s="227"/>
      <c r="K1717" s="227"/>
      <c r="L1717" s="224"/>
      <c r="M1717" s="224"/>
      <c r="N1717" s="224"/>
      <c r="O1717" s="224"/>
      <c r="P1717" s="224"/>
      <c r="Q1717" s="224"/>
      <c r="R1717" s="224"/>
      <c r="S1717" s="224"/>
      <c r="T1717" s="224"/>
      <c r="U1717" s="224"/>
      <c r="V1717" s="224"/>
    </row>
    <row r="1718" spans="1:22" x14ac:dyDescent="0.3">
      <c r="A1718" s="222"/>
      <c r="B1718" s="235"/>
      <c r="C1718" s="227"/>
      <c r="D1718" s="344"/>
      <c r="E1718" s="235"/>
      <c r="F1718" s="235"/>
      <c r="G1718" s="227"/>
      <c r="H1718" s="227"/>
      <c r="I1718" s="350"/>
      <c r="J1718" s="227"/>
      <c r="K1718" s="227"/>
      <c r="L1718" s="224"/>
      <c r="M1718" s="224"/>
      <c r="N1718" s="224"/>
      <c r="O1718" s="224"/>
      <c r="P1718" s="224"/>
      <c r="Q1718" s="224"/>
      <c r="R1718" s="224"/>
      <c r="S1718" s="224"/>
      <c r="T1718" s="224"/>
      <c r="U1718" s="224"/>
      <c r="V1718" s="224"/>
    </row>
    <row r="1719" spans="1:22" x14ac:dyDescent="0.3">
      <c r="A1719" s="222"/>
      <c r="B1719" s="235"/>
      <c r="C1719" s="227"/>
      <c r="D1719" s="344"/>
      <c r="E1719" s="235"/>
      <c r="F1719" s="235"/>
      <c r="G1719" s="227"/>
      <c r="H1719" s="227"/>
      <c r="I1719" s="350"/>
      <c r="J1719" s="227"/>
      <c r="K1719" s="227"/>
      <c r="L1719" s="224"/>
      <c r="M1719" s="224"/>
      <c r="N1719" s="224"/>
      <c r="O1719" s="224"/>
      <c r="P1719" s="224"/>
      <c r="Q1719" s="224"/>
      <c r="R1719" s="224"/>
      <c r="S1719" s="224"/>
      <c r="T1719" s="224"/>
      <c r="U1719" s="224"/>
      <c r="V1719" s="224"/>
    </row>
    <row r="1720" spans="1:22" x14ac:dyDescent="0.3">
      <c r="A1720" s="222"/>
      <c r="B1720" s="235"/>
      <c r="C1720" s="227"/>
      <c r="D1720" s="344"/>
      <c r="E1720" s="235"/>
      <c r="F1720" s="235"/>
      <c r="G1720" s="227"/>
      <c r="H1720" s="227"/>
      <c r="I1720" s="350"/>
      <c r="J1720" s="227"/>
      <c r="K1720" s="227"/>
      <c r="L1720" s="224"/>
      <c r="M1720" s="224"/>
      <c r="N1720" s="224"/>
      <c r="O1720" s="224"/>
      <c r="P1720" s="224"/>
      <c r="Q1720" s="224"/>
      <c r="R1720" s="224"/>
      <c r="S1720" s="224"/>
      <c r="T1720" s="224"/>
      <c r="U1720" s="224"/>
      <c r="V1720" s="224"/>
    </row>
    <row r="1721" spans="1:22" x14ac:dyDescent="0.3">
      <c r="A1721" s="222"/>
      <c r="B1721" s="235"/>
      <c r="C1721" s="227"/>
      <c r="D1721" s="344"/>
      <c r="E1721" s="235"/>
      <c r="F1721" s="235"/>
      <c r="G1721" s="227"/>
      <c r="H1721" s="227"/>
      <c r="I1721" s="350"/>
      <c r="J1721" s="227"/>
      <c r="K1721" s="227"/>
      <c r="L1721" s="224"/>
      <c r="M1721" s="224"/>
      <c r="N1721" s="224"/>
      <c r="O1721" s="224"/>
      <c r="P1721" s="224"/>
      <c r="Q1721" s="224"/>
      <c r="R1721" s="224"/>
      <c r="S1721" s="224"/>
      <c r="T1721" s="224"/>
      <c r="U1721" s="224"/>
      <c r="V1721" s="224"/>
    </row>
    <row r="1722" spans="1:22" x14ac:dyDescent="0.3">
      <c r="A1722" s="222"/>
      <c r="B1722" s="235"/>
      <c r="C1722" s="227"/>
      <c r="D1722" s="344"/>
      <c r="E1722" s="235"/>
      <c r="F1722" s="235"/>
      <c r="G1722" s="227"/>
      <c r="H1722" s="227"/>
      <c r="I1722" s="350"/>
      <c r="J1722" s="227"/>
      <c r="K1722" s="227"/>
      <c r="L1722" s="224"/>
      <c r="M1722" s="224"/>
      <c r="N1722" s="224"/>
      <c r="O1722" s="224"/>
      <c r="P1722" s="224"/>
      <c r="Q1722" s="224"/>
      <c r="R1722" s="224"/>
      <c r="S1722" s="224"/>
      <c r="T1722" s="224"/>
      <c r="U1722" s="224"/>
      <c r="V1722" s="224"/>
    </row>
    <row r="1723" spans="1:22" x14ac:dyDescent="0.3">
      <c r="A1723" s="222"/>
      <c r="B1723" s="235"/>
      <c r="C1723" s="227"/>
      <c r="D1723" s="344"/>
      <c r="E1723" s="235"/>
      <c r="F1723" s="235"/>
      <c r="G1723" s="227"/>
      <c r="H1723" s="227"/>
      <c r="I1723" s="350"/>
      <c r="J1723" s="227"/>
      <c r="K1723" s="227"/>
      <c r="L1723" s="224"/>
      <c r="M1723" s="224"/>
      <c r="N1723" s="224"/>
      <c r="O1723" s="224"/>
      <c r="P1723" s="224"/>
      <c r="Q1723" s="224"/>
      <c r="R1723" s="224"/>
      <c r="S1723" s="224"/>
      <c r="T1723" s="224"/>
      <c r="U1723" s="224"/>
      <c r="V1723" s="224"/>
    </row>
    <row r="1724" spans="1:22" x14ac:dyDescent="0.3">
      <c r="A1724" s="222"/>
      <c r="B1724" s="235"/>
      <c r="C1724" s="227"/>
      <c r="D1724" s="344"/>
      <c r="E1724" s="235"/>
      <c r="F1724" s="235"/>
      <c r="G1724" s="227"/>
      <c r="H1724" s="227"/>
      <c r="I1724" s="350"/>
      <c r="J1724" s="227"/>
      <c r="K1724" s="227"/>
      <c r="L1724" s="224"/>
      <c r="M1724" s="224"/>
      <c r="N1724" s="224"/>
      <c r="O1724" s="224"/>
      <c r="P1724" s="224"/>
      <c r="Q1724" s="224"/>
      <c r="R1724" s="224"/>
      <c r="S1724" s="224"/>
      <c r="T1724" s="224"/>
      <c r="U1724" s="224"/>
      <c r="V1724" s="224"/>
    </row>
    <row r="1725" spans="1:22" x14ac:dyDescent="0.3">
      <c r="A1725" s="222"/>
      <c r="B1725" s="235"/>
      <c r="C1725" s="227"/>
      <c r="D1725" s="344"/>
      <c r="E1725" s="235"/>
      <c r="F1725" s="235"/>
      <c r="G1725" s="227"/>
      <c r="H1725" s="227"/>
      <c r="I1725" s="350"/>
      <c r="J1725" s="227"/>
      <c r="K1725" s="227"/>
      <c r="L1725" s="224"/>
      <c r="M1725" s="224"/>
      <c r="N1725" s="224"/>
      <c r="O1725" s="224"/>
      <c r="P1725" s="224"/>
      <c r="Q1725" s="224"/>
      <c r="R1725" s="224"/>
      <c r="S1725" s="224"/>
      <c r="T1725" s="224"/>
      <c r="U1725" s="224"/>
      <c r="V1725" s="224"/>
    </row>
    <row r="1726" spans="1:22" x14ac:dyDescent="0.3">
      <c r="A1726" s="222"/>
      <c r="B1726" s="235"/>
      <c r="C1726" s="227"/>
      <c r="D1726" s="344"/>
      <c r="E1726" s="235"/>
      <c r="F1726" s="235"/>
      <c r="G1726" s="227"/>
      <c r="H1726" s="227"/>
      <c r="I1726" s="350"/>
      <c r="J1726" s="227"/>
      <c r="K1726" s="227"/>
      <c r="L1726" s="224"/>
      <c r="M1726" s="224"/>
      <c r="N1726" s="224"/>
      <c r="O1726" s="224"/>
      <c r="P1726" s="224"/>
      <c r="Q1726" s="224"/>
      <c r="R1726" s="224"/>
      <c r="S1726" s="224"/>
      <c r="T1726" s="224"/>
      <c r="U1726" s="224"/>
      <c r="V1726" s="224"/>
    </row>
    <row r="1727" spans="1:22" x14ac:dyDescent="0.3">
      <c r="A1727" s="222"/>
      <c r="B1727" s="235"/>
      <c r="C1727" s="227"/>
      <c r="D1727" s="344"/>
      <c r="E1727" s="235"/>
      <c r="F1727" s="235"/>
      <c r="G1727" s="227"/>
      <c r="H1727" s="227"/>
      <c r="I1727" s="350"/>
      <c r="J1727" s="227"/>
      <c r="K1727" s="227"/>
      <c r="L1727" s="224"/>
      <c r="M1727" s="224"/>
      <c r="N1727" s="224"/>
      <c r="O1727" s="224"/>
      <c r="P1727" s="224"/>
      <c r="Q1727" s="224"/>
      <c r="R1727" s="224"/>
      <c r="S1727" s="224"/>
      <c r="T1727" s="224"/>
      <c r="U1727" s="224"/>
      <c r="V1727" s="224"/>
    </row>
    <row r="1728" spans="1:22" x14ac:dyDescent="0.3">
      <c r="A1728" s="222"/>
      <c r="B1728" s="235"/>
      <c r="C1728" s="227"/>
      <c r="D1728" s="344"/>
      <c r="E1728" s="235"/>
      <c r="F1728" s="235"/>
      <c r="G1728" s="227"/>
      <c r="H1728" s="227"/>
      <c r="I1728" s="350"/>
      <c r="J1728" s="227"/>
      <c r="K1728" s="227"/>
      <c r="L1728" s="224"/>
      <c r="M1728" s="224"/>
      <c r="N1728" s="224"/>
      <c r="O1728" s="224"/>
      <c r="P1728" s="224"/>
      <c r="Q1728" s="224"/>
      <c r="R1728" s="224"/>
      <c r="S1728" s="224"/>
      <c r="T1728" s="224"/>
      <c r="U1728" s="224"/>
      <c r="V1728" s="224"/>
    </row>
    <row r="1729" spans="1:22" x14ac:dyDescent="0.3">
      <c r="A1729" s="222"/>
      <c r="B1729" s="235"/>
      <c r="C1729" s="227"/>
      <c r="D1729" s="344"/>
      <c r="E1729" s="235"/>
      <c r="F1729" s="235"/>
      <c r="G1729" s="227"/>
      <c r="H1729" s="227"/>
      <c r="I1729" s="350"/>
      <c r="J1729" s="227"/>
      <c r="K1729" s="227"/>
      <c r="L1729" s="224"/>
      <c r="M1729" s="224"/>
      <c r="N1729" s="224"/>
      <c r="O1729" s="224"/>
      <c r="P1729" s="224"/>
      <c r="Q1729" s="224"/>
      <c r="R1729" s="224"/>
      <c r="S1729" s="224"/>
      <c r="T1729" s="224"/>
      <c r="U1729" s="224"/>
      <c r="V1729" s="224"/>
    </row>
    <row r="1730" spans="1:22" x14ac:dyDescent="0.3">
      <c r="A1730" s="222"/>
      <c r="B1730" s="235"/>
      <c r="C1730" s="227"/>
      <c r="D1730" s="344"/>
      <c r="E1730" s="235"/>
      <c r="F1730" s="235"/>
      <c r="G1730" s="227"/>
      <c r="H1730" s="227"/>
      <c r="I1730" s="350"/>
      <c r="J1730" s="227"/>
      <c r="K1730" s="227"/>
      <c r="L1730" s="224"/>
      <c r="M1730" s="224"/>
      <c r="N1730" s="224"/>
      <c r="O1730" s="224"/>
      <c r="P1730" s="224"/>
      <c r="Q1730" s="224"/>
      <c r="R1730" s="224"/>
      <c r="S1730" s="224"/>
      <c r="T1730" s="224"/>
      <c r="U1730" s="224"/>
      <c r="V1730" s="224"/>
    </row>
    <row r="1731" spans="1:22" x14ac:dyDescent="0.3">
      <c r="A1731" s="222"/>
      <c r="B1731" s="235"/>
      <c r="C1731" s="227"/>
      <c r="D1731" s="344"/>
      <c r="E1731" s="235"/>
      <c r="F1731" s="235"/>
      <c r="G1731" s="227"/>
      <c r="H1731" s="227"/>
      <c r="I1731" s="350"/>
      <c r="J1731" s="227"/>
      <c r="K1731" s="227"/>
      <c r="L1731" s="224"/>
      <c r="M1731" s="224"/>
      <c r="N1731" s="224"/>
      <c r="O1731" s="224"/>
      <c r="P1731" s="224"/>
      <c r="Q1731" s="224"/>
      <c r="R1731" s="224"/>
      <c r="S1731" s="224"/>
      <c r="T1731" s="224"/>
      <c r="U1731" s="224"/>
      <c r="V1731" s="224"/>
    </row>
    <row r="1732" spans="1:22" x14ac:dyDescent="0.3">
      <c r="A1732" s="222"/>
      <c r="B1732" s="235"/>
      <c r="C1732" s="227"/>
      <c r="D1732" s="344"/>
      <c r="E1732" s="235"/>
      <c r="F1732" s="235"/>
      <c r="G1732" s="227"/>
      <c r="H1732" s="227"/>
      <c r="I1732" s="350"/>
      <c r="J1732" s="227"/>
      <c r="K1732" s="227"/>
      <c r="L1732" s="224"/>
      <c r="M1732" s="224"/>
      <c r="N1732" s="224"/>
      <c r="O1732" s="224"/>
      <c r="P1732" s="224"/>
      <c r="Q1732" s="224"/>
      <c r="R1732" s="224"/>
      <c r="S1732" s="224"/>
      <c r="T1732" s="224"/>
      <c r="U1732" s="224"/>
      <c r="V1732" s="224"/>
    </row>
    <row r="1733" spans="1:22" x14ac:dyDescent="0.3">
      <c r="A1733" s="222"/>
      <c r="B1733" s="235"/>
      <c r="C1733" s="227"/>
      <c r="D1733" s="344"/>
      <c r="E1733" s="235"/>
      <c r="F1733" s="235"/>
      <c r="G1733" s="227"/>
      <c r="H1733" s="227"/>
      <c r="I1733" s="350"/>
      <c r="J1733" s="227"/>
      <c r="K1733" s="227"/>
      <c r="L1733" s="224"/>
      <c r="M1733" s="224"/>
      <c r="N1733" s="224"/>
      <c r="O1733" s="224"/>
      <c r="P1733" s="224"/>
      <c r="Q1733" s="224"/>
      <c r="R1733" s="224"/>
      <c r="S1733" s="224"/>
      <c r="T1733" s="224"/>
      <c r="U1733" s="224"/>
      <c r="V1733" s="224"/>
    </row>
    <row r="1734" spans="1:22" x14ac:dyDescent="0.3">
      <c r="A1734" s="222"/>
      <c r="B1734" s="235"/>
      <c r="C1734" s="227"/>
      <c r="D1734" s="344"/>
      <c r="E1734" s="235"/>
      <c r="F1734" s="235"/>
      <c r="G1734" s="227"/>
      <c r="H1734" s="227"/>
      <c r="I1734" s="350"/>
      <c r="J1734" s="227"/>
      <c r="K1734" s="227"/>
      <c r="L1734" s="224"/>
      <c r="M1734" s="224"/>
      <c r="N1734" s="224"/>
      <c r="O1734" s="224"/>
      <c r="P1734" s="224"/>
      <c r="Q1734" s="224"/>
      <c r="R1734" s="224"/>
      <c r="S1734" s="224"/>
      <c r="T1734" s="224"/>
      <c r="U1734" s="224"/>
      <c r="V1734" s="224"/>
    </row>
    <row r="1735" spans="1:22" x14ac:dyDescent="0.3">
      <c r="A1735" s="222"/>
      <c r="B1735" s="235"/>
      <c r="C1735" s="227"/>
      <c r="D1735" s="344"/>
      <c r="E1735" s="235"/>
      <c r="F1735" s="235"/>
      <c r="G1735" s="227"/>
      <c r="H1735" s="227"/>
      <c r="I1735" s="350"/>
      <c r="J1735" s="227"/>
      <c r="K1735" s="227"/>
      <c r="L1735" s="224"/>
      <c r="M1735" s="224"/>
      <c r="N1735" s="224"/>
      <c r="O1735" s="224"/>
      <c r="P1735" s="224"/>
      <c r="Q1735" s="224"/>
      <c r="R1735" s="224"/>
      <c r="S1735" s="224"/>
      <c r="T1735" s="224"/>
      <c r="U1735" s="224"/>
      <c r="V1735" s="224"/>
    </row>
    <row r="1736" spans="1:22" x14ac:dyDescent="0.3">
      <c r="A1736" s="222"/>
      <c r="B1736" s="235"/>
      <c r="C1736" s="227"/>
      <c r="D1736" s="344"/>
      <c r="E1736" s="235"/>
      <c r="F1736" s="235"/>
      <c r="G1736" s="227"/>
      <c r="H1736" s="227"/>
      <c r="I1736" s="350"/>
      <c r="J1736" s="227"/>
      <c r="K1736" s="227"/>
      <c r="L1736" s="224"/>
      <c r="M1736" s="224"/>
      <c r="N1736" s="224"/>
      <c r="O1736" s="224"/>
      <c r="P1736" s="224"/>
      <c r="Q1736" s="224"/>
      <c r="R1736" s="224"/>
      <c r="S1736" s="224"/>
      <c r="T1736" s="224"/>
      <c r="U1736" s="224"/>
      <c r="V1736" s="224"/>
    </row>
    <row r="1737" spans="1:22" x14ac:dyDescent="0.3">
      <c r="A1737" s="222"/>
      <c r="B1737" s="235"/>
      <c r="C1737" s="227"/>
      <c r="D1737" s="344"/>
      <c r="E1737" s="235"/>
      <c r="F1737" s="235"/>
      <c r="G1737" s="227"/>
      <c r="H1737" s="227"/>
      <c r="I1737" s="350"/>
      <c r="J1737" s="227"/>
      <c r="K1737" s="227"/>
      <c r="L1737" s="224"/>
      <c r="M1737" s="224"/>
      <c r="N1737" s="224"/>
      <c r="O1737" s="224"/>
      <c r="P1737" s="224"/>
      <c r="Q1737" s="224"/>
      <c r="R1737" s="224"/>
      <c r="S1737" s="224"/>
      <c r="T1737" s="224"/>
      <c r="U1737" s="224"/>
      <c r="V1737" s="224"/>
    </row>
    <row r="1738" spans="1:22" x14ac:dyDescent="0.3">
      <c r="A1738" s="222"/>
      <c r="B1738" s="235"/>
      <c r="C1738" s="227"/>
      <c r="D1738" s="344"/>
      <c r="E1738" s="235"/>
      <c r="F1738" s="235"/>
      <c r="G1738" s="227"/>
      <c r="H1738" s="227"/>
      <c r="I1738" s="350"/>
      <c r="J1738" s="227"/>
      <c r="K1738" s="227"/>
      <c r="L1738" s="224"/>
      <c r="M1738" s="224"/>
      <c r="N1738" s="224"/>
      <c r="O1738" s="224"/>
      <c r="P1738" s="224"/>
      <c r="Q1738" s="224"/>
      <c r="R1738" s="224"/>
      <c r="S1738" s="224"/>
      <c r="T1738" s="224"/>
      <c r="U1738" s="224"/>
      <c r="V1738" s="224"/>
    </row>
    <row r="1739" spans="1:22" x14ac:dyDescent="0.3">
      <c r="A1739" s="222"/>
      <c r="B1739" s="235"/>
      <c r="C1739" s="227"/>
      <c r="D1739" s="344"/>
      <c r="E1739" s="235"/>
      <c r="F1739" s="235"/>
      <c r="G1739" s="227"/>
      <c r="H1739" s="227"/>
      <c r="I1739" s="350"/>
      <c r="J1739" s="227"/>
      <c r="K1739" s="227"/>
      <c r="L1739" s="224"/>
      <c r="M1739" s="224"/>
      <c r="N1739" s="224"/>
      <c r="O1739" s="224"/>
      <c r="P1739" s="224"/>
      <c r="Q1739" s="224"/>
      <c r="R1739" s="224"/>
      <c r="S1739" s="224"/>
      <c r="T1739" s="224"/>
      <c r="U1739" s="224"/>
      <c r="V1739" s="224"/>
    </row>
    <row r="1740" spans="1:22" x14ac:dyDescent="0.3">
      <c r="A1740" s="222"/>
      <c r="B1740" s="235"/>
      <c r="C1740" s="227"/>
      <c r="D1740" s="344"/>
      <c r="E1740" s="235"/>
      <c r="F1740" s="235"/>
      <c r="G1740" s="227"/>
      <c r="H1740" s="227"/>
      <c r="I1740" s="350"/>
      <c r="J1740" s="227"/>
      <c r="K1740" s="227"/>
      <c r="L1740" s="224"/>
      <c r="M1740" s="224"/>
      <c r="N1740" s="224"/>
      <c r="O1740" s="224"/>
      <c r="P1740" s="224"/>
      <c r="Q1740" s="224"/>
      <c r="R1740" s="224"/>
      <c r="S1740" s="224"/>
      <c r="T1740" s="224"/>
      <c r="U1740" s="224"/>
      <c r="V1740" s="224"/>
    </row>
    <row r="1741" spans="1:22" x14ac:dyDescent="0.3">
      <c r="A1741" s="222"/>
      <c r="B1741" s="235"/>
      <c r="C1741" s="227"/>
      <c r="D1741" s="344"/>
      <c r="E1741" s="235"/>
      <c r="F1741" s="235"/>
      <c r="G1741" s="227"/>
      <c r="H1741" s="227"/>
      <c r="I1741" s="350"/>
      <c r="J1741" s="227"/>
      <c r="K1741" s="227"/>
      <c r="L1741" s="224"/>
      <c r="M1741" s="224"/>
      <c r="N1741" s="224"/>
      <c r="O1741" s="224"/>
      <c r="P1741" s="224"/>
      <c r="Q1741" s="224"/>
      <c r="R1741" s="224"/>
      <c r="S1741" s="224"/>
      <c r="T1741" s="224"/>
      <c r="U1741" s="224"/>
      <c r="V1741" s="224"/>
    </row>
    <row r="1742" spans="1:22" x14ac:dyDescent="0.3">
      <c r="A1742" s="222"/>
      <c r="B1742" s="235"/>
      <c r="C1742" s="227"/>
      <c r="D1742" s="344"/>
      <c r="E1742" s="235"/>
      <c r="F1742" s="235"/>
      <c r="G1742" s="227"/>
      <c r="H1742" s="227"/>
      <c r="I1742" s="350"/>
      <c r="J1742" s="227"/>
      <c r="K1742" s="227"/>
      <c r="L1742" s="224"/>
      <c r="M1742" s="224"/>
      <c r="N1742" s="224"/>
      <c r="O1742" s="224"/>
      <c r="P1742" s="224"/>
      <c r="Q1742" s="224"/>
      <c r="R1742" s="224"/>
      <c r="S1742" s="224"/>
      <c r="T1742" s="224"/>
      <c r="U1742" s="224"/>
      <c r="V1742" s="224"/>
    </row>
    <row r="1743" spans="1:22" x14ac:dyDescent="0.3">
      <c r="A1743" s="222"/>
      <c r="B1743" s="235"/>
      <c r="C1743" s="227"/>
      <c r="D1743" s="344"/>
      <c r="E1743" s="235"/>
      <c r="F1743" s="235"/>
      <c r="G1743" s="227"/>
      <c r="H1743" s="227"/>
      <c r="I1743" s="350"/>
      <c r="J1743" s="227"/>
      <c r="K1743" s="227"/>
      <c r="L1743" s="224"/>
      <c r="M1743" s="224"/>
      <c r="N1743" s="224"/>
      <c r="O1743" s="224"/>
      <c r="P1743" s="224"/>
      <c r="Q1743" s="224"/>
      <c r="R1743" s="224"/>
      <c r="S1743" s="224"/>
      <c r="T1743" s="224"/>
      <c r="U1743" s="224"/>
      <c r="V1743" s="224"/>
    </row>
    <row r="1744" spans="1:22" x14ac:dyDescent="0.3">
      <c r="A1744" s="222"/>
      <c r="B1744" s="235"/>
      <c r="C1744" s="227"/>
      <c r="D1744" s="344"/>
      <c r="E1744" s="235"/>
      <c r="F1744" s="235"/>
      <c r="G1744" s="227"/>
      <c r="H1744" s="227"/>
      <c r="I1744" s="350"/>
      <c r="J1744" s="227"/>
      <c r="K1744" s="227"/>
      <c r="L1744" s="224"/>
      <c r="M1744" s="224"/>
      <c r="N1744" s="224"/>
      <c r="O1744" s="224"/>
      <c r="P1744" s="224"/>
      <c r="Q1744" s="224"/>
      <c r="R1744" s="224"/>
      <c r="S1744" s="224"/>
      <c r="T1744" s="224"/>
      <c r="U1744" s="224"/>
      <c r="V1744" s="224"/>
    </row>
    <row r="1745" spans="1:22" x14ac:dyDescent="0.3">
      <c r="A1745" s="222"/>
      <c r="B1745" s="235"/>
      <c r="C1745" s="227"/>
      <c r="D1745" s="344"/>
      <c r="E1745" s="235"/>
      <c r="F1745" s="235"/>
      <c r="G1745" s="227"/>
      <c r="H1745" s="227"/>
      <c r="I1745" s="350"/>
      <c r="J1745" s="227"/>
      <c r="K1745" s="227"/>
      <c r="L1745" s="224"/>
      <c r="M1745" s="224"/>
      <c r="N1745" s="224"/>
      <c r="O1745" s="224"/>
      <c r="P1745" s="224"/>
      <c r="Q1745" s="224"/>
      <c r="R1745" s="224"/>
      <c r="S1745" s="224"/>
      <c r="T1745" s="224"/>
      <c r="U1745" s="224"/>
      <c r="V1745" s="224"/>
    </row>
    <row r="1746" spans="1:22" x14ac:dyDescent="0.3">
      <c r="A1746" s="222"/>
      <c r="B1746" s="235"/>
      <c r="C1746" s="227"/>
      <c r="D1746" s="344"/>
      <c r="E1746" s="235"/>
      <c r="F1746" s="235"/>
      <c r="G1746" s="227"/>
      <c r="H1746" s="227"/>
      <c r="I1746" s="350"/>
      <c r="J1746" s="227"/>
      <c r="K1746" s="227"/>
      <c r="L1746" s="224"/>
      <c r="M1746" s="224"/>
      <c r="N1746" s="224"/>
      <c r="O1746" s="224"/>
      <c r="P1746" s="224"/>
      <c r="Q1746" s="224"/>
      <c r="R1746" s="224"/>
      <c r="S1746" s="224"/>
      <c r="T1746" s="224"/>
      <c r="U1746" s="224"/>
      <c r="V1746" s="224"/>
    </row>
    <row r="1747" spans="1:22" x14ac:dyDescent="0.3">
      <c r="A1747" s="222"/>
      <c r="B1747" s="235"/>
      <c r="C1747" s="227"/>
      <c r="D1747" s="344"/>
      <c r="E1747" s="235"/>
      <c r="F1747" s="235"/>
      <c r="G1747" s="227"/>
      <c r="H1747" s="227"/>
      <c r="I1747" s="350"/>
      <c r="J1747" s="227"/>
      <c r="K1747" s="227"/>
      <c r="L1747" s="224"/>
      <c r="M1747" s="224"/>
      <c r="N1747" s="224"/>
      <c r="O1747" s="224"/>
      <c r="P1747" s="224"/>
      <c r="Q1747" s="224"/>
      <c r="R1747" s="224"/>
      <c r="S1747" s="224"/>
      <c r="T1747" s="224"/>
      <c r="U1747" s="224"/>
      <c r="V1747" s="224"/>
    </row>
    <row r="1748" spans="1:22" x14ac:dyDescent="0.3">
      <c r="A1748" s="222"/>
      <c r="B1748" s="235"/>
      <c r="C1748" s="227"/>
      <c r="D1748" s="344"/>
      <c r="E1748" s="235"/>
      <c r="F1748" s="235"/>
      <c r="G1748" s="227"/>
      <c r="H1748" s="227"/>
      <c r="I1748" s="350"/>
      <c r="J1748" s="227"/>
      <c r="K1748" s="227"/>
      <c r="L1748" s="224"/>
      <c r="M1748" s="224"/>
      <c r="N1748" s="224"/>
      <c r="O1748" s="224"/>
      <c r="P1748" s="224"/>
      <c r="Q1748" s="224"/>
      <c r="R1748" s="224"/>
      <c r="S1748" s="224"/>
      <c r="T1748" s="224"/>
      <c r="U1748" s="224"/>
      <c r="V1748" s="224"/>
    </row>
    <row r="1749" spans="1:22" x14ac:dyDescent="0.3">
      <c r="A1749" s="222"/>
      <c r="B1749" s="235"/>
      <c r="C1749" s="227"/>
      <c r="D1749" s="344"/>
      <c r="E1749" s="235"/>
      <c r="F1749" s="235"/>
      <c r="G1749" s="227"/>
      <c r="H1749" s="227"/>
      <c r="I1749" s="350"/>
      <c r="J1749" s="227"/>
      <c r="K1749" s="227"/>
      <c r="L1749" s="224"/>
      <c r="M1749" s="224"/>
      <c r="N1749" s="224"/>
      <c r="O1749" s="224"/>
      <c r="P1749" s="224"/>
      <c r="Q1749" s="224"/>
      <c r="R1749" s="224"/>
      <c r="S1749" s="224"/>
      <c r="T1749" s="224"/>
      <c r="U1749" s="224"/>
      <c r="V1749" s="224"/>
    </row>
    <row r="1750" spans="1:22" x14ac:dyDescent="0.3">
      <c r="A1750" s="222"/>
      <c r="B1750" s="235"/>
      <c r="C1750" s="227"/>
      <c r="D1750" s="344"/>
      <c r="E1750" s="235"/>
      <c r="F1750" s="235"/>
      <c r="G1750" s="227"/>
      <c r="H1750" s="227"/>
      <c r="I1750" s="350"/>
      <c r="J1750" s="227"/>
      <c r="K1750" s="227"/>
      <c r="L1750" s="224"/>
      <c r="M1750" s="224"/>
      <c r="N1750" s="224"/>
      <c r="O1750" s="224"/>
      <c r="P1750" s="224"/>
      <c r="Q1750" s="224"/>
      <c r="R1750" s="224"/>
      <c r="S1750" s="224"/>
      <c r="T1750" s="224"/>
      <c r="U1750" s="224"/>
      <c r="V1750" s="224"/>
    </row>
    <row r="1751" spans="1:22" x14ac:dyDescent="0.3">
      <c r="A1751" s="222"/>
      <c r="B1751" s="235"/>
      <c r="C1751" s="227"/>
      <c r="D1751" s="344"/>
      <c r="E1751" s="235"/>
      <c r="F1751" s="235"/>
      <c r="G1751" s="227"/>
      <c r="H1751" s="227"/>
      <c r="I1751" s="350"/>
      <c r="J1751" s="227"/>
      <c r="K1751" s="227"/>
      <c r="L1751" s="224"/>
      <c r="M1751" s="224"/>
      <c r="N1751" s="224"/>
      <c r="O1751" s="224"/>
      <c r="P1751" s="224"/>
      <c r="Q1751" s="224"/>
      <c r="R1751" s="224"/>
      <c r="S1751" s="224"/>
      <c r="T1751" s="224"/>
      <c r="U1751" s="224"/>
      <c r="V1751" s="224"/>
    </row>
    <row r="1752" spans="1:22" x14ac:dyDescent="0.3">
      <c r="A1752" s="222"/>
      <c r="B1752" s="235"/>
      <c r="C1752" s="227"/>
      <c r="D1752" s="344"/>
      <c r="E1752" s="235"/>
      <c r="F1752" s="235"/>
      <c r="G1752" s="227"/>
      <c r="H1752" s="227"/>
      <c r="I1752" s="350"/>
      <c r="J1752" s="227"/>
      <c r="K1752" s="227"/>
      <c r="L1752" s="224"/>
      <c r="M1752" s="224"/>
      <c r="N1752" s="224"/>
      <c r="O1752" s="224"/>
      <c r="P1752" s="224"/>
      <c r="Q1752" s="224"/>
      <c r="R1752" s="224"/>
      <c r="S1752" s="224"/>
      <c r="T1752" s="224"/>
      <c r="U1752" s="224"/>
      <c r="V1752" s="224"/>
    </row>
    <row r="1753" spans="1:22" x14ac:dyDescent="0.3">
      <c r="A1753" s="222"/>
      <c r="B1753" s="235"/>
      <c r="C1753" s="227"/>
      <c r="D1753" s="344"/>
      <c r="E1753" s="235"/>
      <c r="F1753" s="235"/>
      <c r="G1753" s="227"/>
      <c r="H1753" s="227"/>
      <c r="I1753" s="350"/>
      <c r="J1753" s="227"/>
      <c r="K1753" s="227"/>
      <c r="L1753" s="224"/>
      <c r="M1753" s="224"/>
      <c r="N1753" s="224"/>
      <c r="O1753" s="224"/>
      <c r="P1753" s="224"/>
      <c r="Q1753" s="224"/>
      <c r="R1753" s="224"/>
      <c r="S1753" s="224"/>
      <c r="T1753" s="224"/>
      <c r="U1753" s="224"/>
      <c r="V1753" s="224"/>
    </row>
    <row r="1754" spans="1:22" x14ac:dyDescent="0.3">
      <c r="A1754" s="222"/>
      <c r="B1754" s="235"/>
      <c r="C1754" s="227"/>
      <c r="D1754" s="344"/>
      <c r="E1754" s="235"/>
      <c r="F1754" s="235"/>
      <c r="G1754" s="227"/>
      <c r="H1754" s="227"/>
      <c r="I1754" s="350"/>
      <c r="J1754" s="227"/>
      <c r="K1754" s="227"/>
      <c r="L1754" s="224"/>
      <c r="M1754" s="224"/>
      <c r="N1754" s="224"/>
      <c r="O1754" s="224"/>
      <c r="P1754" s="224"/>
      <c r="Q1754" s="224"/>
      <c r="R1754" s="224"/>
      <c r="S1754" s="224"/>
      <c r="T1754" s="224"/>
      <c r="U1754" s="224"/>
      <c r="V1754" s="224"/>
    </row>
    <row r="1755" spans="1:22" x14ac:dyDescent="0.3">
      <c r="A1755" s="222"/>
      <c r="B1755" s="235"/>
      <c r="C1755" s="227"/>
      <c r="D1755" s="344"/>
      <c r="E1755" s="235"/>
      <c r="F1755" s="235"/>
      <c r="G1755" s="227"/>
      <c r="H1755" s="227"/>
      <c r="I1755" s="350"/>
      <c r="J1755" s="227"/>
      <c r="K1755" s="227"/>
      <c r="L1755" s="224"/>
      <c r="M1755" s="224"/>
      <c r="N1755" s="224"/>
      <c r="O1755" s="224"/>
      <c r="P1755" s="224"/>
      <c r="Q1755" s="224"/>
      <c r="R1755" s="224"/>
      <c r="S1755" s="224"/>
      <c r="T1755" s="224"/>
      <c r="U1755" s="224"/>
      <c r="V1755" s="224"/>
    </row>
    <row r="1756" spans="1:22" x14ac:dyDescent="0.3">
      <c r="A1756" s="222"/>
      <c r="B1756" s="235"/>
      <c r="C1756" s="227"/>
      <c r="D1756" s="344"/>
      <c r="E1756" s="235"/>
      <c r="F1756" s="235"/>
      <c r="G1756" s="227"/>
      <c r="H1756" s="227"/>
      <c r="I1756" s="350"/>
      <c r="J1756" s="227"/>
      <c r="K1756" s="227"/>
      <c r="L1756" s="224"/>
      <c r="M1756" s="224"/>
      <c r="N1756" s="224"/>
      <c r="O1756" s="224"/>
      <c r="P1756" s="224"/>
      <c r="Q1756" s="224"/>
      <c r="R1756" s="224"/>
      <c r="S1756" s="224"/>
      <c r="T1756" s="224"/>
      <c r="U1756" s="224"/>
      <c r="V1756" s="224"/>
    </row>
    <row r="1757" spans="1:22" x14ac:dyDescent="0.3">
      <c r="A1757" s="222"/>
      <c r="B1757" s="235"/>
      <c r="C1757" s="227"/>
      <c r="D1757" s="344"/>
      <c r="E1757" s="235"/>
      <c r="F1757" s="235"/>
      <c r="G1757" s="227"/>
      <c r="H1757" s="227"/>
      <c r="I1757" s="350"/>
      <c r="J1757" s="227"/>
      <c r="K1757" s="227"/>
      <c r="L1757" s="224"/>
      <c r="M1757" s="224"/>
      <c r="N1757" s="224"/>
      <c r="O1757" s="224"/>
      <c r="P1757" s="224"/>
      <c r="Q1757" s="224"/>
      <c r="R1757" s="224"/>
      <c r="S1757" s="224"/>
      <c r="T1757" s="224"/>
      <c r="U1757" s="224"/>
      <c r="V1757" s="224"/>
    </row>
    <row r="1758" spans="1:22" x14ac:dyDescent="0.3">
      <c r="A1758" s="222"/>
      <c r="B1758" s="235"/>
      <c r="C1758" s="227"/>
      <c r="D1758" s="344"/>
      <c r="E1758" s="235"/>
      <c r="F1758" s="235"/>
      <c r="G1758" s="227"/>
      <c r="H1758" s="227"/>
      <c r="I1758" s="350"/>
      <c r="J1758" s="227"/>
      <c r="K1758" s="227"/>
      <c r="L1758" s="224"/>
      <c r="M1758" s="224"/>
      <c r="N1758" s="224"/>
      <c r="O1758" s="224"/>
      <c r="P1758" s="224"/>
      <c r="Q1758" s="224"/>
      <c r="R1758" s="224"/>
      <c r="S1758" s="224"/>
      <c r="T1758" s="224"/>
      <c r="U1758" s="224"/>
      <c r="V1758" s="224"/>
    </row>
    <row r="1759" spans="1:22" x14ac:dyDescent="0.3">
      <c r="A1759" s="222"/>
      <c r="B1759" s="235"/>
      <c r="C1759" s="227"/>
      <c r="D1759" s="344"/>
      <c r="E1759" s="235"/>
      <c r="F1759" s="235"/>
      <c r="G1759" s="227"/>
      <c r="H1759" s="227"/>
      <c r="I1759" s="350"/>
      <c r="J1759" s="227"/>
      <c r="K1759" s="227"/>
      <c r="L1759" s="224"/>
      <c r="M1759" s="224"/>
      <c r="N1759" s="224"/>
      <c r="O1759" s="224"/>
      <c r="P1759" s="224"/>
      <c r="Q1759" s="224"/>
      <c r="R1759" s="224"/>
      <c r="S1759" s="224"/>
      <c r="T1759" s="224"/>
      <c r="U1759" s="224"/>
      <c r="V1759" s="224"/>
    </row>
    <row r="1760" spans="1:22" x14ac:dyDescent="0.3">
      <c r="A1760" s="222"/>
      <c r="B1760" s="235"/>
      <c r="C1760" s="227"/>
      <c r="D1760" s="344"/>
      <c r="E1760" s="235"/>
      <c r="F1760" s="235"/>
      <c r="G1760" s="227"/>
      <c r="H1760" s="227"/>
      <c r="I1760" s="350"/>
      <c r="J1760" s="227"/>
      <c r="K1760" s="227"/>
      <c r="L1760" s="224"/>
      <c r="M1760" s="224"/>
      <c r="N1760" s="224"/>
      <c r="O1760" s="224"/>
      <c r="P1760" s="224"/>
      <c r="Q1760" s="224"/>
      <c r="R1760" s="224"/>
      <c r="S1760" s="224"/>
      <c r="T1760" s="224"/>
      <c r="U1760" s="224"/>
      <c r="V1760" s="224"/>
    </row>
    <row r="1761" spans="1:22" x14ac:dyDescent="0.3">
      <c r="A1761" s="222"/>
      <c r="B1761" s="235"/>
      <c r="C1761" s="227"/>
      <c r="D1761" s="344"/>
      <c r="E1761" s="235"/>
      <c r="F1761" s="235"/>
      <c r="G1761" s="227"/>
      <c r="H1761" s="227"/>
      <c r="I1761" s="350"/>
      <c r="J1761" s="227"/>
      <c r="K1761" s="227"/>
      <c r="L1761" s="224"/>
      <c r="M1761" s="224"/>
      <c r="N1761" s="224"/>
      <c r="O1761" s="224"/>
      <c r="P1761" s="224"/>
      <c r="Q1761" s="224"/>
      <c r="R1761" s="224"/>
      <c r="S1761" s="224"/>
      <c r="T1761" s="224"/>
      <c r="U1761" s="224"/>
      <c r="V1761" s="224"/>
    </row>
    <row r="1762" spans="1:22" x14ac:dyDescent="0.3">
      <c r="A1762" s="222"/>
      <c r="B1762" s="235"/>
      <c r="C1762" s="227"/>
      <c r="D1762" s="344"/>
      <c r="E1762" s="235"/>
      <c r="F1762" s="235"/>
      <c r="G1762" s="227"/>
      <c r="H1762" s="227"/>
      <c r="I1762" s="350"/>
      <c r="J1762" s="227"/>
      <c r="K1762" s="227"/>
      <c r="L1762" s="224"/>
      <c r="M1762" s="224"/>
      <c r="N1762" s="224"/>
      <c r="O1762" s="224"/>
      <c r="P1762" s="224"/>
      <c r="Q1762" s="224"/>
      <c r="R1762" s="224"/>
      <c r="S1762" s="224"/>
      <c r="T1762" s="224"/>
      <c r="U1762" s="224"/>
      <c r="V1762" s="224"/>
    </row>
    <row r="1763" spans="1:22" x14ac:dyDescent="0.3">
      <c r="A1763" s="222"/>
      <c r="B1763" s="235"/>
      <c r="C1763" s="227"/>
      <c r="D1763" s="344"/>
      <c r="E1763" s="235"/>
      <c r="F1763" s="235"/>
      <c r="G1763" s="227"/>
      <c r="H1763" s="227"/>
      <c r="I1763" s="350"/>
      <c r="J1763" s="227"/>
      <c r="K1763" s="227"/>
      <c r="L1763" s="224"/>
      <c r="M1763" s="224"/>
      <c r="N1763" s="224"/>
      <c r="O1763" s="224"/>
      <c r="P1763" s="224"/>
      <c r="Q1763" s="224"/>
      <c r="R1763" s="224"/>
      <c r="S1763" s="224"/>
      <c r="T1763" s="224"/>
      <c r="U1763" s="224"/>
      <c r="V1763" s="224"/>
    </row>
    <row r="1764" spans="1:22" x14ac:dyDescent="0.3">
      <c r="A1764" s="222"/>
      <c r="B1764" s="235"/>
      <c r="C1764" s="227"/>
      <c r="D1764" s="344"/>
      <c r="E1764" s="235"/>
      <c r="F1764" s="235"/>
      <c r="G1764" s="227"/>
      <c r="H1764" s="227"/>
      <c r="I1764" s="350"/>
      <c r="J1764" s="227"/>
      <c r="K1764" s="227"/>
      <c r="L1764" s="224"/>
      <c r="M1764" s="224"/>
      <c r="N1764" s="224"/>
      <c r="O1764" s="224"/>
      <c r="P1764" s="224"/>
      <c r="Q1764" s="224"/>
      <c r="R1764" s="224"/>
      <c r="S1764" s="224"/>
      <c r="T1764" s="224"/>
      <c r="U1764" s="224"/>
      <c r="V1764" s="224"/>
    </row>
    <row r="1765" spans="1:22" x14ac:dyDescent="0.3">
      <c r="A1765" s="222"/>
      <c r="B1765" s="235"/>
      <c r="C1765" s="227"/>
      <c r="D1765" s="344"/>
      <c r="E1765" s="235"/>
      <c r="F1765" s="235"/>
      <c r="G1765" s="227"/>
      <c r="H1765" s="227"/>
      <c r="I1765" s="350"/>
      <c r="J1765" s="227"/>
      <c r="K1765" s="227"/>
      <c r="L1765" s="224"/>
      <c r="M1765" s="224"/>
      <c r="N1765" s="224"/>
      <c r="O1765" s="224"/>
      <c r="P1765" s="224"/>
      <c r="Q1765" s="224"/>
      <c r="R1765" s="224"/>
      <c r="S1765" s="224"/>
      <c r="T1765" s="224"/>
      <c r="U1765" s="224"/>
      <c r="V1765" s="224"/>
    </row>
    <row r="1766" spans="1:22" x14ac:dyDescent="0.3">
      <c r="A1766" s="222"/>
      <c r="B1766" s="235"/>
      <c r="C1766" s="227"/>
      <c r="D1766" s="344"/>
      <c r="E1766" s="235"/>
      <c r="F1766" s="235"/>
      <c r="G1766" s="227"/>
      <c r="H1766" s="227"/>
      <c r="I1766" s="350"/>
      <c r="J1766" s="227"/>
      <c r="K1766" s="227"/>
      <c r="L1766" s="224"/>
      <c r="M1766" s="224"/>
      <c r="N1766" s="224"/>
      <c r="O1766" s="224"/>
      <c r="P1766" s="224"/>
      <c r="Q1766" s="224"/>
      <c r="R1766" s="224"/>
      <c r="S1766" s="224"/>
      <c r="T1766" s="224"/>
      <c r="U1766" s="224"/>
      <c r="V1766" s="224"/>
    </row>
    <row r="1767" spans="1:22" x14ac:dyDescent="0.3">
      <c r="A1767" s="222"/>
      <c r="B1767" s="235"/>
      <c r="C1767" s="227"/>
      <c r="D1767" s="344"/>
      <c r="E1767" s="235"/>
      <c r="F1767" s="235"/>
      <c r="G1767" s="227"/>
      <c r="H1767" s="227"/>
      <c r="I1767" s="350"/>
      <c r="J1767" s="227"/>
      <c r="K1767" s="227"/>
      <c r="L1767" s="224"/>
      <c r="M1767" s="224"/>
      <c r="N1767" s="224"/>
      <c r="O1767" s="224"/>
      <c r="P1767" s="224"/>
      <c r="Q1767" s="224"/>
      <c r="R1767" s="224"/>
      <c r="S1767" s="224"/>
      <c r="T1767" s="224"/>
      <c r="U1767" s="224"/>
      <c r="V1767" s="224"/>
    </row>
    <row r="1768" spans="1:22" x14ac:dyDescent="0.3">
      <c r="A1768" s="222"/>
      <c r="B1768" s="235"/>
      <c r="C1768" s="227"/>
      <c r="D1768" s="344"/>
      <c r="E1768" s="235"/>
      <c r="F1768" s="235"/>
      <c r="G1768" s="227"/>
      <c r="H1768" s="227"/>
      <c r="I1768" s="350"/>
      <c r="J1768" s="227"/>
      <c r="K1768" s="227"/>
      <c r="L1768" s="224"/>
      <c r="M1768" s="224"/>
      <c r="N1768" s="224"/>
      <c r="O1768" s="224"/>
      <c r="P1768" s="224"/>
      <c r="Q1768" s="224"/>
      <c r="R1768" s="224"/>
      <c r="S1768" s="224"/>
      <c r="T1768" s="224"/>
      <c r="U1768" s="224"/>
      <c r="V1768" s="224"/>
    </row>
    <row r="1769" spans="1:22" x14ac:dyDescent="0.3">
      <c r="A1769" s="222"/>
      <c r="B1769" s="235"/>
      <c r="C1769" s="227"/>
      <c r="D1769" s="344"/>
      <c r="E1769" s="235"/>
      <c r="F1769" s="235"/>
      <c r="G1769" s="227"/>
      <c r="H1769" s="227"/>
      <c r="I1769" s="350"/>
      <c r="J1769" s="227"/>
      <c r="K1769" s="227"/>
      <c r="L1769" s="224"/>
      <c r="M1769" s="224"/>
      <c r="N1769" s="224"/>
      <c r="O1769" s="224"/>
      <c r="P1769" s="224"/>
      <c r="Q1769" s="224"/>
      <c r="R1769" s="224"/>
      <c r="S1769" s="224"/>
      <c r="T1769" s="224"/>
      <c r="U1769" s="224"/>
      <c r="V1769" s="224"/>
    </row>
    <row r="1770" spans="1:22" x14ac:dyDescent="0.3">
      <c r="A1770" s="222"/>
      <c r="B1770" s="235"/>
      <c r="C1770" s="227"/>
      <c r="D1770" s="344"/>
      <c r="E1770" s="235"/>
      <c r="F1770" s="235"/>
      <c r="G1770" s="227"/>
      <c r="H1770" s="227"/>
      <c r="I1770" s="350"/>
      <c r="J1770" s="227"/>
      <c r="K1770" s="227"/>
      <c r="L1770" s="224"/>
      <c r="M1770" s="224"/>
      <c r="N1770" s="224"/>
      <c r="O1770" s="224"/>
      <c r="P1770" s="224"/>
      <c r="Q1770" s="224"/>
      <c r="R1770" s="224"/>
      <c r="S1770" s="224"/>
      <c r="T1770" s="224"/>
      <c r="U1770" s="224"/>
      <c r="V1770" s="224"/>
    </row>
    <row r="1771" spans="1:22" x14ac:dyDescent="0.3">
      <c r="A1771" s="222"/>
      <c r="B1771" s="235"/>
      <c r="C1771" s="227"/>
      <c r="D1771" s="344"/>
      <c r="E1771" s="235"/>
      <c r="F1771" s="235"/>
      <c r="G1771" s="227"/>
      <c r="H1771" s="227"/>
      <c r="I1771" s="350"/>
      <c r="J1771" s="227"/>
      <c r="K1771" s="227"/>
      <c r="L1771" s="224"/>
      <c r="M1771" s="224"/>
      <c r="N1771" s="224"/>
      <c r="O1771" s="224"/>
      <c r="P1771" s="224"/>
      <c r="Q1771" s="224"/>
      <c r="R1771" s="224"/>
      <c r="S1771" s="224"/>
      <c r="T1771" s="224"/>
      <c r="U1771" s="224"/>
      <c r="V1771" s="224"/>
    </row>
    <row r="1772" spans="1:22" x14ac:dyDescent="0.3">
      <c r="A1772" s="222"/>
      <c r="B1772" s="235"/>
      <c r="C1772" s="227"/>
      <c r="D1772" s="344"/>
      <c r="E1772" s="235"/>
      <c r="F1772" s="235"/>
      <c r="G1772" s="227"/>
      <c r="H1772" s="227"/>
      <c r="I1772" s="350"/>
      <c r="J1772" s="227"/>
      <c r="K1772" s="227"/>
      <c r="L1772" s="224"/>
      <c r="M1772" s="224"/>
      <c r="N1772" s="224"/>
      <c r="O1772" s="224"/>
      <c r="P1772" s="224"/>
      <c r="Q1772" s="224"/>
      <c r="R1772" s="224"/>
      <c r="S1772" s="224"/>
      <c r="T1772" s="224"/>
      <c r="U1772" s="224"/>
      <c r="V1772" s="224"/>
    </row>
    <row r="1773" spans="1:22" x14ac:dyDescent="0.3">
      <c r="A1773" s="222"/>
      <c r="B1773" s="235"/>
      <c r="C1773" s="227"/>
      <c r="D1773" s="344"/>
      <c r="E1773" s="235"/>
      <c r="F1773" s="235"/>
      <c r="G1773" s="227"/>
      <c r="H1773" s="227"/>
      <c r="I1773" s="350"/>
      <c r="J1773" s="227"/>
      <c r="K1773" s="227"/>
      <c r="L1773" s="224"/>
      <c r="M1773" s="224"/>
      <c r="N1773" s="224"/>
      <c r="O1773" s="224"/>
      <c r="P1773" s="224"/>
      <c r="Q1773" s="224"/>
      <c r="R1773" s="224"/>
      <c r="S1773" s="224"/>
      <c r="T1773" s="224"/>
      <c r="U1773" s="224"/>
      <c r="V1773" s="224"/>
    </row>
    <row r="1774" spans="1:22" x14ac:dyDescent="0.3">
      <c r="A1774" s="222"/>
      <c r="B1774" s="235"/>
      <c r="C1774" s="227"/>
      <c r="D1774" s="344"/>
      <c r="E1774" s="235"/>
      <c r="F1774" s="235"/>
      <c r="G1774" s="227"/>
      <c r="H1774" s="227"/>
      <c r="I1774" s="350"/>
      <c r="J1774" s="227"/>
      <c r="K1774" s="227"/>
      <c r="L1774" s="224"/>
      <c r="M1774" s="224"/>
      <c r="N1774" s="224"/>
      <c r="O1774" s="224"/>
      <c r="P1774" s="224"/>
      <c r="Q1774" s="224"/>
      <c r="R1774" s="224"/>
      <c r="S1774" s="224"/>
      <c r="T1774" s="224"/>
      <c r="U1774" s="224"/>
      <c r="V1774" s="224"/>
    </row>
    <row r="1775" spans="1:22" x14ac:dyDescent="0.3">
      <c r="A1775" s="222"/>
      <c r="B1775" s="235"/>
      <c r="C1775" s="227"/>
      <c r="D1775" s="344"/>
      <c r="E1775" s="235"/>
      <c r="F1775" s="235"/>
      <c r="G1775" s="227"/>
      <c r="H1775" s="227"/>
      <c r="I1775" s="350"/>
      <c r="J1775" s="227"/>
      <c r="K1775" s="227"/>
      <c r="L1775" s="224"/>
      <c r="M1775" s="224"/>
      <c r="N1775" s="224"/>
      <c r="O1775" s="224"/>
      <c r="P1775" s="224"/>
      <c r="Q1775" s="224"/>
      <c r="R1775" s="224"/>
      <c r="S1775" s="224"/>
      <c r="T1775" s="224"/>
      <c r="U1775" s="224"/>
      <c r="V1775" s="224"/>
    </row>
    <row r="1776" spans="1:22" x14ac:dyDescent="0.3">
      <c r="A1776" s="222"/>
      <c r="B1776" s="235"/>
      <c r="C1776" s="227"/>
      <c r="D1776" s="344"/>
      <c r="E1776" s="235"/>
      <c r="F1776" s="235"/>
      <c r="G1776" s="227"/>
      <c r="H1776" s="227"/>
      <c r="I1776" s="350"/>
      <c r="J1776" s="227"/>
      <c r="K1776" s="227"/>
      <c r="L1776" s="224"/>
      <c r="M1776" s="224"/>
      <c r="N1776" s="224"/>
      <c r="O1776" s="224"/>
      <c r="P1776" s="224"/>
      <c r="Q1776" s="224"/>
      <c r="R1776" s="224"/>
      <c r="S1776" s="224"/>
      <c r="T1776" s="224"/>
      <c r="U1776" s="224"/>
      <c r="V1776" s="224"/>
    </row>
    <row r="1777" spans="1:22" x14ac:dyDescent="0.3">
      <c r="A1777" s="222"/>
      <c r="B1777" s="235"/>
      <c r="C1777" s="227"/>
      <c r="D1777" s="344"/>
      <c r="E1777" s="235"/>
      <c r="F1777" s="235"/>
      <c r="G1777" s="227"/>
      <c r="H1777" s="227"/>
      <c r="I1777" s="350"/>
      <c r="J1777" s="227"/>
      <c r="K1777" s="227"/>
      <c r="L1777" s="224"/>
      <c r="M1777" s="224"/>
      <c r="N1777" s="224"/>
      <c r="O1777" s="224"/>
      <c r="P1777" s="224"/>
      <c r="Q1777" s="224"/>
      <c r="R1777" s="224"/>
      <c r="S1777" s="224"/>
      <c r="T1777" s="224"/>
      <c r="U1777" s="224"/>
      <c r="V1777" s="224"/>
    </row>
    <row r="1778" spans="1:22" x14ac:dyDescent="0.3">
      <c r="A1778" s="222"/>
      <c r="B1778" s="235"/>
      <c r="C1778" s="227"/>
      <c r="D1778" s="344"/>
      <c r="E1778" s="235"/>
      <c r="F1778" s="235"/>
      <c r="G1778" s="227"/>
      <c r="H1778" s="227"/>
      <c r="I1778" s="350"/>
      <c r="J1778" s="227"/>
      <c r="K1778" s="227"/>
      <c r="L1778" s="224"/>
      <c r="M1778" s="224"/>
      <c r="N1778" s="224"/>
      <c r="O1778" s="224"/>
      <c r="P1778" s="224"/>
      <c r="Q1778" s="224"/>
      <c r="R1778" s="224"/>
      <c r="S1778" s="224"/>
      <c r="T1778" s="224"/>
      <c r="U1778" s="224"/>
      <c r="V1778" s="224"/>
    </row>
    <row r="1779" spans="1:22" x14ac:dyDescent="0.3">
      <c r="A1779" s="222"/>
      <c r="B1779" s="235"/>
      <c r="C1779" s="227"/>
      <c r="D1779" s="344"/>
      <c r="E1779" s="235"/>
      <c r="F1779" s="235"/>
      <c r="G1779" s="227"/>
      <c r="H1779" s="227"/>
      <c r="I1779" s="350"/>
      <c r="J1779" s="227"/>
      <c r="K1779" s="227"/>
      <c r="L1779" s="224"/>
      <c r="M1779" s="224"/>
      <c r="N1779" s="224"/>
      <c r="O1779" s="224"/>
      <c r="P1779" s="224"/>
      <c r="Q1779" s="224"/>
      <c r="R1779" s="224"/>
      <c r="S1779" s="224"/>
      <c r="T1779" s="224"/>
      <c r="U1779" s="224"/>
      <c r="V1779" s="224"/>
    </row>
    <row r="1780" spans="1:22" x14ac:dyDescent="0.3">
      <c r="A1780" s="222"/>
      <c r="B1780" s="235"/>
      <c r="C1780" s="227"/>
      <c r="D1780" s="344"/>
      <c r="E1780" s="235"/>
      <c r="F1780" s="235"/>
      <c r="G1780" s="227"/>
      <c r="H1780" s="227"/>
      <c r="I1780" s="350"/>
      <c r="J1780" s="227"/>
      <c r="K1780" s="227"/>
      <c r="L1780" s="224"/>
      <c r="M1780" s="224"/>
      <c r="N1780" s="224"/>
      <c r="O1780" s="224"/>
      <c r="P1780" s="224"/>
      <c r="Q1780" s="224"/>
      <c r="R1780" s="224"/>
      <c r="S1780" s="224"/>
      <c r="T1780" s="224"/>
      <c r="U1780" s="224"/>
      <c r="V1780" s="224"/>
    </row>
    <row r="1781" spans="1:22" x14ac:dyDescent="0.3">
      <c r="A1781" s="222"/>
      <c r="B1781" s="235"/>
      <c r="C1781" s="227"/>
      <c r="D1781" s="344"/>
      <c r="E1781" s="235"/>
      <c r="F1781" s="235"/>
      <c r="G1781" s="227"/>
      <c r="H1781" s="227"/>
      <c r="I1781" s="350"/>
      <c r="J1781" s="227"/>
      <c r="K1781" s="227"/>
      <c r="L1781" s="224"/>
      <c r="M1781" s="224"/>
      <c r="N1781" s="224"/>
      <c r="O1781" s="224"/>
      <c r="P1781" s="224"/>
      <c r="Q1781" s="224"/>
      <c r="R1781" s="224"/>
      <c r="S1781" s="224"/>
      <c r="T1781" s="224"/>
      <c r="U1781" s="224"/>
      <c r="V1781" s="224"/>
    </row>
    <row r="1782" spans="1:22" x14ac:dyDescent="0.3">
      <c r="A1782" s="222"/>
      <c r="B1782" s="235"/>
      <c r="C1782" s="227"/>
      <c r="D1782" s="344"/>
      <c r="E1782" s="235"/>
      <c r="F1782" s="235"/>
      <c r="G1782" s="227"/>
      <c r="H1782" s="227"/>
      <c r="I1782" s="350"/>
      <c r="J1782" s="227"/>
      <c r="K1782" s="227"/>
      <c r="L1782" s="224"/>
      <c r="M1782" s="224"/>
      <c r="N1782" s="224"/>
      <c r="O1782" s="224"/>
      <c r="P1782" s="224"/>
      <c r="Q1782" s="224"/>
      <c r="R1782" s="224"/>
      <c r="S1782" s="224"/>
      <c r="T1782" s="224"/>
      <c r="U1782" s="224"/>
      <c r="V1782" s="224"/>
    </row>
    <row r="1783" spans="1:22" x14ac:dyDescent="0.3">
      <c r="A1783" s="222"/>
      <c r="B1783" s="235"/>
      <c r="C1783" s="227"/>
      <c r="D1783" s="344"/>
      <c r="E1783" s="235"/>
      <c r="F1783" s="235"/>
      <c r="G1783" s="227"/>
      <c r="H1783" s="227"/>
      <c r="I1783" s="350"/>
      <c r="J1783" s="227"/>
      <c r="K1783" s="227"/>
      <c r="L1783" s="224"/>
      <c r="M1783" s="224"/>
      <c r="N1783" s="224"/>
      <c r="O1783" s="224"/>
      <c r="P1783" s="224"/>
      <c r="Q1783" s="224"/>
      <c r="R1783" s="224"/>
      <c r="S1783" s="224"/>
      <c r="T1783" s="224"/>
      <c r="U1783" s="224"/>
      <c r="V1783" s="224"/>
    </row>
    <row r="1784" spans="1:22" x14ac:dyDescent="0.3">
      <c r="A1784" s="222"/>
      <c r="B1784" s="235"/>
      <c r="C1784" s="227"/>
      <c r="D1784" s="344"/>
      <c r="E1784" s="235"/>
      <c r="F1784" s="235"/>
      <c r="G1784" s="227"/>
      <c r="H1784" s="227"/>
      <c r="I1784" s="350"/>
      <c r="J1784" s="227"/>
      <c r="K1784" s="227"/>
      <c r="L1784" s="224"/>
      <c r="M1784" s="224"/>
      <c r="N1784" s="224"/>
      <c r="O1784" s="224"/>
      <c r="P1784" s="224"/>
      <c r="Q1784" s="224"/>
      <c r="R1784" s="224"/>
      <c r="S1784" s="224"/>
      <c r="T1784" s="224"/>
      <c r="U1784" s="224"/>
      <c r="V1784" s="224"/>
    </row>
    <row r="1785" spans="1:22" x14ac:dyDescent="0.3">
      <c r="A1785" s="222"/>
      <c r="B1785" s="235"/>
      <c r="C1785" s="227"/>
      <c r="D1785" s="344"/>
      <c r="E1785" s="235"/>
      <c r="F1785" s="235"/>
      <c r="G1785" s="227"/>
      <c r="H1785" s="227"/>
      <c r="I1785" s="350"/>
      <c r="J1785" s="227"/>
      <c r="K1785" s="227"/>
      <c r="L1785" s="224"/>
      <c r="M1785" s="224"/>
      <c r="N1785" s="224"/>
      <c r="O1785" s="224"/>
      <c r="P1785" s="224"/>
      <c r="Q1785" s="224"/>
      <c r="R1785" s="224"/>
      <c r="S1785" s="224"/>
      <c r="T1785" s="224"/>
      <c r="U1785" s="224"/>
      <c r="V1785" s="224"/>
    </row>
    <row r="1786" spans="1:22" x14ac:dyDescent="0.3">
      <c r="A1786" s="222"/>
      <c r="B1786" s="235"/>
      <c r="C1786" s="227"/>
      <c r="D1786" s="344"/>
      <c r="E1786" s="235"/>
      <c r="F1786" s="235"/>
      <c r="G1786" s="227"/>
      <c r="H1786" s="227"/>
      <c r="I1786" s="350"/>
      <c r="J1786" s="227"/>
      <c r="K1786" s="227"/>
      <c r="L1786" s="224"/>
      <c r="M1786" s="224"/>
      <c r="N1786" s="224"/>
      <c r="O1786" s="224"/>
      <c r="P1786" s="224"/>
      <c r="Q1786" s="224"/>
      <c r="R1786" s="224"/>
      <c r="S1786" s="224"/>
      <c r="T1786" s="224"/>
      <c r="U1786" s="224"/>
      <c r="V1786" s="224"/>
    </row>
    <row r="1787" spans="1:22" x14ac:dyDescent="0.3">
      <c r="A1787" s="222"/>
      <c r="B1787" s="235"/>
      <c r="C1787" s="227"/>
      <c r="D1787" s="344"/>
      <c r="E1787" s="235"/>
      <c r="F1787" s="235"/>
      <c r="G1787" s="227"/>
      <c r="H1787" s="227"/>
      <c r="I1787" s="350"/>
      <c r="J1787" s="227"/>
      <c r="K1787" s="227"/>
      <c r="L1787" s="224"/>
      <c r="M1787" s="224"/>
      <c r="N1787" s="224"/>
      <c r="O1787" s="224"/>
      <c r="P1787" s="224"/>
      <c r="Q1787" s="224"/>
      <c r="R1787" s="224"/>
      <c r="S1787" s="224"/>
      <c r="T1787" s="224"/>
      <c r="U1787" s="224"/>
      <c r="V1787" s="224"/>
    </row>
    <row r="1788" spans="1:22" x14ac:dyDescent="0.3">
      <c r="A1788" s="222"/>
      <c r="B1788" s="235"/>
      <c r="C1788" s="227"/>
      <c r="D1788" s="344"/>
      <c r="E1788" s="235"/>
      <c r="F1788" s="235"/>
      <c r="G1788" s="227"/>
      <c r="H1788" s="227"/>
      <c r="I1788" s="350"/>
      <c r="J1788" s="227"/>
      <c r="K1788" s="227"/>
      <c r="L1788" s="224"/>
      <c r="M1788" s="224"/>
      <c r="N1788" s="224"/>
      <c r="O1788" s="224"/>
      <c r="P1788" s="224"/>
      <c r="Q1788" s="224"/>
      <c r="R1788" s="224"/>
      <c r="S1788" s="224"/>
      <c r="T1788" s="224"/>
      <c r="U1788" s="224"/>
      <c r="V1788" s="224"/>
    </row>
    <row r="1789" spans="1:22" x14ac:dyDescent="0.3">
      <c r="A1789" s="222"/>
      <c r="B1789" s="235"/>
      <c r="C1789" s="227"/>
      <c r="D1789" s="344"/>
      <c r="E1789" s="235"/>
      <c r="F1789" s="235"/>
      <c r="G1789" s="227"/>
      <c r="H1789" s="227"/>
      <c r="I1789" s="350"/>
      <c r="J1789" s="227"/>
      <c r="K1789" s="227"/>
      <c r="L1789" s="224"/>
      <c r="M1789" s="224"/>
      <c r="N1789" s="224"/>
      <c r="O1789" s="224"/>
      <c r="P1789" s="224"/>
      <c r="Q1789" s="224"/>
      <c r="R1789" s="224"/>
      <c r="S1789" s="224"/>
      <c r="T1789" s="224"/>
      <c r="U1789" s="224"/>
      <c r="V1789" s="224"/>
    </row>
    <row r="1790" spans="1:22" x14ac:dyDescent="0.3">
      <c r="A1790" s="222"/>
      <c r="B1790" s="235"/>
      <c r="C1790" s="227"/>
      <c r="D1790" s="344"/>
      <c r="E1790" s="235"/>
      <c r="F1790" s="235"/>
      <c r="G1790" s="227"/>
      <c r="H1790" s="227"/>
      <c r="I1790" s="350"/>
      <c r="J1790" s="227"/>
      <c r="K1790" s="227"/>
      <c r="L1790" s="224"/>
      <c r="M1790" s="224"/>
      <c r="N1790" s="224"/>
      <c r="O1790" s="224"/>
      <c r="P1790" s="224"/>
      <c r="Q1790" s="224"/>
      <c r="R1790" s="224"/>
      <c r="S1790" s="224"/>
      <c r="T1790" s="224"/>
      <c r="U1790" s="224"/>
      <c r="V1790" s="224"/>
    </row>
    <row r="1791" spans="1:22" x14ac:dyDescent="0.3">
      <c r="A1791" s="222"/>
      <c r="B1791" s="235"/>
      <c r="C1791" s="227"/>
      <c r="D1791" s="344"/>
      <c r="E1791" s="235"/>
      <c r="F1791" s="235"/>
      <c r="G1791" s="227"/>
      <c r="H1791" s="227"/>
      <c r="I1791" s="350"/>
      <c r="J1791" s="227"/>
      <c r="K1791" s="227"/>
      <c r="L1791" s="224"/>
      <c r="M1791" s="224"/>
      <c r="N1791" s="224"/>
      <c r="O1791" s="224"/>
      <c r="P1791" s="224"/>
      <c r="Q1791" s="224"/>
      <c r="R1791" s="224"/>
      <c r="S1791" s="224"/>
      <c r="T1791" s="224"/>
      <c r="U1791" s="224"/>
      <c r="V1791" s="224"/>
    </row>
    <row r="1792" spans="1:22" x14ac:dyDescent="0.3">
      <c r="A1792" s="222"/>
      <c r="B1792" s="235"/>
      <c r="C1792" s="227"/>
      <c r="D1792" s="344"/>
      <c r="E1792" s="235"/>
      <c r="F1792" s="235"/>
      <c r="G1792" s="227"/>
      <c r="H1792" s="227"/>
      <c r="I1792" s="350"/>
      <c r="J1792" s="227"/>
      <c r="K1792" s="227"/>
      <c r="L1792" s="224"/>
      <c r="M1792" s="224"/>
      <c r="N1792" s="224"/>
      <c r="O1792" s="224"/>
      <c r="P1792" s="224"/>
      <c r="Q1792" s="224"/>
      <c r="R1792" s="224"/>
      <c r="S1792" s="224"/>
      <c r="T1792" s="224"/>
      <c r="U1792" s="224"/>
      <c r="V1792" s="224"/>
    </row>
    <row r="1793" spans="1:22" x14ac:dyDescent="0.3">
      <c r="A1793" s="222"/>
      <c r="B1793" s="235"/>
      <c r="C1793" s="227"/>
      <c r="D1793" s="344"/>
      <c r="E1793" s="235"/>
      <c r="F1793" s="235"/>
      <c r="G1793" s="227"/>
      <c r="H1793" s="227"/>
      <c r="I1793" s="350"/>
      <c r="J1793" s="227"/>
      <c r="K1793" s="227"/>
      <c r="L1793" s="224"/>
      <c r="M1793" s="224"/>
      <c r="N1793" s="224"/>
      <c r="O1793" s="224"/>
      <c r="P1793" s="224"/>
      <c r="Q1793" s="224"/>
      <c r="R1793" s="224"/>
      <c r="S1793" s="224"/>
      <c r="T1793" s="224"/>
      <c r="U1793" s="224"/>
      <c r="V1793" s="224"/>
    </row>
    <row r="1794" spans="1:22" x14ac:dyDescent="0.3">
      <c r="A1794" s="222"/>
      <c r="B1794" s="235"/>
      <c r="C1794" s="227"/>
      <c r="D1794" s="344"/>
      <c r="E1794" s="235"/>
      <c r="F1794" s="235"/>
      <c r="G1794" s="227"/>
      <c r="H1794" s="227"/>
      <c r="I1794" s="350"/>
      <c r="J1794" s="227"/>
      <c r="K1794" s="227"/>
      <c r="L1794" s="224"/>
      <c r="M1794" s="224"/>
      <c r="N1794" s="224"/>
      <c r="O1794" s="224"/>
      <c r="P1794" s="224"/>
      <c r="Q1794" s="224"/>
      <c r="R1794" s="224"/>
      <c r="S1794" s="224"/>
      <c r="T1794" s="224"/>
      <c r="U1794" s="224"/>
      <c r="V1794" s="224"/>
    </row>
    <row r="1795" spans="1:22" x14ac:dyDescent="0.3">
      <c r="A1795" s="222"/>
      <c r="B1795" s="235"/>
      <c r="C1795" s="227"/>
      <c r="D1795" s="344"/>
      <c r="E1795" s="235"/>
      <c r="F1795" s="235"/>
      <c r="G1795" s="227"/>
      <c r="H1795" s="227"/>
      <c r="I1795" s="350"/>
      <c r="J1795" s="227"/>
      <c r="K1795" s="227"/>
      <c r="L1795" s="224"/>
      <c r="M1795" s="224"/>
      <c r="N1795" s="224"/>
      <c r="O1795" s="224"/>
      <c r="P1795" s="224"/>
      <c r="Q1795" s="224"/>
      <c r="R1795" s="224"/>
      <c r="S1795" s="224"/>
      <c r="T1795" s="224"/>
      <c r="U1795" s="224"/>
      <c r="V1795" s="224"/>
    </row>
    <row r="1796" spans="1:22" x14ac:dyDescent="0.3">
      <c r="A1796" s="222"/>
      <c r="B1796" s="235"/>
      <c r="C1796" s="227"/>
      <c r="D1796" s="344"/>
      <c r="E1796" s="235"/>
      <c r="F1796" s="235"/>
      <c r="G1796" s="227"/>
      <c r="H1796" s="227"/>
      <c r="I1796" s="350"/>
      <c r="J1796" s="227"/>
      <c r="K1796" s="227"/>
      <c r="L1796" s="224"/>
      <c r="M1796" s="224"/>
      <c r="N1796" s="224"/>
      <c r="O1796" s="224"/>
      <c r="P1796" s="224"/>
      <c r="Q1796" s="224"/>
      <c r="R1796" s="224"/>
      <c r="S1796" s="224"/>
      <c r="T1796" s="224"/>
      <c r="U1796" s="224"/>
      <c r="V1796" s="224"/>
    </row>
    <row r="1797" spans="1:22" x14ac:dyDescent="0.3">
      <c r="A1797" s="222"/>
      <c r="B1797" s="235"/>
      <c r="C1797" s="227"/>
      <c r="D1797" s="344"/>
      <c r="E1797" s="235"/>
      <c r="F1797" s="235"/>
      <c r="G1797" s="227"/>
      <c r="H1797" s="227"/>
      <c r="I1797" s="350"/>
      <c r="J1797" s="227"/>
      <c r="K1797" s="227"/>
      <c r="L1797" s="224"/>
      <c r="M1797" s="224"/>
      <c r="N1797" s="224"/>
      <c r="O1797" s="224"/>
      <c r="P1797" s="224"/>
      <c r="Q1797" s="224"/>
      <c r="R1797" s="224"/>
      <c r="S1797" s="224"/>
      <c r="T1797" s="224"/>
      <c r="U1797" s="224"/>
      <c r="V1797" s="224"/>
    </row>
    <row r="1798" spans="1:22" x14ac:dyDescent="0.3">
      <c r="A1798" s="222"/>
      <c r="B1798" s="235"/>
      <c r="C1798" s="227"/>
      <c r="D1798" s="344"/>
      <c r="E1798" s="235"/>
      <c r="F1798" s="235"/>
      <c r="G1798" s="227"/>
      <c r="H1798" s="227"/>
      <c r="I1798" s="350"/>
      <c r="J1798" s="227"/>
      <c r="K1798" s="227"/>
      <c r="L1798" s="224"/>
      <c r="M1798" s="224"/>
      <c r="N1798" s="224"/>
      <c r="O1798" s="224"/>
      <c r="P1798" s="224"/>
      <c r="Q1798" s="224"/>
      <c r="R1798" s="224"/>
      <c r="S1798" s="224"/>
      <c r="T1798" s="224"/>
      <c r="U1798" s="224"/>
      <c r="V1798" s="224"/>
    </row>
    <row r="1799" spans="1:22" x14ac:dyDescent="0.3">
      <c r="A1799" s="222"/>
      <c r="B1799" s="235"/>
      <c r="C1799" s="227"/>
      <c r="D1799" s="344"/>
      <c r="E1799" s="235"/>
      <c r="F1799" s="235"/>
      <c r="G1799" s="227"/>
      <c r="H1799" s="227"/>
      <c r="I1799" s="350"/>
      <c r="J1799" s="227"/>
      <c r="K1799" s="227"/>
      <c r="L1799" s="224"/>
      <c r="M1799" s="224"/>
      <c r="N1799" s="224"/>
      <c r="O1799" s="224"/>
      <c r="P1799" s="224"/>
      <c r="Q1799" s="224"/>
      <c r="R1799" s="224"/>
      <c r="S1799" s="224"/>
      <c r="T1799" s="224"/>
      <c r="U1799" s="224"/>
      <c r="V1799" s="224"/>
    </row>
    <row r="1800" spans="1:22" x14ac:dyDescent="0.3">
      <c r="A1800" s="222"/>
      <c r="B1800" s="235"/>
      <c r="C1800" s="227"/>
      <c r="D1800" s="344"/>
      <c r="E1800" s="235"/>
      <c r="F1800" s="235"/>
      <c r="G1800" s="227"/>
      <c r="H1800" s="227"/>
      <c r="I1800" s="350"/>
      <c r="J1800" s="227"/>
      <c r="K1800" s="227"/>
      <c r="L1800" s="224"/>
      <c r="M1800" s="224"/>
      <c r="N1800" s="224"/>
      <c r="O1800" s="224"/>
      <c r="P1800" s="224"/>
      <c r="Q1800" s="224"/>
      <c r="R1800" s="224"/>
      <c r="S1800" s="224"/>
      <c r="T1800" s="224"/>
      <c r="U1800" s="224"/>
      <c r="V1800" s="224"/>
    </row>
    <row r="1801" spans="1:22" x14ac:dyDescent="0.3">
      <c r="A1801" s="222"/>
      <c r="B1801" s="235"/>
      <c r="C1801" s="227"/>
      <c r="D1801" s="344"/>
      <c r="E1801" s="235"/>
      <c r="F1801" s="235"/>
      <c r="G1801" s="227"/>
      <c r="H1801" s="227"/>
      <c r="I1801" s="350"/>
      <c r="J1801" s="227"/>
      <c r="K1801" s="227"/>
      <c r="L1801" s="224"/>
      <c r="M1801" s="224"/>
      <c r="N1801" s="224"/>
      <c r="O1801" s="224"/>
      <c r="P1801" s="224"/>
      <c r="Q1801" s="224"/>
      <c r="R1801" s="224"/>
      <c r="S1801" s="224"/>
      <c r="T1801" s="224"/>
      <c r="U1801" s="224"/>
      <c r="V1801" s="224"/>
    </row>
    <row r="1802" spans="1:22" x14ac:dyDescent="0.3">
      <c r="A1802" s="222"/>
      <c r="B1802" s="235"/>
      <c r="C1802" s="227"/>
      <c r="D1802" s="344"/>
      <c r="E1802" s="235"/>
      <c r="F1802" s="235"/>
      <c r="G1802" s="227"/>
      <c r="H1802" s="227"/>
      <c r="I1802" s="350"/>
      <c r="J1802" s="227"/>
      <c r="K1802" s="227"/>
      <c r="L1802" s="224"/>
      <c r="M1802" s="224"/>
      <c r="N1802" s="224"/>
      <c r="O1802" s="224"/>
      <c r="P1802" s="224"/>
      <c r="Q1802" s="224"/>
      <c r="R1802" s="224"/>
      <c r="S1802" s="224"/>
      <c r="T1802" s="224"/>
      <c r="U1802" s="224"/>
      <c r="V1802" s="224"/>
    </row>
    <row r="1803" spans="1:22" x14ac:dyDescent="0.3">
      <c r="A1803" s="222"/>
      <c r="B1803" s="235"/>
      <c r="C1803" s="227"/>
      <c r="D1803" s="344"/>
      <c r="E1803" s="235"/>
      <c r="F1803" s="235"/>
      <c r="G1803" s="227"/>
      <c r="H1803" s="227"/>
      <c r="I1803" s="350"/>
      <c r="J1803" s="227"/>
      <c r="K1803" s="227"/>
      <c r="L1803" s="224"/>
      <c r="M1803" s="224"/>
      <c r="N1803" s="224"/>
      <c r="O1803" s="224"/>
      <c r="P1803" s="224"/>
      <c r="Q1803" s="224"/>
      <c r="R1803" s="224"/>
      <c r="S1803" s="224"/>
      <c r="T1803" s="224"/>
      <c r="U1803" s="224"/>
      <c r="V1803" s="224"/>
    </row>
    <row r="1804" spans="1:22" x14ac:dyDescent="0.3">
      <c r="A1804" s="222"/>
      <c r="B1804" s="235"/>
      <c r="C1804" s="227"/>
      <c r="D1804" s="344"/>
      <c r="E1804" s="235"/>
      <c r="F1804" s="235"/>
      <c r="G1804" s="227"/>
      <c r="H1804" s="227"/>
      <c r="I1804" s="350"/>
      <c r="J1804" s="227"/>
      <c r="K1804" s="227"/>
      <c r="L1804" s="224"/>
      <c r="M1804" s="224"/>
      <c r="N1804" s="224"/>
      <c r="O1804" s="224"/>
      <c r="P1804" s="224"/>
      <c r="Q1804" s="224"/>
      <c r="R1804" s="224"/>
      <c r="S1804" s="224"/>
      <c r="T1804" s="224"/>
      <c r="U1804" s="224"/>
      <c r="V1804" s="224"/>
    </row>
    <row r="1805" spans="1:22" x14ac:dyDescent="0.3">
      <c r="A1805" s="222"/>
      <c r="B1805" s="235"/>
      <c r="C1805" s="227"/>
      <c r="D1805" s="344"/>
      <c r="E1805" s="235"/>
      <c r="F1805" s="235"/>
      <c r="G1805" s="227"/>
      <c r="H1805" s="227"/>
      <c r="I1805" s="350"/>
      <c r="J1805" s="227"/>
      <c r="K1805" s="227"/>
      <c r="L1805" s="224"/>
      <c r="M1805" s="224"/>
      <c r="N1805" s="224"/>
      <c r="O1805" s="224"/>
      <c r="P1805" s="224"/>
      <c r="Q1805" s="224"/>
      <c r="R1805" s="224"/>
      <c r="S1805" s="224"/>
      <c r="T1805" s="224"/>
      <c r="U1805" s="224"/>
      <c r="V1805" s="224"/>
    </row>
    <row r="1806" spans="1:22" x14ac:dyDescent="0.3">
      <c r="A1806" s="222"/>
      <c r="B1806" s="235"/>
      <c r="C1806" s="227"/>
      <c r="D1806" s="344"/>
      <c r="E1806" s="235"/>
      <c r="F1806" s="235"/>
      <c r="G1806" s="227"/>
      <c r="H1806" s="227"/>
      <c r="I1806" s="350"/>
      <c r="J1806" s="227"/>
      <c r="K1806" s="227"/>
      <c r="L1806" s="224"/>
      <c r="M1806" s="224"/>
      <c r="N1806" s="224"/>
      <c r="O1806" s="224"/>
      <c r="P1806" s="224"/>
      <c r="Q1806" s="224"/>
      <c r="R1806" s="224"/>
      <c r="S1806" s="224"/>
      <c r="T1806" s="224"/>
      <c r="U1806" s="224"/>
      <c r="V1806" s="224"/>
    </row>
    <row r="1807" spans="1:22" x14ac:dyDescent="0.3">
      <c r="A1807" s="222"/>
      <c r="B1807" s="235"/>
      <c r="C1807" s="227"/>
      <c r="D1807" s="344"/>
      <c r="E1807" s="235"/>
      <c r="F1807" s="235"/>
      <c r="G1807" s="227"/>
      <c r="H1807" s="227"/>
      <c r="I1807" s="350"/>
      <c r="J1807" s="227"/>
      <c r="K1807" s="227"/>
      <c r="L1807" s="224"/>
      <c r="M1807" s="224"/>
      <c r="N1807" s="224"/>
      <c r="O1807" s="224"/>
      <c r="P1807" s="224"/>
      <c r="Q1807" s="224"/>
      <c r="R1807" s="224"/>
      <c r="S1807" s="224"/>
      <c r="T1807" s="224"/>
      <c r="U1807" s="224"/>
      <c r="V1807" s="224"/>
    </row>
    <row r="1808" spans="1:22" x14ac:dyDescent="0.3">
      <c r="A1808" s="222"/>
      <c r="B1808" s="235"/>
      <c r="C1808" s="227"/>
      <c r="D1808" s="344"/>
      <c r="E1808" s="235"/>
      <c r="F1808" s="235"/>
      <c r="G1808" s="227"/>
      <c r="H1808" s="227"/>
      <c r="I1808" s="350"/>
      <c r="J1808" s="227"/>
      <c r="K1808" s="227"/>
      <c r="L1808" s="224"/>
      <c r="M1808" s="224"/>
      <c r="N1808" s="224"/>
      <c r="O1808" s="224"/>
      <c r="P1808" s="224"/>
      <c r="Q1808" s="224"/>
      <c r="R1808" s="224"/>
      <c r="S1808" s="224"/>
      <c r="T1808" s="224"/>
      <c r="U1808" s="224"/>
      <c r="V1808" s="224"/>
    </row>
    <row r="1809" spans="1:22" x14ac:dyDescent="0.3">
      <c r="A1809" s="222"/>
      <c r="B1809" s="235"/>
      <c r="C1809" s="227"/>
      <c r="D1809" s="344"/>
      <c r="E1809" s="235"/>
      <c r="F1809" s="235"/>
      <c r="G1809" s="227"/>
      <c r="H1809" s="227"/>
      <c r="I1809" s="350"/>
      <c r="J1809" s="227"/>
      <c r="K1809" s="227"/>
      <c r="L1809" s="224"/>
      <c r="M1809" s="224"/>
      <c r="N1809" s="224"/>
      <c r="O1809" s="224"/>
      <c r="P1809" s="224"/>
      <c r="Q1809" s="224"/>
      <c r="R1809" s="224"/>
      <c r="S1809" s="224"/>
      <c r="T1809" s="224"/>
      <c r="U1809" s="224"/>
      <c r="V1809" s="224"/>
    </row>
    <row r="1810" spans="1:22" x14ac:dyDescent="0.3">
      <c r="A1810" s="222"/>
      <c r="B1810" s="235"/>
      <c r="C1810" s="227"/>
      <c r="D1810" s="344"/>
      <c r="E1810" s="235"/>
      <c r="F1810" s="235"/>
      <c r="G1810" s="227"/>
      <c r="H1810" s="227"/>
      <c r="I1810" s="350"/>
      <c r="J1810" s="227"/>
      <c r="K1810" s="227"/>
      <c r="L1810" s="224"/>
      <c r="M1810" s="224"/>
      <c r="N1810" s="224"/>
      <c r="O1810" s="224"/>
      <c r="P1810" s="224"/>
      <c r="Q1810" s="224"/>
      <c r="R1810" s="224"/>
      <c r="S1810" s="224"/>
      <c r="T1810" s="224"/>
      <c r="U1810" s="224"/>
      <c r="V1810" s="224"/>
    </row>
    <row r="1811" spans="1:22" x14ac:dyDescent="0.3">
      <c r="A1811" s="222"/>
      <c r="B1811" s="235"/>
      <c r="C1811" s="227"/>
      <c r="D1811" s="344"/>
      <c r="E1811" s="235"/>
      <c r="F1811" s="235"/>
      <c r="G1811" s="227"/>
      <c r="H1811" s="227"/>
      <c r="I1811" s="350"/>
      <c r="J1811" s="227"/>
      <c r="K1811" s="227"/>
      <c r="L1811" s="224"/>
      <c r="M1811" s="224"/>
      <c r="N1811" s="224"/>
      <c r="O1811" s="224"/>
      <c r="P1811" s="224"/>
      <c r="Q1811" s="224"/>
      <c r="R1811" s="224"/>
      <c r="S1811" s="224"/>
      <c r="T1811" s="224"/>
      <c r="U1811" s="224"/>
      <c r="V1811" s="224"/>
    </row>
    <row r="1812" spans="1:22" x14ac:dyDescent="0.3">
      <c r="A1812" s="222"/>
      <c r="B1812" s="235"/>
      <c r="C1812" s="227"/>
      <c r="D1812" s="344"/>
      <c r="E1812" s="235"/>
      <c r="F1812" s="235"/>
      <c r="G1812" s="227"/>
      <c r="H1812" s="227"/>
      <c r="I1812" s="350"/>
      <c r="J1812" s="227"/>
      <c r="K1812" s="227"/>
      <c r="L1812" s="224"/>
      <c r="M1812" s="224"/>
      <c r="N1812" s="224"/>
      <c r="O1812" s="224"/>
      <c r="P1812" s="224"/>
      <c r="Q1812" s="224"/>
      <c r="R1812" s="224"/>
      <c r="S1812" s="224"/>
      <c r="T1812" s="224"/>
      <c r="U1812" s="224"/>
      <c r="V1812" s="224"/>
    </row>
    <row r="1813" spans="1:22" x14ac:dyDescent="0.3">
      <c r="A1813" s="222"/>
      <c r="B1813" s="235"/>
      <c r="C1813" s="227"/>
      <c r="D1813" s="344"/>
      <c r="E1813" s="235"/>
      <c r="F1813" s="235"/>
      <c r="G1813" s="227"/>
      <c r="H1813" s="227"/>
      <c r="I1813" s="350"/>
      <c r="J1813" s="227"/>
      <c r="K1813" s="227"/>
      <c r="L1813" s="224"/>
      <c r="M1813" s="224"/>
      <c r="N1813" s="224"/>
      <c r="O1813" s="224"/>
      <c r="P1813" s="224"/>
      <c r="Q1813" s="224"/>
      <c r="R1813" s="224"/>
      <c r="S1813" s="224"/>
      <c r="T1813" s="224"/>
      <c r="U1813" s="224"/>
      <c r="V1813" s="224"/>
    </row>
    <row r="1814" spans="1:22" x14ac:dyDescent="0.3">
      <c r="A1814" s="222"/>
      <c r="B1814" s="235"/>
      <c r="C1814" s="227"/>
      <c r="D1814" s="344"/>
      <c r="E1814" s="235"/>
      <c r="F1814" s="235"/>
      <c r="G1814" s="227"/>
      <c r="H1814" s="227"/>
      <c r="I1814" s="350"/>
      <c r="J1814" s="227"/>
      <c r="K1814" s="227"/>
      <c r="L1814" s="224"/>
      <c r="M1814" s="224"/>
      <c r="N1814" s="224"/>
      <c r="O1814" s="224"/>
      <c r="P1814" s="224"/>
      <c r="Q1814" s="224"/>
      <c r="R1814" s="224"/>
      <c r="S1814" s="224"/>
      <c r="T1814" s="224"/>
      <c r="U1814" s="224"/>
      <c r="V1814" s="224"/>
    </row>
    <row r="1815" spans="1:22" x14ac:dyDescent="0.3">
      <c r="A1815" s="222"/>
      <c r="B1815" s="235"/>
      <c r="C1815" s="227"/>
      <c r="D1815" s="344"/>
      <c r="E1815" s="235"/>
      <c r="F1815" s="235"/>
      <c r="G1815" s="227"/>
      <c r="H1815" s="227"/>
      <c r="I1815" s="350"/>
      <c r="J1815" s="227"/>
      <c r="K1815" s="227"/>
      <c r="L1815" s="224"/>
      <c r="M1815" s="224"/>
      <c r="N1815" s="224"/>
      <c r="O1815" s="224"/>
      <c r="P1815" s="224"/>
      <c r="Q1815" s="224"/>
      <c r="R1815" s="224"/>
      <c r="S1815" s="224"/>
      <c r="T1815" s="224"/>
      <c r="U1815" s="224"/>
      <c r="V1815" s="224"/>
    </row>
    <row r="1816" spans="1:22" x14ac:dyDescent="0.3">
      <c r="A1816" s="222"/>
      <c r="B1816" s="235"/>
      <c r="C1816" s="227"/>
      <c r="D1816" s="344"/>
      <c r="E1816" s="235"/>
      <c r="F1816" s="235"/>
      <c r="G1816" s="227"/>
      <c r="H1816" s="227"/>
      <c r="I1816" s="350"/>
      <c r="J1816" s="227"/>
      <c r="K1816" s="227"/>
      <c r="L1816" s="224"/>
      <c r="M1816" s="224"/>
      <c r="N1816" s="224"/>
      <c r="O1816" s="224"/>
      <c r="P1816" s="224"/>
      <c r="Q1816" s="224"/>
      <c r="R1816" s="224"/>
      <c r="S1816" s="224"/>
      <c r="T1816" s="224"/>
      <c r="U1816" s="224"/>
      <c r="V1816" s="224"/>
    </row>
    <row r="1817" spans="1:22" x14ac:dyDescent="0.3">
      <c r="A1817" s="222"/>
      <c r="B1817" s="235"/>
      <c r="C1817" s="227"/>
      <c r="D1817" s="344"/>
      <c r="E1817" s="235"/>
      <c r="F1817" s="235"/>
      <c r="G1817" s="227"/>
      <c r="H1817" s="227"/>
      <c r="I1817" s="350"/>
      <c r="J1817" s="227"/>
      <c r="K1817" s="227"/>
      <c r="L1817" s="224"/>
      <c r="M1817" s="224"/>
      <c r="N1817" s="224"/>
      <c r="O1817" s="224"/>
      <c r="P1817" s="224"/>
      <c r="Q1817" s="224"/>
      <c r="R1817" s="224"/>
      <c r="S1817" s="224"/>
      <c r="T1817" s="224"/>
      <c r="U1817" s="224"/>
      <c r="V1817" s="224"/>
    </row>
    <row r="1818" spans="1:22" x14ac:dyDescent="0.3">
      <c r="A1818" s="222"/>
      <c r="B1818" s="235"/>
      <c r="C1818" s="227"/>
      <c r="D1818" s="344"/>
      <c r="E1818" s="235"/>
      <c r="F1818" s="235"/>
      <c r="G1818" s="227"/>
      <c r="H1818" s="227"/>
      <c r="I1818" s="350"/>
      <c r="J1818" s="227"/>
      <c r="K1818" s="227"/>
      <c r="L1818" s="224"/>
      <c r="M1818" s="224"/>
      <c r="N1818" s="224"/>
      <c r="O1818" s="224"/>
      <c r="P1818" s="224"/>
      <c r="Q1818" s="224"/>
      <c r="R1818" s="224"/>
      <c r="S1818" s="224"/>
      <c r="T1818" s="224"/>
      <c r="U1818" s="224"/>
      <c r="V1818" s="224"/>
    </row>
    <row r="1819" spans="1:22" x14ac:dyDescent="0.3">
      <c r="A1819" s="222"/>
      <c r="B1819" s="235"/>
      <c r="C1819" s="227"/>
      <c r="D1819" s="344"/>
      <c r="E1819" s="235"/>
      <c r="F1819" s="235"/>
      <c r="G1819" s="227"/>
      <c r="H1819" s="227"/>
      <c r="I1819" s="350"/>
      <c r="J1819" s="227"/>
      <c r="K1819" s="227"/>
      <c r="L1819" s="224"/>
      <c r="M1819" s="224"/>
      <c r="N1819" s="224"/>
      <c r="O1819" s="224"/>
      <c r="P1819" s="224"/>
      <c r="Q1819" s="224"/>
      <c r="R1819" s="224"/>
      <c r="S1819" s="224"/>
      <c r="T1819" s="224"/>
      <c r="U1819" s="224"/>
      <c r="V1819" s="224"/>
    </row>
    <row r="1820" spans="1:22" x14ac:dyDescent="0.3">
      <c r="A1820" s="222"/>
      <c r="B1820" s="235"/>
      <c r="C1820" s="227"/>
      <c r="D1820" s="344"/>
      <c r="E1820" s="235"/>
      <c r="F1820" s="235"/>
      <c r="G1820" s="227"/>
      <c r="H1820" s="227"/>
      <c r="I1820" s="350"/>
      <c r="J1820" s="227"/>
      <c r="K1820" s="227"/>
      <c r="L1820" s="224"/>
      <c r="M1820" s="224"/>
      <c r="N1820" s="224"/>
      <c r="O1820" s="224"/>
      <c r="P1820" s="224"/>
      <c r="Q1820" s="224"/>
      <c r="R1820" s="224"/>
      <c r="S1820" s="224"/>
      <c r="T1820" s="224"/>
      <c r="U1820" s="224"/>
      <c r="V1820" s="224"/>
    </row>
    <row r="1821" spans="1:22" x14ac:dyDescent="0.3">
      <c r="A1821" s="222"/>
      <c r="B1821" s="235"/>
      <c r="C1821" s="227"/>
      <c r="D1821" s="344"/>
      <c r="E1821" s="235"/>
      <c r="F1821" s="235"/>
      <c r="G1821" s="227"/>
      <c r="H1821" s="227"/>
      <c r="I1821" s="350"/>
      <c r="J1821" s="227"/>
      <c r="K1821" s="227"/>
      <c r="L1821" s="224"/>
      <c r="M1821" s="224"/>
      <c r="N1821" s="224"/>
      <c r="O1821" s="224"/>
      <c r="P1821" s="224"/>
      <c r="Q1821" s="224"/>
      <c r="R1821" s="224"/>
      <c r="S1821" s="224"/>
      <c r="T1821" s="224"/>
      <c r="U1821" s="224"/>
      <c r="V1821" s="224"/>
    </row>
    <row r="1822" spans="1:22" x14ac:dyDescent="0.3">
      <c r="A1822" s="222"/>
      <c r="B1822" s="235"/>
      <c r="C1822" s="227"/>
      <c r="D1822" s="344"/>
      <c r="E1822" s="235"/>
      <c r="F1822" s="235"/>
      <c r="G1822" s="227"/>
      <c r="H1822" s="227"/>
      <c r="I1822" s="350"/>
      <c r="J1822" s="227"/>
      <c r="K1822" s="227"/>
      <c r="L1822" s="224"/>
      <c r="M1822" s="224"/>
      <c r="N1822" s="224"/>
      <c r="O1822" s="224"/>
      <c r="P1822" s="224"/>
      <c r="Q1822" s="224"/>
      <c r="R1822" s="224"/>
      <c r="S1822" s="224"/>
      <c r="T1822" s="224"/>
      <c r="U1822" s="224"/>
      <c r="V1822" s="224"/>
    </row>
    <row r="1823" spans="1:22" x14ac:dyDescent="0.3">
      <c r="A1823" s="222"/>
      <c r="B1823" s="235"/>
      <c r="C1823" s="227"/>
      <c r="D1823" s="344"/>
      <c r="E1823" s="235"/>
      <c r="F1823" s="235"/>
      <c r="G1823" s="227"/>
      <c r="H1823" s="227"/>
      <c r="I1823" s="350"/>
      <c r="J1823" s="227"/>
      <c r="K1823" s="227"/>
      <c r="L1823" s="224"/>
      <c r="M1823" s="224"/>
      <c r="N1823" s="224"/>
      <c r="O1823" s="224"/>
      <c r="P1823" s="224"/>
      <c r="Q1823" s="224"/>
      <c r="R1823" s="224"/>
      <c r="S1823" s="224"/>
      <c r="T1823" s="224"/>
      <c r="U1823" s="224"/>
      <c r="V1823" s="224"/>
    </row>
    <row r="1824" spans="1:22" x14ac:dyDescent="0.3">
      <c r="A1824" s="222"/>
      <c r="B1824" s="235"/>
      <c r="C1824" s="227"/>
      <c r="D1824" s="344"/>
      <c r="E1824" s="235"/>
      <c r="F1824" s="235"/>
      <c r="G1824" s="227"/>
      <c r="H1824" s="227"/>
      <c r="I1824" s="350"/>
      <c r="J1824" s="227"/>
      <c r="K1824" s="227"/>
      <c r="L1824" s="224"/>
      <c r="M1824" s="224"/>
      <c r="N1824" s="224"/>
      <c r="O1824" s="224"/>
      <c r="P1824" s="224"/>
      <c r="Q1824" s="224"/>
      <c r="R1824" s="224"/>
      <c r="S1824" s="224"/>
      <c r="T1824" s="224"/>
      <c r="U1824" s="224"/>
      <c r="V1824" s="224"/>
    </row>
    <row r="1825" spans="1:22" x14ac:dyDescent="0.3">
      <c r="A1825" s="222"/>
      <c r="B1825" s="235"/>
      <c r="C1825" s="227"/>
      <c r="D1825" s="344"/>
      <c r="E1825" s="235"/>
      <c r="F1825" s="235"/>
      <c r="G1825" s="227"/>
      <c r="H1825" s="227"/>
      <c r="I1825" s="350"/>
      <c r="J1825" s="227"/>
      <c r="K1825" s="227"/>
      <c r="L1825" s="224"/>
      <c r="M1825" s="224"/>
      <c r="N1825" s="224"/>
      <c r="O1825" s="224"/>
      <c r="P1825" s="224"/>
      <c r="Q1825" s="224"/>
      <c r="R1825" s="224"/>
      <c r="S1825" s="224"/>
      <c r="T1825" s="224"/>
      <c r="U1825" s="224"/>
      <c r="V1825" s="224"/>
    </row>
    <row r="1826" spans="1:22" x14ac:dyDescent="0.3">
      <c r="A1826" s="222"/>
      <c r="B1826" s="235"/>
      <c r="C1826" s="227"/>
      <c r="D1826" s="344"/>
      <c r="E1826" s="235"/>
      <c r="F1826" s="235"/>
      <c r="G1826" s="227"/>
      <c r="H1826" s="227"/>
      <c r="I1826" s="350"/>
      <c r="J1826" s="227"/>
      <c r="K1826" s="227"/>
      <c r="L1826" s="224"/>
      <c r="M1826" s="224"/>
      <c r="N1826" s="224"/>
      <c r="O1826" s="224"/>
      <c r="P1826" s="224"/>
      <c r="Q1826" s="224"/>
      <c r="R1826" s="224"/>
      <c r="S1826" s="224"/>
      <c r="T1826" s="224"/>
      <c r="U1826" s="224"/>
      <c r="V1826" s="224"/>
    </row>
    <row r="1827" spans="1:22" x14ac:dyDescent="0.3">
      <c r="A1827" s="222"/>
      <c r="B1827" s="235"/>
      <c r="C1827" s="227"/>
      <c r="D1827" s="344"/>
      <c r="E1827" s="235"/>
      <c r="F1827" s="235"/>
      <c r="G1827" s="227"/>
      <c r="H1827" s="227"/>
      <c r="I1827" s="350"/>
      <c r="J1827" s="227"/>
      <c r="K1827" s="227"/>
      <c r="L1827" s="224"/>
      <c r="M1827" s="224"/>
      <c r="N1827" s="224"/>
      <c r="O1827" s="224"/>
      <c r="P1827" s="224"/>
      <c r="Q1827" s="224"/>
      <c r="R1827" s="224"/>
      <c r="S1827" s="224"/>
      <c r="T1827" s="224"/>
      <c r="U1827" s="224"/>
      <c r="V1827" s="224"/>
    </row>
    <row r="1828" spans="1:22" x14ac:dyDescent="0.3">
      <c r="A1828" s="222"/>
      <c r="B1828" s="235"/>
      <c r="C1828" s="227"/>
      <c r="D1828" s="344"/>
      <c r="E1828" s="235"/>
      <c r="F1828" s="235"/>
      <c r="G1828" s="227"/>
      <c r="H1828" s="227"/>
      <c r="I1828" s="350"/>
      <c r="J1828" s="227"/>
      <c r="K1828" s="227"/>
      <c r="L1828" s="224"/>
      <c r="M1828" s="224"/>
      <c r="N1828" s="224"/>
      <c r="O1828" s="224"/>
      <c r="P1828" s="224"/>
      <c r="Q1828" s="224"/>
      <c r="R1828" s="224"/>
      <c r="S1828" s="224"/>
      <c r="T1828" s="224"/>
      <c r="U1828" s="224"/>
      <c r="V1828" s="224"/>
    </row>
    <row r="1829" spans="1:22" x14ac:dyDescent="0.3">
      <c r="A1829" s="222"/>
      <c r="B1829" s="235"/>
      <c r="C1829" s="227"/>
      <c r="D1829" s="344"/>
      <c r="E1829" s="235"/>
      <c r="F1829" s="235"/>
      <c r="G1829" s="227"/>
      <c r="H1829" s="227"/>
      <c r="I1829" s="350"/>
      <c r="J1829" s="227"/>
      <c r="K1829" s="227"/>
      <c r="L1829" s="224"/>
      <c r="M1829" s="224"/>
      <c r="N1829" s="224"/>
      <c r="O1829" s="224"/>
      <c r="P1829" s="224"/>
      <c r="Q1829" s="224"/>
      <c r="R1829" s="224"/>
      <c r="S1829" s="224"/>
      <c r="T1829" s="224"/>
      <c r="U1829" s="224"/>
      <c r="V1829" s="224"/>
    </row>
    <row r="1830" spans="1:22" x14ac:dyDescent="0.3">
      <c r="A1830" s="222"/>
      <c r="B1830" s="235"/>
      <c r="C1830" s="227"/>
      <c r="D1830" s="344"/>
      <c r="E1830" s="235"/>
      <c r="F1830" s="235"/>
      <c r="G1830" s="227"/>
      <c r="H1830" s="227"/>
      <c r="I1830" s="350"/>
      <c r="J1830" s="227"/>
      <c r="K1830" s="227"/>
      <c r="L1830" s="224"/>
      <c r="M1830" s="224"/>
      <c r="N1830" s="224"/>
      <c r="O1830" s="224"/>
      <c r="P1830" s="224"/>
      <c r="Q1830" s="224"/>
      <c r="R1830" s="224"/>
      <c r="S1830" s="224"/>
      <c r="T1830" s="224"/>
      <c r="U1830" s="224"/>
      <c r="V1830" s="224"/>
    </row>
    <row r="1831" spans="1:22" x14ac:dyDescent="0.3">
      <c r="A1831" s="222"/>
      <c r="B1831" s="235"/>
      <c r="C1831" s="227"/>
      <c r="D1831" s="344"/>
      <c r="E1831" s="235"/>
      <c r="F1831" s="235"/>
      <c r="G1831" s="227"/>
      <c r="H1831" s="227"/>
      <c r="I1831" s="350"/>
      <c r="J1831" s="227"/>
      <c r="K1831" s="227"/>
      <c r="L1831" s="224"/>
      <c r="M1831" s="224"/>
      <c r="N1831" s="224"/>
      <c r="O1831" s="224"/>
      <c r="P1831" s="224"/>
      <c r="Q1831" s="224"/>
      <c r="R1831" s="224"/>
      <c r="S1831" s="224"/>
      <c r="T1831" s="224"/>
      <c r="U1831" s="224"/>
      <c r="V1831" s="224"/>
    </row>
    <row r="1832" spans="1:22" x14ac:dyDescent="0.3">
      <c r="A1832" s="222"/>
      <c r="B1832" s="235"/>
      <c r="C1832" s="227"/>
      <c r="D1832" s="344"/>
      <c r="E1832" s="235"/>
      <c r="F1832" s="235"/>
      <c r="G1832" s="227"/>
      <c r="H1832" s="227"/>
      <c r="I1832" s="350"/>
      <c r="J1832" s="227"/>
      <c r="K1832" s="227"/>
      <c r="L1832" s="224"/>
      <c r="M1832" s="224"/>
      <c r="N1832" s="224"/>
      <c r="O1832" s="224"/>
      <c r="P1832" s="224"/>
      <c r="Q1832" s="224"/>
      <c r="R1832" s="224"/>
      <c r="S1832" s="224"/>
      <c r="T1832" s="224"/>
      <c r="U1832" s="224"/>
      <c r="V1832" s="224"/>
    </row>
    <row r="1833" spans="1:22" x14ac:dyDescent="0.3">
      <c r="A1833" s="222"/>
      <c r="B1833" s="235"/>
      <c r="C1833" s="227"/>
      <c r="D1833" s="344"/>
      <c r="E1833" s="235"/>
      <c r="F1833" s="235"/>
      <c r="G1833" s="227"/>
      <c r="H1833" s="227"/>
      <c r="I1833" s="350"/>
      <c r="J1833" s="227"/>
      <c r="K1833" s="227"/>
      <c r="L1833" s="224"/>
      <c r="M1833" s="224"/>
      <c r="N1833" s="224"/>
      <c r="O1833" s="224"/>
      <c r="P1833" s="224"/>
      <c r="Q1833" s="224"/>
      <c r="R1833" s="224"/>
      <c r="S1833" s="224"/>
      <c r="T1833" s="224"/>
      <c r="U1833" s="224"/>
      <c r="V1833" s="224"/>
    </row>
    <row r="1834" spans="1:22" x14ac:dyDescent="0.3">
      <c r="A1834" s="222"/>
      <c r="B1834" s="235"/>
      <c r="C1834" s="227"/>
      <c r="D1834" s="344"/>
      <c r="E1834" s="235"/>
      <c r="F1834" s="235"/>
      <c r="G1834" s="227"/>
      <c r="H1834" s="227"/>
      <c r="I1834" s="350"/>
      <c r="J1834" s="227"/>
      <c r="K1834" s="227"/>
      <c r="L1834" s="224"/>
      <c r="M1834" s="224"/>
      <c r="N1834" s="224"/>
      <c r="O1834" s="224"/>
      <c r="P1834" s="224"/>
      <c r="Q1834" s="224"/>
      <c r="R1834" s="224"/>
      <c r="S1834" s="224"/>
      <c r="T1834" s="224"/>
      <c r="U1834" s="224"/>
      <c r="V1834" s="224"/>
    </row>
    <row r="1835" spans="1:22" x14ac:dyDescent="0.3">
      <c r="A1835" s="222"/>
      <c r="B1835" s="235"/>
      <c r="C1835" s="227"/>
      <c r="D1835" s="344"/>
      <c r="E1835" s="235"/>
      <c r="F1835" s="235"/>
      <c r="G1835" s="227"/>
      <c r="H1835" s="227"/>
      <c r="I1835" s="350"/>
      <c r="J1835" s="227"/>
      <c r="K1835" s="227"/>
      <c r="L1835" s="224"/>
      <c r="M1835" s="224"/>
      <c r="N1835" s="224"/>
      <c r="O1835" s="224"/>
      <c r="P1835" s="224"/>
      <c r="Q1835" s="224"/>
      <c r="R1835" s="224"/>
      <c r="S1835" s="224"/>
      <c r="T1835" s="224"/>
      <c r="U1835" s="224"/>
      <c r="V1835" s="224"/>
    </row>
    <row r="1836" spans="1:22" x14ac:dyDescent="0.3">
      <c r="A1836" s="222"/>
      <c r="B1836" s="235"/>
      <c r="C1836" s="227"/>
      <c r="D1836" s="344"/>
      <c r="E1836" s="235"/>
      <c r="F1836" s="235"/>
      <c r="G1836" s="227"/>
      <c r="H1836" s="227"/>
      <c r="I1836" s="350"/>
      <c r="J1836" s="227"/>
      <c r="K1836" s="227"/>
      <c r="L1836" s="224"/>
      <c r="M1836" s="224"/>
      <c r="N1836" s="224"/>
      <c r="O1836" s="224"/>
      <c r="P1836" s="224"/>
      <c r="Q1836" s="224"/>
      <c r="R1836" s="224"/>
      <c r="S1836" s="224"/>
      <c r="T1836" s="224"/>
      <c r="U1836" s="224"/>
      <c r="V1836" s="224"/>
    </row>
    <row r="1837" spans="1:22" x14ac:dyDescent="0.3">
      <c r="A1837" s="222"/>
      <c r="B1837" s="235"/>
      <c r="C1837" s="227"/>
      <c r="D1837" s="344"/>
      <c r="E1837" s="235"/>
      <c r="F1837" s="235"/>
      <c r="G1837" s="227"/>
      <c r="H1837" s="227"/>
      <c r="I1837" s="350"/>
      <c r="J1837" s="227"/>
      <c r="K1837" s="227"/>
      <c r="L1837" s="224"/>
      <c r="M1837" s="224"/>
      <c r="N1837" s="224"/>
      <c r="O1837" s="224"/>
      <c r="P1837" s="224"/>
      <c r="Q1837" s="224"/>
      <c r="R1837" s="224"/>
      <c r="S1837" s="224"/>
      <c r="T1837" s="224"/>
      <c r="U1837" s="224"/>
      <c r="V1837" s="224"/>
    </row>
    <row r="1838" spans="1:22" x14ac:dyDescent="0.3">
      <c r="A1838" s="222"/>
      <c r="B1838" s="235"/>
      <c r="C1838" s="227"/>
      <c r="D1838" s="344"/>
      <c r="E1838" s="235"/>
      <c r="F1838" s="235"/>
      <c r="G1838" s="227"/>
      <c r="H1838" s="227"/>
      <c r="I1838" s="350"/>
      <c r="J1838" s="227"/>
      <c r="K1838" s="227"/>
      <c r="L1838" s="224"/>
      <c r="M1838" s="224"/>
      <c r="N1838" s="224"/>
      <c r="O1838" s="224"/>
      <c r="P1838" s="224"/>
      <c r="Q1838" s="224"/>
      <c r="R1838" s="224"/>
      <c r="S1838" s="224"/>
      <c r="T1838" s="224"/>
      <c r="U1838" s="224"/>
      <c r="V1838" s="224"/>
    </row>
    <row r="1839" spans="1:22" x14ac:dyDescent="0.3">
      <c r="A1839" s="222"/>
      <c r="B1839" s="235"/>
      <c r="C1839" s="227"/>
      <c r="D1839" s="344"/>
      <c r="E1839" s="235"/>
      <c r="F1839" s="235"/>
      <c r="G1839" s="227"/>
      <c r="H1839" s="227"/>
      <c r="I1839" s="350"/>
      <c r="J1839" s="227"/>
      <c r="K1839" s="227"/>
      <c r="L1839" s="224"/>
      <c r="M1839" s="224"/>
      <c r="N1839" s="224"/>
      <c r="O1839" s="224"/>
      <c r="P1839" s="224"/>
      <c r="Q1839" s="224"/>
      <c r="R1839" s="224"/>
      <c r="S1839" s="224"/>
      <c r="T1839" s="224"/>
      <c r="U1839" s="224"/>
      <c r="V1839" s="224"/>
    </row>
    <row r="1840" spans="1:22" x14ac:dyDescent="0.3">
      <c r="A1840" s="222"/>
      <c r="B1840" s="235"/>
      <c r="C1840" s="227"/>
      <c r="D1840" s="344"/>
      <c r="E1840" s="235"/>
      <c r="F1840" s="235"/>
      <c r="G1840" s="227"/>
      <c r="H1840" s="227"/>
      <c r="I1840" s="350"/>
      <c r="J1840" s="227"/>
      <c r="K1840" s="227"/>
      <c r="L1840" s="224"/>
      <c r="M1840" s="224"/>
      <c r="N1840" s="224"/>
      <c r="O1840" s="224"/>
      <c r="P1840" s="224"/>
      <c r="Q1840" s="224"/>
      <c r="R1840" s="224"/>
      <c r="S1840" s="224"/>
      <c r="T1840" s="224"/>
      <c r="U1840" s="224"/>
      <c r="V1840" s="224"/>
    </row>
    <row r="1841" spans="1:22" x14ac:dyDescent="0.3">
      <c r="A1841" s="222"/>
      <c r="B1841" s="235"/>
      <c r="C1841" s="227"/>
      <c r="D1841" s="344"/>
      <c r="E1841" s="235"/>
      <c r="F1841" s="235"/>
      <c r="G1841" s="227"/>
      <c r="H1841" s="227"/>
      <c r="I1841" s="350"/>
      <c r="J1841" s="227"/>
      <c r="K1841" s="227"/>
      <c r="L1841" s="224"/>
      <c r="M1841" s="224"/>
      <c r="N1841" s="224"/>
      <c r="O1841" s="224"/>
      <c r="P1841" s="224"/>
      <c r="Q1841" s="224"/>
      <c r="R1841" s="224"/>
      <c r="S1841" s="224"/>
      <c r="T1841" s="224"/>
      <c r="U1841" s="224"/>
      <c r="V1841" s="224"/>
    </row>
    <row r="1842" spans="1:22" x14ac:dyDescent="0.3">
      <c r="A1842" s="222"/>
      <c r="B1842" s="235"/>
      <c r="C1842" s="227"/>
      <c r="D1842" s="344"/>
      <c r="E1842" s="235"/>
      <c r="F1842" s="235"/>
      <c r="G1842" s="227"/>
      <c r="H1842" s="227"/>
      <c r="I1842" s="350"/>
      <c r="J1842" s="227"/>
      <c r="K1842" s="227"/>
      <c r="L1842" s="224"/>
      <c r="M1842" s="224"/>
      <c r="N1842" s="224"/>
      <c r="O1842" s="224"/>
      <c r="P1842" s="224"/>
      <c r="Q1842" s="224"/>
      <c r="R1842" s="224"/>
      <c r="S1842" s="224"/>
      <c r="T1842" s="224"/>
      <c r="U1842" s="224"/>
      <c r="V1842" s="224"/>
    </row>
    <row r="1843" spans="1:22" x14ac:dyDescent="0.3">
      <c r="A1843" s="222"/>
      <c r="B1843" s="235"/>
      <c r="C1843" s="227"/>
      <c r="D1843" s="344"/>
      <c r="E1843" s="235"/>
      <c r="F1843" s="235"/>
      <c r="G1843" s="227"/>
      <c r="H1843" s="227"/>
      <c r="I1843" s="350"/>
      <c r="J1843" s="227"/>
      <c r="K1843" s="227"/>
      <c r="L1843" s="224"/>
      <c r="M1843" s="224"/>
      <c r="N1843" s="224"/>
      <c r="O1843" s="224"/>
      <c r="P1843" s="224"/>
      <c r="Q1843" s="224"/>
      <c r="R1843" s="224"/>
      <c r="S1843" s="224"/>
      <c r="T1843" s="224"/>
      <c r="U1843" s="224"/>
      <c r="V1843" s="224"/>
    </row>
    <row r="1844" spans="1:22" x14ac:dyDescent="0.3">
      <c r="A1844" s="222"/>
      <c r="B1844" s="235"/>
      <c r="C1844" s="227"/>
      <c r="D1844" s="344"/>
      <c r="E1844" s="235"/>
      <c r="F1844" s="235"/>
      <c r="G1844" s="227"/>
      <c r="H1844" s="227"/>
      <c r="I1844" s="350"/>
      <c r="J1844" s="227"/>
      <c r="K1844" s="227"/>
      <c r="L1844" s="224"/>
      <c r="M1844" s="224"/>
      <c r="N1844" s="224"/>
      <c r="O1844" s="224"/>
      <c r="P1844" s="224"/>
      <c r="Q1844" s="224"/>
      <c r="R1844" s="224"/>
      <c r="S1844" s="224"/>
      <c r="T1844" s="224"/>
      <c r="U1844" s="224"/>
      <c r="V1844" s="224"/>
    </row>
    <row r="1845" spans="1:22" x14ac:dyDescent="0.3">
      <c r="A1845" s="222"/>
      <c r="B1845" s="235"/>
      <c r="C1845" s="227"/>
      <c r="D1845" s="344"/>
      <c r="E1845" s="235"/>
      <c r="F1845" s="235"/>
      <c r="G1845" s="227"/>
      <c r="H1845" s="227"/>
      <c r="I1845" s="350"/>
      <c r="J1845" s="227"/>
      <c r="K1845" s="227"/>
      <c r="L1845" s="224"/>
      <c r="M1845" s="224"/>
      <c r="N1845" s="224"/>
      <c r="O1845" s="224"/>
      <c r="P1845" s="224"/>
      <c r="Q1845" s="224"/>
      <c r="R1845" s="224"/>
      <c r="S1845" s="224"/>
      <c r="T1845" s="224"/>
      <c r="U1845" s="224"/>
      <c r="V1845" s="224"/>
    </row>
    <row r="1846" spans="1:22" x14ac:dyDescent="0.3">
      <c r="A1846" s="222"/>
      <c r="B1846" s="235"/>
      <c r="C1846" s="227"/>
      <c r="D1846" s="344"/>
      <c r="E1846" s="235"/>
      <c r="F1846" s="235"/>
      <c r="G1846" s="227"/>
      <c r="H1846" s="227"/>
      <c r="I1846" s="350"/>
      <c r="J1846" s="227"/>
      <c r="K1846" s="227"/>
      <c r="L1846" s="224"/>
      <c r="M1846" s="224"/>
      <c r="N1846" s="224"/>
      <c r="O1846" s="224"/>
      <c r="P1846" s="224"/>
      <c r="Q1846" s="224"/>
      <c r="R1846" s="224"/>
      <c r="S1846" s="224"/>
      <c r="T1846" s="224"/>
      <c r="U1846" s="224"/>
      <c r="V1846" s="224"/>
    </row>
    <row r="1847" spans="1:22" x14ac:dyDescent="0.3">
      <c r="A1847" s="222"/>
      <c r="B1847" s="235"/>
      <c r="C1847" s="227"/>
      <c r="D1847" s="344"/>
      <c r="E1847" s="235"/>
      <c r="F1847" s="235"/>
      <c r="G1847" s="227"/>
      <c r="H1847" s="227"/>
      <c r="I1847" s="350"/>
      <c r="J1847" s="227"/>
      <c r="K1847" s="227"/>
      <c r="L1847" s="224"/>
      <c r="M1847" s="224"/>
      <c r="N1847" s="224"/>
      <c r="O1847" s="224"/>
      <c r="P1847" s="224"/>
      <c r="Q1847" s="224"/>
      <c r="R1847" s="224"/>
      <c r="S1847" s="224"/>
      <c r="T1847" s="224"/>
      <c r="U1847" s="224"/>
      <c r="V1847" s="224"/>
    </row>
    <row r="1848" spans="1:22" x14ac:dyDescent="0.3">
      <c r="A1848" s="222"/>
      <c r="B1848" s="235"/>
      <c r="C1848" s="227"/>
      <c r="D1848" s="344"/>
      <c r="E1848" s="235"/>
      <c r="F1848" s="235"/>
      <c r="G1848" s="227"/>
      <c r="H1848" s="227"/>
      <c r="I1848" s="350"/>
      <c r="J1848" s="227"/>
      <c r="K1848" s="227"/>
      <c r="L1848" s="224"/>
      <c r="M1848" s="224"/>
      <c r="N1848" s="224"/>
      <c r="O1848" s="224"/>
      <c r="P1848" s="224"/>
      <c r="Q1848" s="224"/>
      <c r="R1848" s="224"/>
      <c r="S1848" s="224"/>
      <c r="T1848" s="224"/>
      <c r="U1848" s="224"/>
      <c r="V1848" s="224"/>
    </row>
    <row r="1849" spans="1:22" x14ac:dyDescent="0.3">
      <c r="A1849" s="222"/>
      <c r="B1849" s="235"/>
      <c r="C1849" s="227"/>
      <c r="D1849" s="344"/>
      <c r="E1849" s="235"/>
      <c r="F1849" s="235"/>
      <c r="G1849" s="227"/>
      <c r="H1849" s="227"/>
      <c r="I1849" s="350"/>
      <c r="J1849" s="227"/>
      <c r="K1849" s="227"/>
      <c r="L1849" s="224"/>
      <c r="M1849" s="224"/>
      <c r="N1849" s="224"/>
      <c r="O1849" s="224"/>
      <c r="P1849" s="224"/>
      <c r="Q1849" s="224"/>
      <c r="R1849" s="224"/>
      <c r="S1849" s="224"/>
      <c r="T1849" s="224"/>
      <c r="U1849" s="224"/>
      <c r="V1849" s="224"/>
    </row>
    <row r="1850" spans="1:22" x14ac:dyDescent="0.3">
      <c r="A1850" s="222"/>
      <c r="B1850" s="235"/>
      <c r="C1850" s="227"/>
      <c r="D1850" s="344"/>
      <c r="E1850" s="235"/>
      <c r="F1850" s="235"/>
      <c r="G1850" s="227"/>
      <c r="H1850" s="227"/>
      <c r="I1850" s="350"/>
      <c r="J1850" s="227"/>
      <c r="K1850" s="227"/>
      <c r="L1850" s="224"/>
      <c r="M1850" s="224"/>
      <c r="N1850" s="224"/>
      <c r="O1850" s="224"/>
      <c r="P1850" s="224"/>
      <c r="Q1850" s="224"/>
      <c r="R1850" s="224"/>
      <c r="S1850" s="224"/>
      <c r="T1850" s="224"/>
      <c r="U1850" s="224"/>
      <c r="V1850" s="224"/>
    </row>
    <row r="1851" spans="1:22" x14ac:dyDescent="0.3">
      <c r="A1851" s="222"/>
      <c r="B1851" s="235"/>
      <c r="C1851" s="227"/>
      <c r="D1851" s="344"/>
      <c r="E1851" s="235"/>
      <c r="F1851" s="235"/>
      <c r="G1851" s="227"/>
      <c r="H1851" s="227"/>
      <c r="I1851" s="350"/>
      <c r="J1851" s="227"/>
      <c r="K1851" s="227"/>
      <c r="L1851" s="224"/>
      <c r="M1851" s="224"/>
      <c r="N1851" s="224"/>
      <c r="O1851" s="224"/>
      <c r="P1851" s="224"/>
      <c r="Q1851" s="224"/>
      <c r="R1851" s="224"/>
      <c r="S1851" s="224"/>
      <c r="T1851" s="224"/>
      <c r="U1851" s="224"/>
      <c r="V1851" s="224"/>
    </row>
    <row r="1852" spans="1:22" x14ac:dyDescent="0.3">
      <c r="A1852" s="222"/>
      <c r="B1852" s="235"/>
      <c r="C1852" s="227"/>
      <c r="D1852" s="344"/>
      <c r="E1852" s="235"/>
      <c r="F1852" s="235"/>
      <c r="G1852" s="227"/>
      <c r="H1852" s="227"/>
      <c r="I1852" s="350"/>
      <c r="J1852" s="227"/>
      <c r="K1852" s="227"/>
      <c r="L1852" s="224"/>
      <c r="M1852" s="224"/>
      <c r="N1852" s="224"/>
      <c r="O1852" s="224"/>
      <c r="P1852" s="224"/>
      <c r="Q1852" s="224"/>
      <c r="R1852" s="224"/>
      <c r="S1852" s="224"/>
      <c r="T1852" s="224"/>
      <c r="U1852" s="224"/>
      <c r="V1852" s="224"/>
    </row>
    <row r="1853" spans="1:22" x14ac:dyDescent="0.3">
      <c r="A1853" s="222"/>
      <c r="B1853" s="235"/>
      <c r="C1853" s="227"/>
      <c r="D1853" s="344"/>
      <c r="E1853" s="235"/>
      <c r="F1853" s="235"/>
      <c r="G1853" s="227"/>
      <c r="H1853" s="227"/>
      <c r="I1853" s="350"/>
      <c r="J1853" s="227"/>
      <c r="K1853" s="227"/>
      <c r="L1853" s="224"/>
      <c r="M1853" s="224"/>
      <c r="N1853" s="224"/>
      <c r="O1853" s="224"/>
      <c r="P1853" s="224"/>
      <c r="Q1853" s="224"/>
      <c r="R1853" s="224"/>
      <c r="S1853" s="224"/>
      <c r="T1853" s="224"/>
      <c r="U1853" s="224"/>
      <c r="V1853" s="224"/>
    </row>
    <row r="1854" spans="1:22" x14ac:dyDescent="0.3">
      <c r="A1854" s="222"/>
      <c r="B1854" s="235"/>
      <c r="C1854" s="227"/>
      <c r="D1854" s="344"/>
      <c r="E1854" s="235"/>
      <c r="F1854" s="235"/>
      <c r="G1854" s="227"/>
      <c r="H1854" s="227"/>
      <c r="I1854" s="350"/>
      <c r="J1854" s="227"/>
      <c r="K1854" s="227"/>
      <c r="L1854" s="224"/>
      <c r="M1854" s="224"/>
      <c r="N1854" s="224"/>
      <c r="O1854" s="224"/>
      <c r="P1854" s="224"/>
      <c r="Q1854" s="224"/>
      <c r="R1854" s="224"/>
      <c r="S1854" s="224"/>
      <c r="T1854" s="224"/>
      <c r="U1854" s="224"/>
      <c r="V1854" s="224"/>
    </row>
    <row r="1855" spans="1:22" x14ac:dyDescent="0.3">
      <c r="A1855" s="222"/>
      <c r="B1855" s="235"/>
      <c r="C1855" s="227"/>
      <c r="D1855" s="344"/>
      <c r="E1855" s="235"/>
      <c r="F1855" s="235"/>
      <c r="G1855" s="227"/>
      <c r="H1855" s="227"/>
      <c r="I1855" s="350"/>
      <c r="J1855" s="227"/>
      <c r="K1855" s="227"/>
      <c r="L1855" s="224"/>
      <c r="M1855" s="224"/>
      <c r="N1855" s="224"/>
      <c r="O1855" s="224"/>
      <c r="P1855" s="224"/>
      <c r="Q1855" s="224"/>
      <c r="R1855" s="224"/>
      <c r="S1855" s="224"/>
      <c r="T1855" s="224"/>
      <c r="U1855" s="224"/>
      <c r="V1855" s="224"/>
    </row>
    <row r="1856" spans="1:22" x14ac:dyDescent="0.3">
      <c r="A1856" s="222"/>
      <c r="B1856" s="235"/>
      <c r="C1856" s="227"/>
      <c r="D1856" s="344"/>
      <c r="E1856" s="235"/>
      <c r="F1856" s="235"/>
      <c r="G1856" s="227"/>
      <c r="H1856" s="227"/>
      <c r="I1856" s="350"/>
      <c r="J1856" s="227"/>
      <c r="K1856" s="227"/>
      <c r="L1856" s="224"/>
      <c r="M1856" s="224"/>
      <c r="N1856" s="224"/>
      <c r="O1856" s="224"/>
      <c r="P1856" s="224"/>
      <c r="Q1856" s="224"/>
      <c r="R1856" s="224"/>
      <c r="S1856" s="224"/>
      <c r="T1856" s="224"/>
      <c r="U1856" s="224"/>
      <c r="V1856" s="224"/>
    </row>
    <row r="1857" spans="1:22" x14ac:dyDescent="0.3">
      <c r="A1857" s="222"/>
      <c r="B1857" s="235"/>
      <c r="C1857" s="227"/>
      <c r="D1857" s="344"/>
      <c r="E1857" s="235"/>
      <c r="F1857" s="235"/>
      <c r="G1857" s="227"/>
      <c r="H1857" s="227"/>
      <c r="I1857" s="350"/>
      <c r="J1857" s="227"/>
      <c r="K1857" s="227"/>
      <c r="L1857" s="224"/>
      <c r="M1857" s="224"/>
      <c r="N1857" s="224"/>
      <c r="O1857" s="224"/>
      <c r="P1857" s="224"/>
      <c r="Q1857" s="224"/>
      <c r="R1857" s="224"/>
      <c r="S1857" s="224"/>
      <c r="T1857" s="224"/>
      <c r="U1857" s="224"/>
      <c r="V1857" s="224"/>
    </row>
    <row r="1858" spans="1:22" x14ac:dyDescent="0.3">
      <c r="A1858" s="222"/>
      <c r="B1858" s="235"/>
      <c r="C1858" s="227"/>
      <c r="D1858" s="344"/>
      <c r="E1858" s="235"/>
      <c r="F1858" s="235"/>
      <c r="G1858" s="227"/>
      <c r="H1858" s="227"/>
      <c r="I1858" s="350"/>
      <c r="J1858" s="227"/>
      <c r="K1858" s="227"/>
      <c r="L1858" s="224"/>
      <c r="M1858" s="224"/>
      <c r="N1858" s="224"/>
      <c r="O1858" s="224"/>
      <c r="P1858" s="224"/>
      <c r="Q1858" s="224"/>
      <c r="R1858" s="224"/>
      <c r="S1858" s="224"/>
      <c r="T1858" s="224"/>
      <c r="U1858" s="224"/>
      <c r="V1858" s="224"/>
    </row>
    <row r="1859" spans="1:22" x14ac:dyDescent="0.3">
      <c r="A1859" s="222"/>
      <c r="B1859" s="235"/>
      <c r="C1859" s="227"/>
      <c r="D1859" s="344"/>
      <c r="E1859" s="235"/>
      <c r="F1859" s="235"/>
      <c r="G1859" s="227"/>
      <c r="H1859" s="227"/>
      <c r="I1859" s="350"/>
      <c r="J1859" s="227"/>
      <c r="K1859" s="227"/>
      <c r="L1859" s="224"/>
      <c r="M1859" s="224"/>
      <c r="N1859" s="224"/>
      <c r="O1859" s="224"/>
      <c r="P1859" s="224"/>
      <c r="Q1859" s="224"/>
      <c r="R1859" s="224"/>
      <c r="S1859" s="224"/>
      <c r="T1859" s="224"/>
      <c r="U1859" s="224"/>
      <c r="V1859" s="224"/>
    </row>
    <row r="1860" spans="1:22" x14ac:dyDescent="0.3">
      <c r="A1860" s="222"/>
      <c r="B1860" s="235"/>
      <c r="C1860" s="227"/>
      <c r="D1860" s="344"/>
      <c r="E1860" s="235"/>
      <c r="F1860" s="235"/>
      <c r="G1860" s="227"/>
      <c r="H1860" s="227"/>
      <c r="I1860" s="350"/>
      <c r="J1860" s="227"/>
      <c r="K1860" s="227"/>
      <c r="L1860" s="224"/>
      <c r="M1860" s="224"/>
      <c r="N1860" s="224"/>
      <c r="O1860" s="224"/>
      <c r="P1860" s="224"/>
      <c r="Q1860" s="224"/>
      <c r="R1860" s="224"/>
      <c r="S1860" s="224"/>
      <c r="T1860" s="224"/>
      <c r="U1860" s="224"/>
      <c r="V1860" s="224"/>
    </row>
    <row r="1861" spans="1:22" x14ac:dyDescent="0.3">
      <c r="A1861" s="222"/>
      <c r="B1861" s="235"/>
      <c r="C1861" s="227"/>
      <c r="D1861" s="344"/>
      <c r="E1861" s="235"/>
      <c r="F1861" s="235"/>
      <c r="G1861" s="227"/>
      <c r="H1861" s="227"/>
      <c r="I1861" s="350"/>
      <c r="J1861" s="227"/>
      <c r="K1861" s="227"/>
      <c r="L1861" s="224"/>
      <c r="M1861" s="224"/>
      <c r="N1861" s="224"/>
      <c r="O1861" s="224"/>
      <c r="P1861" s="224"/>
      <c r="Q1861" s="224"/>
      <c r="R1861" s="224"/>
      <c r="S1861" s="224"/>
      <c r="T1861" s="224"/>
      <c r="U1861" s="224"/>
      <c r="V1861" s="224"/>
    </row>
    <row r="1862" spans="1:22" x14ac:dyDescent="0.3">
      <c r="A1862" s="222"/>
      <c r="B1862" s="235"/>
      <c r="C1862" s="227"/>
      <c r="D1862" s="344"/>
      <c r="E1862" s="235"/>
      <c r="F1862" s="235"/>
      <c r="G1862" s="227"/>
      <c r="H1862" s="227"/>
      <c r="I1862" s="350"/>
      <c r="J1862" s="227"/>
      <c r="K1862" s="227"/>
      <c r="L1862" s="224"/>
      <c r="M1862" s="224"/>
      <c r="N1862" s="224"/>
      <c r="O1862" s="224"/>
      <c r="P1862" s="224"/>
      <c r="Q1862" s="224"/>
      <c r="R1862" s="224"/>
      <c r="S1862" s="224"/>
      <c r="T1862" s="224"/>
      <c r="U1862" s="224"/>
      <c r="V1862" s="224"/>
    </row>
    <row r="1863" spans="1:22" x14ac:dyDescent="0.3">
      <c r="A1863" s="222"/>
      <c r="B1863" s="235"/>
      <c r="C1863" s="227"/>
      <c r="D1863" s="344"/>
      <c r="E1863" s="235"/>
      <c r="F1863" s="235"/>
      <c r="G1863" s="227"/>
      <c r="H1863" s="227"/>
      <c r="I1863" s="350"/>
      <c r="J1863" s="227"/>
      <c r="K1863" s="227"/>
      <c r="L1863" s="224"/>
      <c r="M1863" s="224"/>
      <c r="N1863" s="224"/>
      <c r="O1863" s="224"/>
      <c r="P1863" s="224"/>
      <c r="Q1863" s="224"/>
      <c r="R1863" s="224"/>
      <c r="S1863" s="224"/>
      <c r="T1863" s="224"/>
      <c r="U1863" s="224"/>
      <c r="V1863" s="224"/>
    </row>
    <row r="1864" spans="1:22" x14ac:dyDescent="0.3">
      <c r="A1864" s="222"/>
      <c r="B1864" s="235"/>
      <c r="C1864" s="227"/>
      <c r="D1864" s="344"/>
      <c r="E1864" s="235"/>
      <c r="F1864" s="235"/>
      <c r="G1864" s="227"/>
      <c r="H1864" s="227"/>
      <c r="I1864" s="350"/>
      <c r="J1864" s="227"/>
      <c r="K1864" s="227"/>
      <c r="L1864" s="224"/>
      <c r="M1864" s="224"/>
      <c r="N1864" s="224"/>
      <c r="O1864" s="224"/>
      <c r="P1864" s="224"/>
      <c r="Q1864" s="224"/>
      <c r="R1864" s="224"/>
      <c r="S1864" s="224"/>
      <c r="T1864" s="224"/>
      <c r="U1864" s="224"/>
      <c r="V1864" s="224"/>
    </row>
    <row r="1865" spans="1:22" x14ac:dyDescent="0.3">
      <c r="A1865" s="222"/>
      <c r="B1865" s="235"/>
      <c r="C1865" s="227"/>
      <c r="D1865" s="344"/>
      <c r="E1865" s="235"/>
      <c r="F1865" s="235"/>
      <c r="G1865" s="227"/>
      <c r="H1865" s="227"/>
      <c r="I1865" s="350"/>
      <c r="J1865" s="227"/>
      <c r="K1865" s="227"/>
      <c r="L1865" s="224"/>
      <c r="M1865" s="224"/>
      <c r="N1865" s="224"/>
      <c r="O1865" s="224"/>
      <c r="P1865" s="224"/>
      <c r="Q1865" s="224"/>
      <c r="R1865" s="224"/>
      <c r="S1865" s="224"/>
      <c r="T1865" s="224"/>
      <c r="U1865" s="224"/>
      <c r="V1865" s="224"/>
    </row>
    <row r="1866" spans="1:22" x14ac:dyDescent="0.3">
      <c r="A1866" s="222"/>
      <c r="B1866" s="235"/>
      <c r="C1866" s="227"/>
      <c r="D1866" s="344"/>
      <c r="E1866" s="235"/>
      <c r="F1866" s="235"/>
      <c r="G1866" s="227"/>
      <c r="H1866" s="227"/>
      <c r="I1866" s="350"/>
      <c r="J1866" s="227"/>
      <c r="K1866" s="227"/>
      <c r="L1866" s="224"/>
      <c r="M1866" s="224"/>
      <c r="N1866" s="224"/>
      <c r="O1866" s="224"/>
      <c r="P1866" s="224"/>
      <c r="Q1866" s="224"/>
      <c r="R1866" s="224"/>
      <c r="S1866" s="224"/>
      <c r="T1866" s="224"/>
      <c r="U1866" s="224"/>
      <c r="V1866" s="224"/>
    </row>
    <row r="1867" spans="1:22" x14ac:dyDescent="0.3">
      <c r="A1867" s="222"/>
      <c r="B1867" s="235"/>
      <c r="C1867" s="227"/>
      <c r="D1867" s="344"/>
      <c r="E1867" s="235"/>
      <c r="F1867" s="235"/>
      <c r="G1867" s="227"/>
      <c r="H1867" s="227"/>
      <c r="I1867" s="350"/>
      <c r="J1867" s="227"/>
      <c r="K1867" s="227"/>
      <c r="L1867" s="224"/>
      <c r="M1867" s="224"/>
      <c r="N1867" s="224"/>
      <c r="O1867" s="224"/>
      <c r="P1867" s="224"/>
      <c r="Q1867" s="224"/>
      <c r="R1867" s="224"/>
      <c r="S1867" s="224"/>
      <c r="T1867" s="224"/>
      <c r="U1867" s="224"/>
      <c r="V1867" s="224"/>
    </row>
    <row r="1868" spans="1:22" x14ac:dyDescent="0.3">
      <c r="A1868" s="222"/>
      <c r="B1868" s="235"/>
      <c r="C1868" s="227"/>
      <c r="D1868" s="344"/>
      <c r="E1868" s="235"/>
      <c r="F1868" s="235"/>
      <c r="G1868" s="227"/>
      <c r="H1868" s="227"/>
      <c r="I1868" s="350"/>
      <c r="J1868" s="227"/>
      <c r="K1868" s="227"/>
      <c r="L1868" s="224"/>
      <c r="M1868" s="224"/>
      <c r="N1868" s="224"/>
      <c r="O1868" s="224"/>
      <c r="P1868" s="224"/>
      <c r="Q1868" s="224"/>
      <c r="R1868" s="224"/>
      <c r="S1868" s="224"/>
      <c r="T1868" s="224"/>
      <c r="U1868" s="224"/>
      <c r="V1868" s="224"/>
    </row>
    <row r="1869" spans="1:22" x14ac:dyDescent="0.3">
      <c r="A1869" s="222"/>
      <c r="B1869" s="235"/>
      <c r="C1869" s="227"/>
      <c r="D1869" s="344"/>
      <c r="E1869" s="235"/>
      <c r="F1869" s="235"/>
      <c r="G1869" s="227"/>
      <c r="H1869" s="227"/>
      <c r="I1869" s="350"/>
      <c r="J1869" s="227"/>
      <c r="K1869" s="227"/>
      <c r="L1869" s="224"/>
      <c r="M1869" s="224"/>
      <c r="N1869" s="224"/>
      <c r="O1869" s="224"/>
      <c r="P1869" s="224"/>
      <c r="Q1869" s="224"/>
      <c r="R1869" s="224"/>
      <c r="S1869" s="224"/>
      <c r="T1869" s="224"/>
      <c r="U1869" s="224"/>
      <c r="V1869" s="224"/>
    </row>
    <row r="1870" spans="1:22" x14ac:dyDescent="0.3">
      <c r="A1870" s="222"/>
      <c r="B1870" s="235"/>
      <c r="C1870" s="227"/>
      <c r="D1870" s="344"/>
      <c r="E1870" s="235"/>
      <c r="F1870" s="235"/>
      <c r="G1870" s="227"/>
      <c r="H1870" s="227"/>
      <c r="I1870" s="350"/>
      <c r="J1870" s="227"/>
      <c r="K1870" s="227"/>
      <c r="L1870" s="224"/>
      <c r="M1870" s="224"/>
      <c r="N1870" s="224"/>
      <c r="O1870" s="224"/>
      <c r="P1870" s="224"/>
      <c r="Q1870" s="224"/>
      <c r="R1870" s="224"/>
      <c r="S1870" s="224"/>
      <c r="T1870" s="224"/>
      <c r="U1870" s="224"/>
      <c r="V1870" s="224"/>
    </row>
    <row r="1871" spans="1:22" x14ac:dyDescent="0.3">
      <c r="A1871" s="222"/>
      <c r="B1871" s="235"/>
      <c r="C1871" s="227"/>
      <c r="D1871" s="344"/>
      <c r="E1871" s="235"/>
      <c r="F1871" s="235"/>
      <c r="G1871" s="227"/>
      <c r="H1871" s="227"/>
      <c r="I1871" s="350"/>
      <c r="J1871" s="227"/>
      <c r="K1871" s="227"/>
      <c r="L1871" s="224"/>
      <c r="M1871" s="224"/>
      <c r="N1871" s="224"/>
      <c r="O1871" s="224"/>
      <c r="P1871" s="224"/>
      <c r="Q1871" s="224"/>
      <c r="R1871" s="224"/>
      <c r="S1871" s="224"/>
      <c r="T1871" s="224"/>
      <c r="U1871" s="224"/>
      <c r="V1871" s="224"/>
    </row>
    <row r="1872" spans="1:22" x14ac:dyDescent="0.3">
      <c r="A1872" s="222"/>
      <c r="B1872" s="235"/>
      <c r="C1872" s="227"/>
      <c r="D1872" s="344"/>
      <c r="E1872" s="235"/>
      <c r="F1872" s="235"/>
      <c r="G1872" s="227"/>
      <c r="H1872" s="227"/>
      <c r="I1872" s="350"/>
      <c r="J1872" s="227"/>
      <c r="K1872" s="227"/>
      <c r="L1872" s="224"/>
      <c r="M1872" s="224"/>
      <c r="N1872" s="224"/>
      <c r="O1872" s="224"/>
      <c r="P1872" s="224"/>
      <c r="Q1872" s="224"/>
      <c r="R1872" s="224"/>
      <c r="S1872" s="224"/>
      <c r="T1872" s="224"/>
      <c r="U1872" s="224"/>
      <c r="V1872" s="224"/>
    </row>
    <row r="1873" spans="1:22" x14ac:dyDescent="0.3">
      <c r="A1873" s="222"/>
      <c r="B1873" s="235"/>
      <c r="C1873" s="227"/>
      <c r="D1873" s="344"/>
      <c r="E1873" s="235"/>
      <c r="F1873" s="235"/>
      <c r="G1873" s="227"/>
      <c r="H1873" s="227"/>
      <c r="I1873" s="350"/>
      <c r="J1873" s="227"/>
      <c r="K1873" s="227"/>
      <c r="L1873" s="224"/>
      <c r="M1873" s="224"/>
      <c r="N1873" s="224"/>
      <c r="O1873" s="224"/>
      <c r="P1873" s="224"/>
      <c r="Q1873" s="224"/>
      <c r="R1873" s="224"/>
      <c r="S1873" s="224"/>
      <c r="T1873" s="224"/>
      <c r="U1873" s="224"/>
      <c r="V1873" s="224"/>
    </row>
    <row r="1874" spans="1:22" x14ac:dyDescent="0.3">
      <c r="A1874" s="222"/>
      <c r="B1874" s="235"/>
      <c r="C1874" s="227"/>
      <c r="D1874" s="344"/>
      <c r="E1874" s="235"/>
      <c r="F1874" s="235"/>
      <c r="G1874" s="227"/>
      <c r="H1874" s="227"/>
      <c r="I1874" s="350"/>
      <c r="J1874" s="227"/>
      <c r="K1874" s="227"/>
      <c r="L1874" s="224"/>
      <c r="M1874" s="224"/>
      <c r="N1874" s="224"/>
      <c r="O1874" s="224"/>
      <c r="P1874" s="224"/>
      <c r="Q1874" s="224"/>
      <c r="R1874" s="224"/>
      <c r="S1874" s="224"/>
      <c r="T1874" s="224"/>
      <c r="U1874" s="224"/>
      <c r="V1874" s="224"/>
    </row>
    <row r="1875" spans="1:22" x14ac:dyDescent="0.3">
      <c r="A1875" s="222"/>
      <c r="B1875" s="235"/>
      <c r="C1875" s="227"/>
      <c r="D1875" s="344"/>
      <c r="E1875" s="235"/>
      <c r="F1875" s="235"/>
      <c r="G1875" s="227"/>
      <c r="H1875" s="227"/>
      <c r="I1875" s="350"/>
      <c r="J1875" s="227"/>
      <c r="K1875" s="227"/>
      <c r="L1875" s="224"/>
      <c r="M1875" s="224"/>
      <c r="N1875" s="224"/>
      <c r="O1875" s="224"/>
      <c r="P1875" s="224"/>
      <c r="Q1875" s="224"/>
      <c r="R1875" s="224"/>
      <c r="S1875" s="224"/>
      <c r="T1875" s="224"/>
      <c r="U1875" s="224"/>
      <c r="V1875" s="224"/>
    </row>
    <row r="1876" spans="1:22" x14ac:dyDescent="0.3">
      <c r="A1876" s="222"/>
      <c r="B1876" s="235"/>
      <c r="C1876" s="227"/>
      <c r="D1876" s="344"/>
      <c r="E1876" s="235"/>
      <c r="F1876" s="235"/>
      <c r="G1876" s="227"/>
      <c r="H1876" s="227"/>
      <c r="I1876" s="350"/>
      <c r="J1876" s="227"/>
      <c r="K1876" s="227"/>
      <c r="L1876" s="224"/>
      <c r="M1876" s="224"/>
      <c r="N1876" s="224"/>
      <c r="O1876" s="224"/>
      <c r="P1876" s="224"/>
      <c r="Q1876" s="224"/>
      <c r="R1876" s="224"/>
      <c r="S1876" s="224"/>
      <c r="T1876" s="224"/>
      <c r="U1876" s="224"/>
      <c r="V1876" s="224"/>
    </row>
    <row r="1877" spans="1:22" x14ac:dyDescent="0.3">
      <c r="A1877" s="222"/>
      <c r="B1877" s="235"/>
      <c r="C1877" s="227"/>
      <c r="D1877" s="344"/>
      <c r="E1877" s="235"/>
      <c r="F1877" s="235"/>
      <c r="G1877" s="227"/>
      <c r="H1877" s="227"/>
      <c r="I1877" s="350"/>
      <c r="J1877" s="227"/>
      <c r="K1877" s="227"/>
      <c r="L1877" s="224"/>
      <c r="M1877" s="224"/>
      <c r="N1877" s="224"/>
      <c r="O1877" s="224"/>
      <c r="P1877" s="224"/>
      <c r="Q1877" s="224"/>
      <c r="R1877" s="224"/>
      <c r="S1877" s="224"/>
      <c r="T1877" s="224"/>
      <c r="U1877" s="224"/>
      <c r="V1877" s="224"/>
    </row>
    <row r="1878" spans="1:22" x14ac:dyDescent="0.3">
      <c r="A1878" s="222"/>
      <c r="B1878" s="235"/>
      <c r="C1878" s="227"/>
      <c r="D1878" s="344"/>
      <c r="E1878" s="235"/>
      <c r="F1878" s="235"/>
      <c r="G1878" s="227"/>
      <c r="H1878" s="227"/>
      <c r="I1878" s="350"/>
      <c r="J1878" s="227"/>
      <c r="K1878" s="227"/>
      <c r="L1878" s="224"/>
      <c r="M1878" s="224"/>
      <c r="N1878" s="224"/>
      <c r="O1878" s="224"/>
      <c r="P1878" s="224"/>
      <c r="Q1878" s="224"/>
      <c r="R1878" s="224"/>
      <c r="S1878" s="224"/>
      <c r="T1878" s="224"/>
      <c r="U1878" s="224"/>
      <c r="V1878" s="224"/>
    </row>
    <row r="1879" spans="1:22" x14ac:dyDescent="0.3">
      <c r="A1879" s="222"/>
      <c r="B1879" s="235"/>
      <c r="C1879" s="227"/>
      <c r="D1879" s="344"/>
      <c r="E1879" s="235"/>
      <c r="F1879" s="235"/>
      <c r="G1879" s="227"/>
      <c r="H1879" s="227"/>
      <c r="I1879" s="350"/>
      <c r="J1879" s="227"/>
      <c r="K1879" s="227"/>
      <c r="L1879" s="224"/>
      <c r="M1879" s="224"/>
      <c r="N1879" s="224"/>
      <c r="O1879" s="224"/>
      <c r="P1879" s="224"/>
      <c r="Q1879" s="224"/>
      <c r="R1879" s="224"/>
      <c r="S1879" s="224"/>
      <c r="T1879" s="224"/>
      <c r="U1879" s="224"/>
      <c r="V1879" s="224"/>
    </row>
    <row r="1880" spans="1:22" x14ac:dyDescent="0.3">
      <c r="A1880" s="222"/>
      <c r="B1880" s="235"/>
      <c r="C1880" s="227"/>
      <c r="D1880" s="344"/>
      <c r="E1880" s="235"/>
      <c r="F1880" s="235"/>
      <c r="G1880" s="227"/>
      <c r="H1880" s="227"/>
      <c r="I1880" s="350"/>
      <c r="J1880" s="227"/>
      <c r="K1880" s="227"/>
      <c r="L1880" s="224"/>
      <c r="M1880" s="224"/>
      <c r="N1880" s="224"/>
      <c r="O1880" s="224"/>
      <c r="P1880" s="224"/>
      <c r="Q1880" s="224"/>
      <c r="R1880" s="224"/>
      <c r="S1880" s="224"/>
      <c r="T1880" s="224"/>
      <c r="U1880" s="224"/>
      <c r="V1880" s="224"/>
    </row>
    <row r="1881" spans="1:22" x14ac:dyDescent="0.3">
      <c r="A1881" s="222"/>
      <c r="B1881" s="235"/>
      <c r="C1881" s="227"/>
      <c r="D1881" s="344"/>
      <c r="E1881" s="235"/>
      <c r="F1881" s="235"/>
      <c r="G1881" s="227"/>
      <c r="H1881" s="227"/>
      <c r="I1881" s="350"/>
      <c r="J1881" s="227"/>
      <c r="K1881" s="227"/>
      <c r="L1881" s="224"/>
      <c r="M1881" s="224"/>
      <c r="N1881" s="224"/>
      <c r="O1881" s="224"/>
      <c r="P1881" s="224"/>
      <c r="Q1881" s="224"/>
      <c r="R1881" s="224"/>
      <c r="S1881" s="224"/>
      <c r="T1881" s="224"/>
      <c r="U1881" s="224"/>
      <c r="V1881" s="224"/>
    </row>
    <row r="1882" spans="1:22" x14ac:dyDescent="0.3">
      <c r="A1882" s="222"/>
      <c r="B1882" s="235"/>
      <c r="C1882" s="227"/>
      <c r="D1882" s="344"/>
      <c r="E1882" s="235"/>
      <c r="F1882" s="235"/>
      <c r="G1882" s="227"/>
      <c r="H1882" s="227"/>
      <c r="I1882" s="350"/>
      <c r="J1882" s="227"/>
      <c r="K1882" s="227"/>
      <c r="L1882" s="224"/>
      <c r="M1882" s="224"/>
      <c r="N1882" s="224"/>
      <c r="O1882" s="224"/>
      <c r="P1882" s="224"/>
      <c r="Q1882" s="224"/>
      <c r="R1882" s="224"/>
      <c r="S1882" s="224"/>
      <c r="T1882" s="224"/>
      <c r="U1882" s="224"/>
      <c r="V1882" s="224"/>
    </row>
    <row r="1883" spans="1:22" x14ac:dyDescent="0.3">
      <c r="A1883" s="222"/>
      <c r="B1883" s="235"/>
      <c r="C1883" s="227"/>
      <c r="D1883" s="344"/>
      <c r="E1883" s="235"/>
      <c r="F1883" s="235"/>
      <c r="G1883" s="227"/>
      <c r="H1883" s="227"/>
      <c r="I1883" s="350"/>
      <c r="J1883" s="227"/>
      <c r="K1883" s="227"/>
      <c r="L1883" s="224"/>
      <c r="M1883" s="224"/>
      <c r="N1883" s="224"/>
      <c r="O1883" s="224"/>
      <c r="P1883" s="224"/>
      <c r="Q1883" s="224"/>
      <c r="R1883" s="224"/>
      <c r="S1883" s="224"/>
      <c r="T1883" s="224"/>
      <c r="U1883" s="224"/>
      <c r="V1883" s="224"/>
    </row>
    <row r="1884" spans="1:22" x14ac:dyDescent="0.3">
      <c r="A1884" s="222"/>
      <c r="B1884" s="235"/>
      <c r="C1884" s="227"/>
      <c r="D1884" s="344"/>
      <c r="E1884" s="235"/>
      <c r="F1884" s="235"/>
      <c r="G1884" s="227"/>
      <c r="H1884" s="227"/>
      <c r="I1884" s="350"/>
      <c r="J1884" s="227"/>
      <c r="K1884" s="227"/>
      <c r="L1884" s="224"/>
      <c r="M1884" s="224"/>
      <c r="N1884" s="224"/>
      <c r="O1884" s="224"/>
      <c r="P1884" s="224"/>
      <c r="Q1884" s="224"/>
      <c r="R1884" s="224"/>
      <c r="S1884" s="224"/>
      <c r="T1884" s="224"/>
      <c r="U1884" s="224"/>
      <c r="V1884" s="224"/>
    </row>
    <row r="1885" spans="1:22" x14ac:dyDescent="0.3">
      <c r="A1885" s="222"/>
      <c r="B1885" s="235"/>
      <c r="C1885" s="227"/>
      <c r="D1885" s="344"/>
      <c r="E1885" s="235"/>
      <c r="F1885" s="235"/>
      <c r="G1885" s="227"/>
      <c r="H1885" s="227"/>
      <c r="I1885" s="350"/>
      <c r="J1885" s="227"/>
      <c r="K1885" s="227"/>
      <c r="L1885" s="224"/>
      <c r="M1885" s="224"/>
      <c r="N1885" s="224"/>
      <c r="O1885" s="224"/>
      <c r="P1885" s="224"/>
      <c r="Q1885" s="224"/>
      <c r="R1885" s="224"/>
      <c r="S1885" s="224"/>
      <c r="T1885" s="224"/>
      <c r="U1885" s="224"/>
      <c r="V1885" s="224"/>
    </row>
    <row r="1886" spans="1:22" x14ac:dyDescent="0.3">
      <c r="A1886" s="222"/>
      <c r="B1886" s="235"/>
      <c r="C1886" s="227"/>
      <c r="D1886" s="344"/>
      <c r="E1886" s="235"/>
      <c r="F1886" s="235"/>
      <c r="G1886" s="227"/>
      <c r="H1886" s="227"/>
      <c r="I1886" s="350"/>
      <c r="J1886" s="227"/>
      <c r="K1886" s="227"/>
      <c r="L1886" s="224"/>
      <c r="M1886" s="224"/>
      <c r="N1886" s="224"/>
      <c r="O1886" s="224"/>
      <c r="P1886" s="224"/>
      <c r="Q1886" s="224"/>
      <c r="R1886" s="224"/>
      <c r="S1886" s="224"/>
      <c r="T1886" s="224"/>
      <c r="U1886" s="224"/>
      <c r="V1886" s="224"/>
    </row>
    <row r="1887" spans="1:22" x14ac:dyDescent="0.3">
      <c r="A1887" s="222"/>
      <c r="B1887" s="235"/>
      <c r="C1887" s="227"/>
      <c r="D1887" s="344"/>
      <c r="E1887" s="235"/>
      <c r="F1887" s="235"/>
      <c r="G1887" s="227"/>
      <c r="H1887" s="227"/>
      <c r="I1887" s="350"/>
      <c r="J1887" s="227"/>
      <c r="K1887" s="227"/>
      <c r="L1887" s="224"/>
      <c r="M1887" s="224"/>
      <c r="N1887" s="224"/>
      <c r="O1887" s="224"/>
      <c r="P1887" s="224"/>
      <c r="Q1887" s="224"/>
      <c r="R1887" s="224"/>
      <c r="S1887" s="224"/>
      <c r="T1887" s="224"/>
      <c r="U1887" s="224"/>
      <c r="V1887" s="224"/>
    </row>
    <row r="1888" spans="1:22" x14ac:dyDescent="0.3">
      <c r="A1888" s="222"/>
      <c r="B1888" s="235"/>
      <c r="C1888" s="227"/>
      <c r="D1888" s="344"/>
      <c r="E1888" s="235"/>
      <c r="F1888" s="235"/>
      <c r="G1888" s="227"/>
      <c r="H1888" s="227"/>
      <c r="I1888" s="350"/>
      <c r="J1888" s="227"/>
      <c r="K1888" s="227"/>
      <c r="L1888" s="224"/>
      <c r="M1888" s="224"/>
      <c r="N1888" s="224"/>
      <c r="O1888" s="224"/>
      <c r="P1888" s="224"/>
      <c r="Q1888" s="224"/>
      <c r="R1888" s="224"/>
      <c r="S1888" s="224"/>
      <c r="T1888" s="224"/>
      <c r="U1888" s="224"/>
      <c r="V1888" s="224"/>
    </row>
    <row r="1889" spans="1:22" x14ac:dyDescent="0.3">
      <c r="A1889" s="222"/>
      <c r="B1889" s="235"/>
      <c r="C1889" s="227"/>
      <c r="D1889" s="344"/>
      <c r="E1889" s="235"/>
      <c r="F1889" s="235"/>
      <c r="G1889" s="227"/>
      <c r="H1889" s="227"/>
      <c r="I1889" s="350"/>
      <c r="J1889" s="227"/>
      <c r="K1889" s="227"/>
      <c r="L1889" s="224"/>
      <c r="M1889" s="224"/>
      <c r="N1889" s="224"/>
      <c r="O1889" s="224"/>
      <c r="P1889" s="224"/>
      <c r="Q1889" s="224"/>
      <c r="R1889" s="224"/>
      <c r="S1889" s="224"/>
      <c r="T1889" s="224"/>
      <c r="U1889" s="224"/>
      <c r="V1889" s="224"/>
    </row>
    <row r="1890" spans="1:22" x14ac:dyDescent="0.3">
      <c r="A1890" s="222"/>
      <c r="B1890" s="235"/>
      <c r="C1890" s="227"/>
      <c r="D1890" s="344"/>
      <c r="E1890" s="235"/>
      <c r="F1890" s="235"/>
      <c r="G1890" s="227"/>
      <c r="H1890" s="227"/>
      <c r="I1890" s="350"/>
      <c r="J1890" s="227"/>
      <c r="K1890" s="227"/>
      <c r="L1890" s="224"/>
      <c r="M1890" s="224"/>
      <c r="N1890" s="224"/>
      <c r="O1890" s="224"/>
      <c r="P1890" s="224"/>
      <c r="Q1890" s="224"/>
      <c r="R1890" s="224"/>
      <c r="S1890" s="224"/>
      <c r="T1890" s="224"/>
      <c r="U1890" s="224"/>
      <c r="V1890" s="224"/>
    </row>
    <row r="1891" spans="1:22" x14ac:dyDescent="0.3">
      <c r="A1891" s="222"/>
      <c r="B1891" s="235"/>
      <c r="C1891" s="227"/>
      <c r="D1891" s="344"/>
      <c r="E1891" s="235"/>
      <c r="F1891" s="235"/>
      <c r="G1891" s="227"/>
      <c r="H1891" s="227"/>
      <c r="I1891" s="350"/>
      <c r="J1891" s="227"/>
      <c r="K1891" s="227"/>
      <c r="L1891" s="224"/>
      <c r="M1891" s="224"/>
      <c r="N1891" s="224"/>
      <c r="O1891" s="224"/>
      <c r="P1891" s="224"/>
      <c r="Q1891" s="224"/>
      <c r="R1891" s="224"/>
      <c r="S1891" s="224"/>
      <c r="T1891" s="224"/>
      <c r="U1891" s="224"/>
      <c r="V1891" s="224"/>
    </row>
    <row r="1892" spans="1:22" x14ac:dyDescent="0.3">
      <c r="A1892" s="222"/>
      <c r="B1892" s="235"/>
      <c r="C1892" s="227"/>
      <c r="D1892" s="344"/>
      <c r="E1892" s="235"/>
      <c r="F1892" s="235"/>
      <c r="G1892" s="227"/>
      <c r="H1892" s="227"/>
      <c r="I1892" s="350"/>
      <c r="J1892" s="227"/>
      <c r="K1892" s="227"/>
      <c r="L1892" s="224"/>
      <c r="M1892" s="224"/>
      <c r="N1892" s="224"/>
      <c r="O1892" s="224"/>
      <c r="P1892" s="224"/>
      <c r="Q1892" s="224"/>
      <c r="R1892" s="224"/>
      <c r="S1892" s="224"/>
      <c r="T1892" s="224"/>
      <c r="U1892" s="224"/>
      <c r="V1892" s="224"/>
    </row>
    <row r="1893" spans="1:22" x14ac:dyDescent="0.3">
      <c r="A1893" s="222"/>
      <c r="B1893" s="235"/>
      <c r="C1893" s="227"/>
      <c r="D1893" s="344"/>
      <c r="E1893" s="235"/>
      <c r="F1893" s="235"/>
      <c r="G1893" s="227"/>
      <c r="H1893" s="227"/>
      <c r="I1893" s="350"/>
      <c r="J1893" s="227"/>
      <c r="K1893" s="227"/>
      <c r="L1893" s="224"/>
      <c r="M1893" s="224"/>
      <c r="N1893" s="224"/>
      <c r="O1893" s="224"/>
      <c r="P1893" s="224"/>
      <c r="Q1893" s="224"/>
      <c r="R1893" s="224"/>
      <c r="S1893" s="224"/>
      <c r="T1893" s="224"/>
      <c r="U1893" s="224"/>
      <c r="V1893" s="224"/>
    </row>
    <row r="1894" spans="1:22" x14ac:dyDescent="0.3">
      <c r="A1894" s="222"/>
      <c r="B1894" s="235"/>
      <c r="C1894" s="227"/>
      <c r="D1894" s="344"/>
      <c r="E1894" s="235"/>
      <c r="F1894" s="235"/>
      <c r="G1894" s="227"/>
      <c r="H1894" s="227"/>
      <c r="I1894" s="350"/>
      <c r="J1894" s="227"/>
      <c r="K1894" s="227"/>
      <c r="L1894" s="224"/>
      <c r="M1894" s="224"/>
      <c r="N1894" s="224"/>
      <c r="O1894" s="224"/>
      <c r="P1894" s="224"/>
      <c r="Q1894" s="224"/>
      <c r="R1894" s="224"/>
      <c r="S1894" s="224"/>
      <c r="T1894" s="224"/>
      <c r="U1894" s="224"/>
      <c r="V1894" s="224"/>
    </row>
    <row r="1895" spans="1:22" x14ac:dyDescent="0.3">
      <c r="A1895" s="222"/>
      <c r="B1895" s="235"/>
      <c r="C1895" s="227"/>
      <c r="D1895" s="344"/>
      <c r="E1895" s="235"/>
      <c r="F1895" s="235"/>
      <c r="G1895" s="227"/>
      <c r="H1895" s="227"/>
      <c r="I1895" s="350"/>
      <c r="J1895" s="227"/>
      <c r="K1895" s="227"/>
      <c r="L1895" s="224"/>
      <c r="M1895" s="224"/>
      <c r="N1895" s="224"/>
      <c r="O1895" s="224"/>
      <c r="P1895" s="224"/>
      <c r="Q1895" s="224"/>
      <c r="R1895" s="224"/>
      <c r="S1895" s="224"/>
      <c r="T1895" s="224"/>
      <c r="U1895" s="224"/>
      <c r="V1895" s="224"/>
    </row>
    <row r="1896" spans="1:22" x14ac:dyDescent="0.3">
      <c r="A1896" s="222"/>
      <c r="B1896" s="235"/>
      <c r="C1896" s="227"/>
      <c r="D1896" s="344"/>
      <c r="E1896" s="235"/>
      <c r="F1896" s="235"/>
      <c r="G1896" s="227"/>
      <c r="H1896" s="227"/>
      <c r="I1896" s="350"/>
      <c r="J1896" s="227"/>
      <c r="K1896" s="227"/>
      <c r="L1896" s="224"/>
      <c r="M1896" s="224"/>
      <c r="N1896" s="224"/>
      <c r="O1896" s="224"/>
      <c r="P1896" s="224"/>
      <c r="Q1896" s="224"/>
      <c r="R1896" s="224"/>
      <c r="S1896" s="224"/>
      <c r="T1896" s="224"/>
      <c r="U1896" s="224"/>
      <c r="V1896" s="224"/>
    </row>
    <row r="1897" spans="1:22" x14ac:dyDescent="0.3">
      <c r="A1897" s="222"/>
      <c r="B1897" s="235"/>
      <c r="C1897" s="227"/>
      <c r="D1897" s="344"/>
      <c r="E1897" s="235"/>
      <c r="F1897" s="235"/>
      <c r="G1897" s="227"/>
      <c r="H1897" s="227"/>
      <c r="I1897" s="350"/>
      <c r="J1897" s="227"/>
      <c r="K1897" s="227"/>
      <c r="L1897" s="224"/>
      <c r="M1897" s="224"/>
      <c r="N1897" s="224"/>
      <c r="O1897" s="224"/>
      <c r="P1897" s="224"/>
      <c r="Q1897" s="224"/>
      <c r="R1897" s="224"/>
      <c r="S1897" s="224"/>
      <c r="T1897" s="224"/>
      <c r="U1897" s="224"/>
      <c r="V1897" s="224"/>
    </row>
    <row r="1898" spans="1:22" x14ac:dyDescent="0.3">
      <c r="A1898" s="222"/>
      <c r="B1898" s="235"/>
      <c r="C1898" s="227"/>
      <c r="D1898" s="344"/>
      <c r="E1898" s="235"/>
      <c r="F1898" s="235"/>
      <c r="G1898" s="227"/>
      <c r="H1898" s="227"/>
      <c r="I1898" s="350"/>
      <c r="J1898" s="227"/>
      <c r="K1898" s="227"/>
      <c r="L1898" s="224"/>
      <c r="M1898" s="224"/>
      <c r="N1898" s="224"/>
      <c r="O1898" s="224"/>
      <c r="P1898" s="224"/>
      <c r="Q1898" s="224"/>
      <c r="R1898" s="224"/>
      <c r="S1898" s="224"/>
      <c r="T1898" s="224"/>
      <c r="U1898" s="224"/>
      <c r="V1898" s="224"/>
    </row>
    <row r="1899" spans="1:22" x14ac:dyDescent="0.3">
      <c r="A1899" s="222"/>
      <c r="B1899" s="235"/>
      <c r="C1899" s="227"/>
      <c r="D1899" s="344"/>
      <c r="E1899" s="235"/>
      <c r="F1899" s="235"/>
      <c r="G1899" s="227"/>
      <c r="H1899" s="227"/>
      <c r="I1899" s="350"/>
      <c r="J1899" s="227"/>
      <c r="K1899" s="227"/>
      <c r="L1899" s="224"/>
      <c r="M1899" s="224"/>
      <c r="N1899" s="224"/>
      <c r="O1899" s="224"/>
      <c r="P1899" s="224"/>
      <c r="Q1899" s="224"/>
      <c r="R1899" s="224"/>
      <c r="S1899" s="224"/>
      <c r="T1899" s="224"/>
      <c r="U1899" s="224"/>
      <c r="V1899" s="224"/>
    </row>
    <row r="1900" spans="1:22" x14ac:dyDescent="0.3">
      <c r="A1900" s="222"/>
      <c r="B1900" s="235"/>
      <c r="C1900" s="227"/>
      <c r="D1900" s="344"/>
      <c r="E1900" s="235"/>
      <c r="F1900" s="235"/>
      <c r="G1900" s="227"/>
      <c r="H1900" s="227"/>
      <c r="I1900" s="350"/>
      <c r="J1900" s="227"/>
      <c r="K1900" s="227"/>
      <c r="L1900" s="224"/>
      <c r="M1900" s="224"/>
      <c r="N1900" s="224"/>
      <c r="O1900" s="224"/>
      <c r="P1900" s="224"/>
      <c r="Q1900" s="224"/>
      <c r="R1900" s="224"/>
      <c r="S1900" s="224"/>
      <c r="T1900" s="224"/>
      <c r="U1900" s="224"/>
      <c r="V1900" s="224"/>
    </row>
    <row r="1901" spans="1:22" x14ac:dyDescent="0.3">
      <c r="A1901" s="222"/>
      <c r="B1901" s="235"/>
      <c r="C1901" s="227"/>
      <c r="D1901" s="344"/>
      <c r="E1901" s="235"/>
      <c r="F1901" s="235"/>
      <c r="G1901" s="227"/>
      <c r="H1901" s="227"/>
      <c r="I1901" s="350"/>
      <c r="J1901" s="227"/>
      <c r="K1901" s="227"/>
      <c r="L1901" s="224"/>
      <c r="M1901" s="224"/>
      <c r="N1901" s="224"/>
      <c r="O1901" s="224"/>
      <c r="P1901" s="224"/>
      <c r="Q1901" s="224"/>
      <c r="R1901" s="224"/>
      <c r="S1901" s="224"/>
      <c r="T1901" s="224"/>
      <c r="U1901" s="224"/>
      <c r="V1901" s="224"/>
    </row>
    <row r="1902" spans="1:22" x14ac:dyDescent="0.3">
      <c r="A1902" s="222"/>
      <c r="B1902" s="235"/>
      <c r="C1902" s="227"/>
      <c r="D1902" s="344"/>
      <c r="E1902" s="235"/>
      <c r="F1902" s="235"/>
      <c r="G1902" s="227"/>
      <c r="H1902" s="227"/>
      <c r="I1902" s="350"/>
      <c r="J1902" s="227"/>
      <c r="K1902" s="227"/>
      <c r="L1902" s="224"/>
      <c r="M1902" s="224"/>
      <c r="N1902" s="224"/>
      <c r="O1902" s="224"/>
      <c r="P1902" s="224"/>
      <c r="Q1902" s="224"/>
      <c r="R1902" s="224"/>
      <c r="S1902" s="224"/>
      <c r="T1902" s="224"/>
      <c r="U1902" s="224"/>
      <c r="V1902" s="224"/>
    </row>
    <row r="1903" spans="1:22" x14ac:dyDescent="0.3">
      <c r="A1903" s="222"/>
      <c r="B1903" s="235"/>
      <c r="C1903" s="227"/>
      <c r="D1903" s="344"/>
      <c r="E1903" s="235"/>
      <c r="F1903" s="235"/>
      <c r="G1903" s="227"/>
      <c r="H1903" s="227"/>
      <c r="I1903" s="350"/>
      <c r="J1903" s="227"/>
      <c r="K1903" s="227"/>
      <c r="L1903" s="224"/>
      <c r="M1903" s="224"/>
      <c r="N1903" s="224"/>
      <c r="O1903" s="224"/>
      <c r="P1903" s="224"/>
      <c r="Q1903" s="224"/>
      <c r="R1903" s="224"/>
      <c r="S1903" s="224"/>
      <c r="T1903" s="224"/>
      <c r="U1903" s="224"/>
      <c r="V1903" s="224"/>
    </row>
    <row r="1904" spans="1:22" x14ac:dyDescent="0.3">
      <c r="A1904" s="222"/>
      <c r="B1904" s="235"/>
      <c r="C1904" s="227"/>
      <c r="D1904" s="344"/>
      <c r="E1904" s="235"/>
      <c r="F1904" s="235"/>
      <c r="G1904" s="227"/>
      <c r="H1904" s="227"/>
      <c r="I1904" s="350"/>
      <c r="J1904" s="227"/>
      <c r="K1904" s="227"/>
      <c r="L1904" s="224"/>
      <c r="M1904" s="224"/>
      <c r="N1904" s="224"/>
      <c r="O1904" s="224"/>
      <c r="P1904" s="224"/>
      <c r="Q1904" s="224"/>
      <c r="R1904" s="224"/>
      <c r="S1904" s="224"/>
      <c r="T1904" s="224"/>
      <c r="U1904" s="224"/>
      <c r="V1904" s="224"/>
    </row>
    <row r="1905" spans="1:22" x14ac:dyDescent="0.3">
      <c r="A1905" s="222"/>
      <c r="B1905" s="235"/>
      <c r="C1905" s="227"/>
      <c r="D1905" s="344"/>
      <c r="E1905" s="235"/>
      <c r="F1905" s="235"/>
      <c r="G1905" s="227"/>
      <c r="H1905" s="227"/>
      <c r="I1905" s="350"/>
      <c r="J1905" s="227"/>
      <c r="K1905" s="227"/>
      <c r="L1905" s="224"/>
      <c r="M1905" s="224"/>
      <c r="N1905" s="224"/>
      <c r="O1905" s="224"/>
      <c r="P1905" s="224"/>
      <c r="Q1905" s="224"/>
      <c r="R1905" s="224"/>
      <c r="S1905" s="224"/>
      <c r="T1905" s="224"/>
      <c r="U1905" s="224"/>
      <c r="V1905" s="224"/>
    </row>
    <row r="1906" spans="1:22" x14ac:dyDescent="0.3">
      <c r="A1906" s="222"/>
      <c r="B1906" s="235"/>
      <c r="C1906" s="227"/>
      <c r="D1906" s="344"/>
      <c r="E1906" s="235"/>
      <c r="F1906" s="235"/>
      <c r="G1906" s="227"/>
      <c r="H1906" s="227"/>
      <c r="I1906" s="350"/>
      <c r="J1906" s="227"/>
      <c r="K1906" s="227"/>
      <c r="L1906" s="224"/>
      <c r="M1906" s="224"/>
      <c r="N1906" s="224"/>
      <c r="O1906" s="224"/>
      <c r="P1906" s="224"/>
      <c r="Q1906" s="224"/>
      <c r="R1906" s="224"/>
      <c r="S1906" s="224"/>
      <c r="T1906" s="224"/>
      <c r="U1906" s="224"/>
      <c r="V1906" s="224"/>
    </row>
    <row r="1907" spans="1:22" x14ac:dyDescent="0.3">
      <c r="A1907" s="222"/>
      <c r="B1907" s="235"/>
      <c r="C1907" s="227"/>
      <c r="D1907" s="344"/>
      <c r="E1907" s="235"/>
      <c r="F1907" s="235"/>
      <c r="G1907" s="227"/>
      <c r="H1907" s="227"/>
      <c r="I1907" s="350"/>
      <c r="J1907" s="227"/>
      <c r="K1907" s="227"/>
      <c r="L1907" s="224"/>
      <c r="M1907" s="224"/>
      <c r="N1907" s="224"/>
      <c r="O1907" s="224"/>
      <c r="P1907" s="224"/>
      <c r="Q1907" s="224"/>
      <c r="R1907" s="224"/>
      <c r="S1907" s="224"/>
      <c r="T1907" s="224"/>
      <c r="U1907" s="224"/>
      <c r="V1907" s="224"/>
    </row>
    <row r="1908" spans="1:22" x14ac:dyDescent="0.3">
      <c r="A1908" s="222"/>
      <c r="B1908" s="235"/>
      <c r="C1908" s="227"/>
      <c r="D1908" s="344"/>
      <c r="E1908" s="235"/>
      <c r="F1908" s="235"/>
      <c r="G1908" s="227"/>
      <c r="H1908" s="227"/>
      <c r="I1908" s="350"/>
      <c r="J1908" s="227"/>
      <c r="K1908" s="227"/>
      <c r="L1908" s="224"/>
      <c r="M1908" s="224"/>
      <c r="N1908" s="224"/>
      <c r="O1908" s="224"/>
      <c r="P1908" s="224"/>
      <c r="Q1908" s="224"/>
      <c r="R1908" s="224"/>
      <c r="S1908" s="224"/>
      <c r="T1908" s="224"/>
      <c r="U1908" s="224"/>
      <c r="V1908" s="224"/>
    </row>
    <row r="1909" spans="1:22" x14ac:dyDescent="0.3">
      <c r="A1909" s="222"/>
      <c r="B1909" s="235"/>
      <c r="C1909" s="227"/>
      <c r="D1909" s="344"/>
      <c r="E1909" s="235"/>
      <c r="F1909" s="235"/>
      <c r="G1909" s="227"/>
      <c r="H1909" s="227"/>
      <c r="I1909" s="350"/>
      <c r="J1909" s="227"/>
      <c r="K1909" s="227"/>
      <c r="L1909" s="224"/>
      <c r="M1909" s="224"/>
      <c r="N1909" s="224"/>
      <c r="O1909" s="224"/>
      <c r="P1909" s="224"/>
      <c r="Q1909" s="224"/>
      <c r="R1909" s="224"/>
      <c r="S1909" s="224"/>
      <c r="T1909" s="224"/>
      <c r="U1909" s="224"/>
      <c r="V1909" s="224"/>
    </row>
    <row r="1910" spans="1:22" x14ac:dyDescent="0.3">
      <c r="A1910" s="222"/>
      <c r="B1910" s="235"/>
      <c r="C1910" s="227"/>
      <c r="D1910" s="344"/>
      <c r="E1910" s="235"/>
      <c r="F1910" s="235"/>
      <c r="G1910" s="227"/>
      <c r="H1910" s="227"/>
      <c r="I1910" s="350"/>
      <c r="J1910" s="227"/>
      <c r="K1910" s="227"/>
      <c r="L1910" s="224"/>
      <c r="M1910" s="224"/>
      <c r="N1910" s="224"/>
      <c r="O1910" s="224"/>
      <c r="P1910" s="224"/>
      <c r="Q1910" s="224"/>
      <c r="R1910" s="224"/>
      <c r="S1910" s="224"/>
      <c r="T1910" s="224"/>
      <c r="U1910" s="224"/>
      <c r="V1910" s="224"/>
    </row>
    <row r="1911" spans="1:22" x14ac:dyDescent="0.3">
      <c r="A1911" s="222"/>
      <c r="B1911" s="235"/>
      <c r="C1911" s="227"/>
      <c r="D1911" s="344"/>
      <c r="E1911" s="235"/>
      <c r="F1911" s="235"/>
      <c r="G1911" s="227"/>
      <c r="H1911" s="227"/>
      <c r="I1911" s="350"/>
      <c r="J1911" s="227"/>
      <c r="K1911" s="227"/>
      <c r="L1911" s="224"/>
      <c r="M1911" s="224"/>
      <c r="N1911" s="224"/>
      <c r="O1911" s="224"/>
      <c r="P1911" s="224"/>
      <c r="Q1911" s="224"/>
      <c r="R1911" s="224"/>
      <c r="S1911" s="224"/>
      <c r="T1911" s="224"/>
      <c r="U1911" s="224"/>
      <c r="V1911" s="224"/>
    </row>
    <row r="1912" spans="1:22" x14ac:dyDescent="0.3">
      <c r="A1912" s="222"/>
      <c r="B1912" s="235"/>
      <c r="C1912" s="227"/>
      <c r="D1912" s="344"/>
      <c r="E1912" s="235"/>
      <c r="F1912" s="235"/>
      <c r="G1912" s="227"/>
      <c r="H1912" s="227"/>
      <c r="I1912" s="350"/>
      <c r="J1912" s="227"/>
      <c r="K1912" s="227"/>
      <c r="L1912" s="224"/>
      <c r="M1912" s="224"/>
      <c r="N1912" s="224"/>
      <c r="O1912" s="224"/>
      <c r="P1912" s="224"/>
      <c r="Q1912" s="224"/>
      <c r="R1912" s="224"/>
      <c r="S1912" s="224"/>
      <c r="T1912" s="224"/>
      <c r="U1912" s="224"/>
      <c r="V1912" s="224"/>
    </row>
    <row r="1913" spans="1:22" x14ac:dyDescent="0.3">
      <c r="A1913" s="222"/>
      <c r="B1913" s="235"/>
      <c r="C1913" s="227"/>
      <c r="D1913" s="344"/>
      <c r="E1913" s="235"/>
      <c r="F1913" s="235"/>
      <c r="G1913" s="227"/>
      <c r="H1913" s="227"/>
      <c r="I1913" s="350"/>
      <c r="J1913" s="227"/>
      <c r="K1913" s="227"/>
      <c r="L1913" s="224"/>
      <c r="M1913" s="224"/>
      <c r="N1913" s="224"/>
      <c r="O1913" s="224"/>
      <c r="P1913" s="224"/>
      <c r="Q1913" s="224"/>
      <c r="R1913" s="224"/>
      <c r="S1913" s="224"/>
      <c r="T1913" s="224"/>
      <c r="U1913" s="224"/>
      <c r="V1913" s="224"/>
    </row>
    <row r="1914" spans="1:22" x14ac:dyDescent="0.3">
      <c r="A1914" s="222"/>
      <c r="B1914" s="235"/>
      <c r="C1914" s="227"/>
      <c r="D1914" s="344"/>
      <c r="E1914" s="235"/>
      <c r="F1914" s="235"/>
      <c r="G1914" s="227"/>
      <c r="H1914" s="227"/>
      <c r="I1914" s="350"/>
      <c r="J1914" s="227"/>
      <c r="K1914" s="227"/>
      <c r="L1914" s="224"/>
      <c r="M1914" s="224"/>
      <c r="N1914" s="224"/>
      <c r="O1914" s="224"/>
      <c r="P1914" s="224"/>
      <c r="Q1914" s="224"/>
      <c r="R1914" s="224"/>
      <c r="S1914" s="224"/>
      <c r="T1914" s="224"/>
      <c r="U1914" s="224"/>
      <c r="V1914" s="224"/>
    </row>
    <row r="1915" spans="1:22" x14ac:dyDescent="0.3">
      <c r="A1915" s="222"/>
      <c r="B1915" s="235"/>
      <c r="C1915" s="227"/>
      <c r="D1915" s="344"/>
      <c r="E1915" s="235"/>
      <c r="F1915" s="235"/>
      <c r="G1915" s="227"/>
      <c r="H1915" s="227"/>
      <c r="I1915" s="350"/>
      <c r="J1915" s="227"/>
      <c r="K1915" s="227"/>
      <c r="L1915" s="224"/>
      <c r="M1915" s="224"/>
      <c r="N1915" s="224"/>
      <c r="O1915" s="224"/>
      <c r="P1915" s="224"/>
      <c r="Q1915" s="224"/>
      <c r="R1915" s="224"/>
      <c r="S1915" s="224"/>
      <c r="T1915" s="224"/>
      <c r="U1915" s="224"/>
      <c r="V1915" s="224"/>
    </row>
    <row r="1916" spans="1:22" x14ac:dyDescent="0.3">
      <c r="A1916" s="222"/>
      <c r="B1916" s="235"/>
      <c r="C1916" s="227"/>
      <c r="D1916" s="344"/>
      <c r="E1916" s="235"/>
      <c r="F1916" s="235"/>
      <c r="G1916" s="227"/>
      <c r="H1916" s="227"/>
      <c r="I1916" s="350"/>
      <c r="J1916" s="227"/>
      <c r="K1916" s="227"/>
      <c r="L1916" s="224"/>
      <c r="M1916" s="224"/>
      <c r="N1916" s="224"/>
      <c r="O1916" s="224"/>
      <c r="P1916" s="224"/>
      <c r="Q1916" s="224"/>
      <c r="R1916" s="224"/>
      <c r="S1916" s="224"/>
      <c r="T1916" s="224"/>
      <c r="U1916" s="224"/>
      <c r="V1916" s="224"/>
    </row>
    <row r="1917" spans="1:22" x14ac:dyDescent="0.3">
      <c r="A1917" s="222"/>
      <c r="B1917" s="235"/>
      <c r="C1917" s="227"/>
      <c r="D1917" s="344"/>
      <c r="E1917" s="235"/>
      <c r="F1917" s="235"/>
      <c r="G1917" s="227"/>
      <c r="H1917" s="227"/>
      <c r="I1917" s="350"/>
      <c r="J1917" s="227"/>
      <c r="K1917" s="227"/>
      <c r="L1917" s="224"/>
      <c r="M1917" s="224"/>
      <c r="N1917" s="224"/>
      <c r="O1917" s="224"/>
      <c r="P1917" s="224"/>
      <c r="Q1917" s="224"/>
      <c r="R1917" s="224"/>
      <c r="S1917" s="224"/>
      <c r="T1917" s="224"/>
      <c r="U1917" s="224"/>
      <c r="V1917" s="224"/>
    </row>
    <row r="1918" spans="1:22" x14ac:dyDescent="0.3">
      <c r="A1918" s="222"/>
      <c r="B1918" s="235"/>
      <c r="C1918" s="227"/>
      <c r="D1918" s="344"/>
      <c r="E1918" s="235"/>
      <c r="F1918" s="235"/>
      <c r="G1918" s="227"/>
      <c r="H1918" s="227"/>
      <c r="I1918" s="350"/>
      <c r="J1918" s="227"/>
      <c r="K1918" s="227"/>
      <c r="L1918" s="224"/>
      <c r="M1918" s="224"/>
      <c r="N1918" s="224"/>
      <c r="O1918" s="224"/>
      <c r="P1918" s="224"/>
      <c r="Q1918" s="224"/>
      <c r="R1918" s="224"/>
      <c r="S1918" s="224"/>
      <c r="T1918" s="224"/>
      <c r="U1918" s="224"/>
      <c r="V1918" s="224"/>
    </row>
    <row r="1919" spans="1:22" x14ac:dyDescent="0.3">
      <c r="A1919" s="222"/>
      <c r="B1919" s="235"/>
      <c r="C1919" s="227"/>
      <c r="D1919" s="344"/>
      <c r="E1919" s="235"/>
      <c r="F1919" s="235"/>
      <c r="G1919" s="227"/>
      <c r="H1919" s="227"/>
      <c r="I1919" s="350"/>
      <c r="J1919" s="227"/>
      <c r="K1919" s="227"/>
      <c r="L1919" s="224"/>
      <c r="M1919" s="224"/>
      <c r="N1919" s="224"/>
      <c r="O1919" s="224"/>
      <c r="P1919" s="224"/>
      <c r="Q1919" s="224"/>
      <c r="R1919" s="224"/>
      <c r="S1919" s="224"/>
      <c r="T1919" s="224"/>
      <c r="U1919" s="224"/>
      <c r="V1919" s="224"/>
    </row>
    <row r="1920" spans="1:22" x14ac:dyDescent="0.3">
      <c r="A1920" s="222"/>
      <c r="B1920" s="235"/>
      <c r="C1920" s="227"/>
      <c r="D1920" s="344"/>
      <c r="E1920" s="235"/>
      <c r="F1920" s="235"/>
      <c r="G1920" s="227"/>
      <c r="H1920" s="227"/>
      <c r="I1920" s="350"/>
      <c r="J1920" s="227"/>
      <c r="K1920" s="227"/>
      <c r="L1920" s="224"/>
      <c r="M1920" s="224"/>
      <c r="N1920" s="224"/>
      <c r="O1920" s="224"/>
      <c r="P1920" s="224"/>
      <c r="Q1920" s="224"/>
      <c r="R1920" s="224"/>
      <c r="S1920" s="224"/>
      <c r="T1920" s="224"/>
      <c r="U1920" s="224"/>
      <c r="V1920" s="224"/>
    </row>
    <row r="1921" spans="1:22" x14ac:dyDescent="0.3">
      <c r="A1921" s="222"/>
      <c r="B1921" s="235"/>
      <c r="C1921" s="227"/>
      <c r="D1921" s="344"/>
      <c r="E1921" s="235"/>
      <c r="F1921" s="235"/>
      <c r="G1921" s="227"/>
      <c r="H1921" s="227"/>
      <c r="I1921" s="350"/>
      <c r="J1921" s="227"/>
      <c r="K1921" s="227"/>
      <c r="L1921" s="224"/>
      <c r="M1921" s="224"/>
      <c r="N1921" s="224"/>
      <c r="O1921" s="224"/>
      <c r="P1921" s="224"/>
      <c r="Q1921" s="224"/>
      <c r="R1921" s="224"/>
      <c r="S1921" s="224"/>
      <c r="T1921" s="224"/>
      <c r="U1921" s="224"/>
      <c r="V1921" s="224"/>
    </row>
    <row r="1922" spans="1:22" x14ac:dyDescent="0.3">
      <c r="A1922" s="222"/>
      <c r="B1922" s="235"/>
      <c r="C1922" s="227"/>
      <c r="D1922" s="344"/>
      <c r="E1922" s="235"/>
      <c r="F1922" s="235"/>
      <c r="G1922" s="227"/>
      <c r="H1922" s="227"/>
      <c r="I1922" s="350"/>
      <c r="J1922" s="227"/>
      <c r="K1922" s="227"/>
      <c r="L1922" s="224"/>
      <c r="M1922" s="224"/>
      <c r="N1922" s="224"/>
      <c r="O1922" s="224"/>
      <c r="P1922" s="224"/>
      <c r="Q1922" s="224"/>
      <c r="R1922" s="224"/>
      <c r="S1922" s="224"/>
      <c r="T1922" s="224"/>
      <c r="U1922" s="224"/>
      <c r="V1922" s="224"/>
    </row>
    <row r="1923" spans="1:22" x14ac:dyDescent="0.3">
      <c r="A1923" s="222"/>
      <c r="B1923" s="235"/>
      <c r="C1923" s="227"/>
      <c r="D1923" s="344"/>
      <c r="E1923" s="235"/>
      <c r="F1923" s="235"/>
      <c r="G1923" s="227"/>
      <c r="H1923" s="227"/>
      <c r="I1923" s="350"/>
      <c r="J1923" s="227"/>
      <c r="K1923" s="227"/>
      <c r="L1923" s="224"/>
      <c r="M1923" s="224"/>
      <c r="N1923" s="224"/>
      <c r="O1923" s="224"/>
      <c r="P1923" s="224"/>
      <c r="Q1923" s="224"/>
      <c r="R1923" s="224"/>
      <c r="S1923" s="224"/>
      <c r="T1923" s="224"/>
      <c r="U1923" s="224"/>
      <c r="V1923" s="224"/>
    </row>
    <row r="1924" spans="1:22" x14ac:dyDescent="0.3">
      <c r="A1924" s="222"/>
      <c r="B1924" s="235"/>
      <c r="C1924" s="227"/>
      <c r="D1924" s="344"/>
      <c r="E1924" s="235"/>
      <c r="F1924" s="235"/>
      <c r="G1924" s="227"/>
      <c r="H1924" s="227"/>
      <c r="I1924" s="350"/>
      <c r="J1924" s="227"/>
      <c r="K1924" s="227"/>
      <c r="L1924" s="224"/>
      <c r="M1924" s="224"/>
      <c r="N1924" s="224"/>
      <c r="O1924" s="224"/>
      <c r="P1924" s="224"/>
      <c r="Q1924" s="224"/>
      <c r="R1924" s="224"/>
      <c r="S1924" s="224"/>
      <c r="T1924" s="224"/>
      <c r="U1924" s="224"/>
      <c r="V1924" s="224"/>
    </row>
    <row r="1925" spans="1:22" x14ac:dyDescent="0.3">
      <c r="A1925" s="222"/>
      <c r="B1925" s="235"/>
      <c r="C1925" s="227"/>
      <c r="D1925" s="344"/>
      <c r="E1925" s="235"/>
      <c r="F1925" s="235"/>
      <c r="G1925" s="227"/>
      <c r="H1925" s="227"/>
      <c r="I1925" s="350"/>
      <c r="J1925" s="227"/>
      <c r="K1925" s="227"/>
      <c r="L1925" s="224"/>
      <c r="M1925" s="224"/>
      <c r="N1925" s="224"/>
      <c r="O1925" s="224"/>
      <c r="P1925" s="224"/>
      <c r="Q1925" s="224"/>
      <c r="R1925" s="224"/>
      <c r="S1925" s="224"/>
      <c r="T1925" s="224"/>
      <c r="U1925" s="224"/>
      <c r="V1925" s="224"/>
    </row>
    <row r="1926" spans="1:22" x14ac:dyDescent="0.3">
      <c r="A1926" s="222"/>
      <c r="B1926" s="235"/>
      <c r="C1926" s="227"/>
      <c r="D1926" s="344"/>
      <c r="E1926" s="235"/>
      <c r="F1926" s="235"/>
      <c r="G1926" s="227"/>
      <c r="H1926" s="227"/>
      <c r="I1926" s="350"/>
      <c r="J1926" s="227"/>
      <c r="K1926" s="227"/>
      <c r="L1926" s="224"/>
      <c r="M1926" s="224"/>
      <c r="N1926" s="224"/>
      <c r="O1926" s="224"/>
      <c r="P1926" s="224"/>
      <c r="Q1926" s="224"/>
      <c r="R1926" s="224"/>
      <c r="S1926" s="224"/>
      <c r="T1926" s="224"/>
      <c r="U1926" s="224"/>
      <c r="V1926" s="224"/>
    </row>
    <row r="1927" spans="1:22" x14ac:dyDescent="0.3">
      <c r="A1927" s="222"/>
      <c r="B1927" s="235"/>
      <c r="C1927" s="227"/>
      <c r="D1927" s="344"/>
      <c r="E1927" s="235"/>
      <c r="F1927" s="235"/>
      <c r="G1927" s="227"/>
      <c r="H1927" s="227"/>
      <c r="I1927" s="350"/>
      <c r="J1927" s="227"/>
      <c r="K1927" s="227"/>
      <c r="L1927" s="224"/>
      <c r="M1927" s="224"/>
      <c r="N1927" s="224"/>
      <c r="O1927" s="224"/>
      <c r="P1927" s="224"/>
      <c r="Q1927" s="224"/>
      <c r="R1927" s="224"/>
      <c r="S1927" s="224"/>
      <c r="T1927" s="224"/>
      <c r="U1927" s="224"/>
      <c r="V1927" s="224"/>
    </row>
    <row r="1928" spans="1:22" x14ac:dyDescent="0.3">
      <c r="A1928" s="222"/>
      <c r="B1928" s="235"/>
      <c r="C1928" s="227"/>
      <c r="D1928" s="344"/>
      <c r="E1928" s="235"/>
      <c r="F1928" s="235"/>
      <c r="G1928" s="227"/>
      <c r="H1928" s="227"/>
      <c r="I1928" s="350"/>
      <c r="J1928" s="227"/>
      <c r="K1928" s="227"/>
      <c r="L1928" s="224"/>
      <c r="M1928" s="224"/>
      <c r="N1928" s="224"/>
      <c r="O1928" s="224"/>
      <c r="P1928" s="224"/>
      <c r="Q1928" s="224"/>
      <c r="R1928" s="224"/>
      <c r="S1928" s="224"/>
      <c r="T1928" s="224"/>
      <c r="U1928" s="224"/>
      <c r="V1928" s="224"/>
    </row>
    <row r="1929" spans="1:22" x14ac:dyDescent="0.3">
      <c r="A1929" s="222"/>
      <c r="B1929" s="235"/>
      <c r="C1929" s="227"/>
      <c r="D1929" s="344"/>
      <c r="E1929" s="235"/>
      <c r="F1929" s="235"/>
      <c r="G1929" s="227"/>
      <c r="H1929" s="227"/>
      <c r="I1929" s="350"/>
      <c r="J1929" s="227"/>
      <c r="K1929" s="227"/>
      <c r="L1929" s="224"/>
      <c r="M1929" s="224"/>
      <c r="N1929" s="224"/>
      <c r="O1929" s="224"/>
      <c r="P1929" s="224"/>
      <c r="Q1929" s="224"/>
      <c r="R1929" s="224"/>
      <c r="S1929" s="224"/>
      <c r="T1929" s="224"/>
      <c r="U1929" s="224"/>
      <c r="V1929" s="224"/>
    </row>
    <row r="1930" spans="1:22" x14ac:dyDescent="0.3">
      <c r="A1930" s="222"/>
      <c r="B1930" s="235"/>
      <c r="C1930" s="227"/>
      <c r="D1930" s="344"/>
      <c r="E1930" s="235"/>
      <c r="F1930" s="235"/>
      <c r="G1930" s="227"/>
      <c r="H1930" s="227"/>
      <c r="I1930" s="350"/>
      <c r="J1930" s="227"/>
      <c r="K1930" s="227"/>
      <c r="L1930" s="224"/>
      <c r="M1930" s="224"/>
      <c r="N1930" s="224"/>
      <c r="O1930" s="224"/>
      <c r="P1930" s="224"/>
      <c r="Q1930" s="224"/>
      <c r="R1930" s="224"/>
      <c r="S1930" s="224"/>
      <c r="T1930" s="224"/>
      <c r="U1930" s="224"/>
      <c r="V1930" s="224"/>
    </row>
    <row r="1931" spans="1:22" x14ac:dyDescent="0.3">
      <c r="A1931" s="222"/>
      <c r="B1931" s="235"/>
      <c r="C1931" s="227"/>
      <c r="D1931" s="344"/>
      <c r="E1931" s="235"/>
      <c r="F1931" s="235"/>
      <c r="G1931" s="227"/>
      <c r="H1931" s="227"/>
      <c r="I1931" s="350"/>
      <c r="J1931" s="227"/>
      <c r="K1931" s="227"/>
      <c r="L1931" s="224"/>
      <c r="M1931" s="224"/>
      <c r="N1931" s="224"/>
      <c r="O1931" s="224"/>
      <c r="P1931" s="224"/>
      <c r="Q1931" s="224"/>
      <c r="R1931" s="224"/>
      <c r="S1931" s="224"/>
      <c r="T1931" s="224"/>
      <c r="U1931" s="224"/>
      <c r="V1931" s="224"/>
    </row>
    <row r="1932" spans="1:22" x14ac:dyDescent="0.3">
      <c r="A1932" s="222"/>
      <c r="B1932" s="235"/>
      <c r="C1932" s="227"/>
      <c r="D1932" s="344"/>
      <c r="E1932" s="235"/>
      <c r="F1932" s="235"/>
      <c r="G1932" s="227"/>
      <c r="H1932" s="227"/>
      <c r="I1932" s="350"/>
      <c r="J1932" s="227"/>
      <c r="K1932" s="227"/>
      <c r="L1932" s="224"/>
      <c r="M1932" s="224"/>
      <c r="N1932" s="224"/>
      <c r="O1932" s="224"/>
      <c r="P1932" s="224"/>
      <c r="Q1932" s="224"/>
      <c r="R1932" s="224"/>
      <c r="S1932" s="224"/>
      <c r="T1932" s="224"/>
      <c r="U1932" s="224"/>
      <c r="V1932" s="224"/>
    </row>
    <row r="1933" spans="1:22" x14ac:dyDescent="0.3">
      <c r="A1933" s="222"/>
      <c r="B1933" s="235"/>
      <c r="C1933" s="227"/>
      <c r="D1933" s="344"/>
      <c r="E1933" s="235"/>
      <c r="F1933" s="235"/>
      <c r="G1933" s="227"/>
      <c r="H1933" s="227"/>
      <c r="I1933" s="350"/>
      <c r="J1933" s="227"/>
      <c r="K1933" s="227"/>
      <c r="L1933" s="224"/>
      <c r="M1933" s="224"/>
      <c r="N1933" s="224"/>
      <c r="O1933" s="224"/>
      <c r="P1933" s="224"/>
      <c r="Q1933" s="224"/>
      <c r="R1933" s="224"/>
      <c r="S1933" s="224"/>
      <c r="T1933" s="224"/>
      <c r="U1933" s="224"/>
      <c r="V1933" s="224"/>
    </row>
    <row r="1934" spans="1:22" x14ac:dyDescent="0.3">
      <c r="A1934" s="222"/>
      <c r="B1934" s="235"/>
      <c r="C1934" s="227"/>
      <c r="D1934" s="344"/>
      <c r="E1934" s="235"/>
      <c r="F1934" s="235"/>
      <c r="G1934" s="227"/>
      <c r="H1934" s="227"/>
      <c r="I1934" s="350"/>
      <c r="J1934" s="227"/>
      <c r="K1934" s="227"/>
      <c r="L1934" s="224"/>
      <c r="M1934" s="224"/>
      <c r="N1934" s="224"/>
      <c r="O1934" s="224"/>
      <c r="P1934" s="224"/>
      <c r="Q1934" s="224"/>
      <c r="R1934" s="224"/>
      <c r="S1934" s="224"/>
      <c r="T1934" s="224"/>
      <c r="U1934" s="224"/>
      <c r="V1934" s="224"/>
    </row>
    <row r="1935" spans="1:22" x14ac:dyDescent="0.3">
      <c r="A1935" s="222"/>
      <c r="B1935" s="235"/>
      <c r="C1935" s="227"/>
      <c r="D1935" s="344"/>
      <c r="E1935" s="235"/>
      <c r="F1935" s="235"/>
      <c r="G1935" s="227"/>
      <c r="H1935" s="227"/>
      <c r="I1935" s="350"/>
      <c r="J1935" s="227"/>
      <c r="K1935" s="227"/>
      <c r="L1935" s="224"/>
      <c r="M1935" s="224"/>
      <c r="N1935" s="224"/>
      <c r="O1935" s="224"/>
      <c r="P1935" s="224"/>
      <c r="Q1935" s="224"/>
      <c r="R1935" s="224"/>
      <c r="S1935" s="224"/>
      <c r="T1935" s="224"/>
      <c r="U1935" s="224"/>
      <c r="V1935" s="224"/>
    </row>
    <row r="1936" spans="1:22" x14ac:dyDescent="0.3">
      <c r="A1936" s="222"/>
      <c r="B1936" s="235"/>
      <c r="C1936" s="227"/>
      <c r="D1936" s="344"/>
      <c r="E1936" s="235"/>
      <c r="F1936" s="235"/>
      <c r="G1936" s="227"/>
      <c r="H1936" s="227"/>
      <c r="I1936" s="350"/>
      <c r="J1936" s="227"/>
      <c r="K1936" s="227"/>
      <c r="L1936" s="224"/>
      <c r="M1936" s="224"/>
      <c r="N1936" s="224"/>
      <c r="O1936" s="224"/>
      <c r="P1936" s="224"/>
      <c r="Q1936" s="224"/>
      <c r="R1936" s="224"/>
      <c r="S1936" s="224"/>
      <c r="T1936" s="224"/>
      <c r="U1936" s="224"/>
      <c r="V1936" s="224"/>
    </row>
    <row r="1937" spans="1:22" x14ac:dyDescent="0.3">
      <c r="A1937" s="222"/>
      <c r="B1937" s="235"/>
      <c r="C1937" s="227"/>
      <c r="D1937" s="344"/>
      <c r="E1937" s="235"/>
      <c r="F1937" s="235"/>
      <c r="G1937" s="227"/>
      <c r="H1937" s="227"/>
      <c r="I1937" s="350"/>
      <c r="J1937" s="227"/>
      <c r="K1937" s="227"/>
      <c r="L1937" s="224"/>
      <c r="M1937" s="224"/>
      <c r="N1937" s="224"/>
      <c r="O1937" s="224"/>
      <c r="P1937" s="224"/>
      <c r="Q1937" s="224"/>
      <c r="R1937" s="224"/>
      <c r="S1937" s="224"/>
      <c r="T1937" s="224"/>
      <c r="U1937" s="224"/>
      <c r="V1937" s="224"/>
    </row>
    <row r="1938" spans="1:22" x14ac:dyDescent="0.3">
      <c r="A1938" s="222"/>
      <c r="B1938" s="235"/>
      <c r="C1938" s="227"/>
      <c r="D1938" s="344"/>
      <c r="E1938" s="235"/>
      <c r="F1938" s="235"/>
      <c r="G1938" s="227"/>
      <c r="H1938" s="227"/>
      <c r="I1938" s="350"/>
      <c r="J1938" s="227"/>
      <c r="K1938" s="227"/>
      <c r="L1938" s="224"/>
      <c r="M1938" s="224"/>
      <c r="N1938" s="224"/>
      <c r="O1938" s="224"/>
      <c r="P1938" s="224"/>
      <c r="Q1938" s="224"/>
      <c r="R1938" s="224"/>
      <c r="S1938" s="224"/>
      <c r="T1938" s="224"/>
      <c r="U1938" s="224"/>
      <c r="V1938" s="224"/>
    </row>
    <row r="1939" spans="1:22" x14ac:dyDescent="0.3">
      <c r="A1939" s="222"/>
      <c r="B1939" s="235"/>
      <c r="C1939" s="227"/>
      <c r="D1939" s="344"/>
      <c r="E1939" s="235"/>
      <c r="F1939" s="235"/>
      <c r="G1939" s="227"/>
      <c r="H1939" s="227"/>
      <c r="I1939" s="350"/>
      <c r="J1939" s="227"/>
      <c r="K1939" s="227"/>
      <c r="L1939" s="224"/>
      <c r="M1939" s="224"/>
      <c r="N1939" s="224"/>
      <c r="O1939" s="224"/>
      <c r="P1939" s="224"/>
      <c r="Q1939" s="224"/>
      <c r="R1939" s="224"/>
      <c r="S1939" s="224"/>
      <c r="T1939" s="224"/>
      <c r="U1939" s="224"/>
      <c r="V1939" s="224"/>
    </row>
    <row r="1940" spans="1:22" x14ac:dyDescent="0.3">
      <c r="A1940" s="222"/>
      <c r="B1940" s="235"/>
      <c r="C1940" s="227"/>
      <c r="D1940" s="344"/>
      <c r="E1940" s="235"/>
      <c r="F1940" s="235"/>
      <c r="G1940" s="227"/>
      <c r="H1940" s="227"/>
      <c r="I1940" s="350"/>
      <c r="J1940" s="227"/>
      <c r="K1940" s="227"/>
      <c r="L1940" s="224"/>
      <c r="M1940" s="224"/>
      <c r="N1940" s="224"/>
      <c r="O1940" s="224"/>
      <c r="P1940" s="224"/>
      <c r="Q1940" s="224"/>
      <c r="R1940" s="224"/>
      <c r="S1940" s="224"/>
      <c r="T1940" s="224"/>
      <c r="U1940" s="224"/>
      <c r="V1940" s="224"/>
    </row>
    <row r="1941" spans="1:22" x14ac:dyDescent="0.3">
      <c r="A1941" s="222"/>
      <c r="B1941" s="235"/>
      <c r="C1941" s="227"/>
      <c r="D1941" s="344"/>
      <c r="E1941" s="235"/>
      <c r="F1941" s="235"/>
      <c r="G1941" s="227"/>
      <c r="H1941" s="227"/>
      <c r="I1941" s="350"/>
      <c r="J1941" s="227"/>
      <c r="K1941" s="227"/>
      <c r="L1941" s="224"/>
      <c r="M1941" s="224"/>
      <c r="N1941" s="224"/>
      <c r="O1941" s="224"/>
      <c r="P1941" s="224"/>
      <c r="Q1941" s="224"/>
      <c r="R1941" s="224"/>
      <c r="S1941" s="224"/>
      <c r="T1941" s="224"/>
      <c r="U1941" s="224"/>
      <c r="V1941" s="224"/>
    </row>
    <row r="1942" spans="1:22" x14ac:dyDescent="0.3">
      <c r="A1942" s="222"/>
      <c r="B1942" s="235"/>
      <c r="C1942" s="227"/>
      <c r="D1942" s="344"/>
      <c r="E1942" s="235"/>
      <c r="F1942" s="235"/>
      <c r="G1942" s="227"/>
      <c r="H1942" s="227"/>
      <c r="I1942" s="350"/>
      <c r="J1942" s="227"/>
      <c r="K1942" s="227"/>
      <c r="L1942" s="224"/>
      <c r="M1942" s="224"/>
      <c r="N1942" s="224"/>
      <c r="O1942" s="224"/>
      <c r="P1942" s="224"/>
      <c r="Q1942" s="224"/>
      <c r="R1942" s="224"/>
      <c r="S1942" s="224"/>
      <c r="T1942" s="224"/>
      <c r="U1942" s="224"/>
      <c r="V1942" s="224"/>
    </row>
    <row r="1943" spans="1:22" x14ac:dyDescent="0.3">
      <c r="A1943" s="222"/>
      <c r="B1943" s="235"/>
      <c r="C1943" s="227"/>
      <c r="D1943" s="344"/>
      <c r="E1943" s="235"/>
      <c r="F1943" s="235"/>
      <c r="G1943" s="227"/>
      <c r="H1943" s="227"/>
      <c r="I1943" s="350"/>
      <c r="J1943" s="227"/>
      <c r="K1943" s="227"/>
      <c r="L1943" s="224"/>
      <c r="M1943" s="224"/>
      <c r="N1943" s="224"/>
      <c r="O1943" s="224"/>
      <c r="P1943" s="224"/>
      <c r="Q1943" s="224"/>
      <c r="R1943" s="224"/>
      <c r="S1943" s="224"/>
      <c r="T1943" s="224"/>
      <c r="U1943" s="224"/>
      <c r="V1943" s="224"/>
    </row>
    <row r="1944" spans="1:22" x14ac:dyDescent="0.3">
      <c r="A1944" s="222"/>
      <c r="B1944" s="235"/>
      <c r="C1944" s="227"/>
      <c r="D1944" s="344"/>
      <c r="E1944" s="235"/>
      <c r="F1944" s="235"/>
      <c r="G1944" s="227"/>
      <c r="H1944" s="227"/>
      <c r="I1944" s="350"/>
      <c r="J1944" s="227"/>
      <c r="K1944" s="227"/>
      <c r="L1944" s="224"/>
      <c r="M1944" s="224"/>
      <c r="N1944" s="224"/>
      <c r="O1944" s="224"/>
      <c r="P1944" s="224"/>
      <c r="Q1944" s="224"/>
      <c r="R1944" s="224"/>
      <c r="S1944" s="224"/>
      <c r="T1944" s="224"/>
      <c r="U1944" s="224"/>
      <c r="V1944" s="224"/>
    </row>
    <row r="1945" spans="1:22" x14ac:dyDescent="0.3">
      <c r="A1945" s="222"/>
      <c r="B1945" s="235"/>
      <c r="C1945" s="227"/>
      <c r="D1945" s="344"/>
      <c r="E1945" s="235"/>
      <c r="F1945" s="235"/>
      <c r="G1945" s="227"/>
      <c r="H1945" s="227"/>
      <c r="I1945" s="350"/>
      <c r="J1945" s="227"/>
      <c r="K1945" s="227"/>
      <c r="L1945" s="224"/>
      <c r="M1945" s="224"/>
      <c r="N1945" s="224"/>
      <c r="O1945" s="224"/>
      <c r="P1945" s="224"/>
      <c r="Q1945" s="224"/>
      <c r="R1945" s="224"/>
      <c r="S1945" s="224"/>
      <c r="T1945" s="224"/>
      <c r="U1945" s="224"/>
      <c r="V1945" s="224"/>
    </row>
    <row r="1946" spans="1:22" x14ac:dyDescent="0.3">
      <c r="A1946" s="222"/>
      <c r="B1946" s="235"/>
      <c r="C1946" s="227"/>
      <c r="D1946" s="344"/>
      <c r="E1946" s="235"/>
      <c r="F1946" s="235"/>
      <c r="G1946" s="227"/>
      <c r="H1946" s="227"/>
      <c r="I1946" s="350"/>
      <c r="J1946" s="227"/>
      <c r="K1946" s="227"/>
      <c r="L1946" s="224"/>
      <c r="M1946" s="224"/>
      <c r="N1946" s="224"/>
      <c r="O1946" s="224"/>
      <c r="P1946" s="224"/>
      <c r="Q1946" s="224"/>
      <c r="R1946" s="224"/>
      <c r="S1946" s="224"/>
      <c r="T1946" s="224"/>
      <c r="U1946" s="224"/>
      <c r="V1946" s="224"/>
    </row>
    <row r="1947" spans="1:22" x14ac:dyDescent="0.3">
      <c r="A1947" s="222"/>
      <c r="B1947" s="235"/>
      <c r="C1947" s="227"/>
      <c r="D1947" s="344"/>
      <c r="E1947" s="235"/>
      <c r="F1947" s="235"/>
      <c r="G1947" s="227"/>
      <c r="H1947" s="227"/>
      <c r="I1947" s="350"/>
      <c r="J1947" s="227"/>
      <c r="K1947" s="227"/>
      <c r="L1947" s="224"/>
      <c r="M1947" s="224"/>
      <c r="N1947" s="224"/>
      <c r="O1947" s="224"/>
      <c r="P1947" s="224"/>
      <c r="Q1947" s="224"/>
      <c r="R1947" s="224"/>
      <c r="S1947" s="224"/>
      <c r="T1947" s="224"/>
      <c r="U1947" s="224"/>
      <c r="V1947" s="224"/>
    </row>
    <row r="1948" spans="1:22" x14ac:dyDescent="0.3">
      <c r="A1948" s="222"/>
      <c r="B1948" s="235"/>
      <c r="C1948" s="227"/>
      <c r="D1948" s="344"/>
      <c r="E1948" s="235"/>
      <c r="F1948" s="235"/>
      <c r="G1948" s="227"/>
      <c r="H1948" s="227"/>
      <c r="I1948" s="350"/>
      <c r="J1948" s="227"/>
      <c r="K1948" s="227"/>
      <c r="L1948" s="224"/>
      <c r="M1948" s="224"/>
      <c r="N1948" s="224"/>
      <c r="O1948" s="224"/>
      <c r="P1948" s="224"/>
      <c r="Q1948" s="224"/>
      <c r="R1948" s="224"/>
      <c r="S1948" s="224"/>
      <c r="T1948" s="224"/>
      <c r="U1948" s="224"/>
      <c r="V1948" s="224"/>
    </row>
    <row r="1949" spans="1:22" x14ac:dyDescent="0.3">
      <c r="A1949" s="222"/>
      <c r="B1949" s="235"/>
      <c r="C1949" s="227"/>
      <c r="D1949" s="344"/>
      <c r="E1949" s="235"/>
      <c r="F1949" s="235"/>
      <c r="G1949" s="227"/>
      <c r="H1949" s="227"/>
      <c r="I1949" s="350"/>
      <c r="J1949" s="227"/>
      <c r="K1949" s="227"/>
      <c r="L1949" s="224"/>
      <c r="M1949" s="224"/>
      <c r="N1949" s="224"/>
      <c r="O1949" s="224"/>
      <c r="P1949" s="224"/>
      <c r="Q1949" s="224"/>
      <c r="R1949" s="224"/>
      <c r="S1949" s="224"/>
      <c r="T1949" s="224"/>
      <c r="U1949" s="224"/>
      <c r="V1949" s="224"/>
    </row>
    <row r="1950" spans="1:22" x14ac:dyDescent="0.3">
      <c r="A1950" s="222"/>
      <c r="B1950" s="235"/>
      <c r="C1950" s="227"/>
      <c r="D1950" s="344"/>
      <c r="E1950" s="235"/>
      <c r="F1950" s="235"/>
      <c r="G1950" s="227"/>
      <c r="H1950" s="227"/>
      <c r="I1950" s="350"/>
      <c r="J1950" s="227"/>
      <c r="K1950" s="227"/>
      <c r="L1950" s="224"/>
      <c r="M1950" s="224"/>
      <c r="N1950" s="224"/>
      <c r="O1950" s="224"/>
      <c r="P1950" s="224"/>
      <c r="Q1950" s="224"/>
      <c r="R1950" s="224"/>
      <c r="S1950" s="224"/>
      <c r="T1950" s="224"/>
      <c r="U1950" s="224"/>
      <c r="V1950" s="224"/>
    </row>
    <row r="1951" spans="1:22" x14ac:dyDescent="0.3">
      <c r="A1951" s="222"/>
      <c r="B1951" s="235"/>
      <c r="C1951" s="227"/>
      <c r="D1951" s="344"/>
      <c r="E1951" s="235"/>
      <c r="F1951" s="235"/>
      <c r="G1951" s="227"/>
      <c r="H1951" s="227"/>
      <c r="I1951" s="350"/>
      <c r="J1951" s="227"/>
      <c r="K1951" s="227"/>
      <c r="L1951" s="224"/>
      <c r="M1951" s="224"/>
      <c r="N1951" s="224"/>
      <c r="O1951" s="224"/>
      <c r="P1951" s="224"/>
      <c r="Q1951" s="224"/>
      <c r="R1951" s="224"/>
      <c r="S1951" s="224"/>
      <c r="T1951" s="224"/>
      <c r="U1951" s="224"/>
      <c r="V1951" s="224"/>
    </row>
    <row r="1952" spans="1:22" x14ac:dyDescent="0.3">
      <c r="A1952" s="222"/>
      <c r="B1952" s="235"/>
      <c r="C1952" s="227"/>
      <c r="D1952" s="344"/>
      <c r="E1952" s="235"/>
      <c r="F1952" s="235"/>
      <c r="G1952" s="227"/>
      <c r="H1952" s="227"/>
      <c r="I1952" s="350"/>
      <c r="J1952" s="227"/>
      <c r="K1952" s="227"/>
      <c r="L1952" s="224"/>
      <c r="M1952" s="224"/>
      <c r="N1952" s="224"/>
      <c r="O1952" s="224"/>
      <c r="P1952" s="224"/>
      <c r="Q1952" s="224"/>
      <c r="R1952" s="224"/>
      <c r="S1952" s="224"/>
      <c r="T1952" s="224"/>
      <c r="U1952" s="224"/>
      <c r="V1952" s="224"/>
    </row>
    <row r="1953" spans="1:22" x14ac:dyDescent="0.3">
      <c r="A1953" s="222"/>
      <c r="B1953" s="235"/>
      <c r="C1953" s="227"/>
      <c r="D1953" s="344"/>
      <c r="E1953" s="235"/>
      <c r="F1953" s="235"/>
      <c r="G1953" s="227"/>
      <c r="H1953" s="227"/>
      <c r="I1953" s="350"/>
      <c r="J1953" s="227"/>
      <c r="K1953" s="227"/>
      <c r="L1953" s="224"/>
      <c r="M1953" s="224"/>
      <c r="N1953" s="224"/>
      <c r="O1953" s="224"/>
      <c r="P1953" s="224"/>
      <c r="Q1953" s="224"/>
      <c r="R1953" s="224"/>
      <c r="S1953" s="224"/>
      <c r="T1953" s="224"/>
      <c r="U1953" s="224"/>
      <c r="V1953" s="224"/>
    </row>
    <row r="1954" spans="1:22" x14ac:dyDescent="0.3">
      <c r="A1954" s="222"/>
      <c r="B1954" s="235"/>
      <c r="C1954" s="227"/>
      <c r="D1954" s="344"/>
      <c r="E1954" s="235"/>
      <c r="F1954" s="235"/>
      <c r="G1954" s="227"/>
      <c r="H1954" s="227"/>
      <c r="I1954" s="350"/>
      <c r="J1954" s="227"/>
      <c r="K1954" s="227"/>
      <c r="L1954" s="224"/>
      <c r="M1954" s="224"/>
      <c r="N1954" s="224"/>
      <c r="O1954" s="224"/>
      <c r="P1954" s="224"/>
      <c r="Q1954" s="224"/>
      <c r="R1954" s="224"/>
      <c r="S1954" s="224"/>
      <c r="T1954" s="224"/>
      <c r="U1954" s="224"/>
      <c r="V1954" s="224"/>
    </row>
    <row r="1955" spans="1:22" x14ac:dyDescent="0.3">
      <c r="A1955" s="222"/>
      <c r="B1955" s="235"/>
      <c r="C1955" s="227"/>
      <c r="D1955" s="344"/>
      <c r="E1955" s="235"/>
      <c r="F1955" s="235"/>
      <c r="G1955" s="227"/>
      <c r="H1955" s="227"/>
      <c r="I1955" s="350"/>
      <c r="J1955" s="227"/>
      <c r="K1955" s="227"/>
      <c r="L1955" s="224"/>
      <c r="M1955" s="224"/>
      <c r="N1955" s="224"/>
      <c r="O1955" s="224"/>
      <c r="P1955" s="224"/>
      <c r="Q1955" s="224"/>
      <c r="R1955" s="224"/>
      <c r="S1955" s="224"/>
      <c r="T1955" s="224"/>
      <c r="U1955" s="224"/>
      <c r="V1955" s="224"/>
    </row>
    <row r="1956" spans="1:22" x14ac:dyDescent="0.3">
      <c r="A1956" s="222"/>
      <c r="B1956" s="235"/>
      <c r="C1956" s="227"/>
      <c r="D1956" s="344"/>
      <c r="E1956" s="235"/>
      <c r="F1956" s="235"/>
      <c r="G1956" s="227"/>
      <c r="H1956" s="227"/>
      <c r="I1956" s="350"/>
      <c r="J1956" s="227"/>
      <c r="K1956" s="227"/>
      <c r="L1956" s="224"/>
      <c r="M1956" s="224"/>
      <c r="N1956" s="224"/>
      <c r="O1956" s="224"/>
      <c r="P1956" s="224"/>
      <c r="Q1956" s="224"/>
      <c r="R1956" s="224"/>
      <c r="S1956" s="224"/>
      <c r="T1956" s="224"/>
      <c r="U1956" s="224"/>
      <c r="V1956" s="224"/>
    </row>
    <row r="1957" spans="1:22" x14ac:dyDescent="0.3">
      <c r="A1957" s="222"/>
      <c r="B1957" s="235"/>
      <c r="C1957" s="227"/>
      <c r="D1957" s="344"/>
      <c r="E1957" s="235"/>
      <c r="F1957" s="235"/>
      <c r="G1957" s="227"/>
      <c r="H1957" s="227"/>
      <c r="I1957" s="350"/>
      <c r="J1957" s="227"/>
      <c r="K1957" s="227"/>
      <c r="L1957" s="224"/>
      <c r="M1957" s="224"/>
      <c r="N1957" s="224"/>
      <c r="O1957" s="224"/>
      <c r="P1957" s="224"/>
      <c r="Q1957" s="224"/>
      <c r="R1957" s="224"/>
      <c r="S1957" s="224"/>
      <c r="T1957" s="224"/>
      <c r="U1957" s="224"/>
      <c r="V1957" s="224"/>
    </row>
    <row r="1958" spans="1:22" x14ac:dyDescent="0.3">
      <c r="A1958" s="222"/>
      <c r="B1958" s="235"/>
      <c r="C1958" s="227"/>
      <c r="D1958" s="344"/>
      <c r="E1958" s="235"/>
      <c r="F1958" s="235"/>
      <c r="G1958" s="227"/>
      <c r="H1958" s="227"/>
      <c r="I1958" s="350"/>
      <c r="J1958" s="227"/>
      <c r="K1958" s="227"/>
      <c r="L1958" s="224"/>
      <c r="M1958" s="224"/>
      <c r="N1958" s="224"/>
      <c r="O1958" s="224"/>
      <c r="P1958" s="224"/>
      <c r="Q1958" s="224"/>
      <c r="R1958" s="224"/>
      <c r="S1958" s="224"/>
      <c r="T1958" s="224"/>
      <c r="U1958" s="224"/>
      <c r="V1958" s="224"/>
    </row>
    <row r="1959" spans="1:22" x14ac:dyDescent="0.3">
      <c r="A1959" s="222"/>
      <c r="B1959" s="235"/>
      <c r="C1959" s="227"/>
      <c r="D1959" s="344"/>
      <c r="E1959" s="235"/>
      <c r="F1959" s="235"/>
      <c r="G1959" s="227"/>
      <c r="H1959" s="227"/>
      <c r="I1959" s="350"/>
      <c r="J1959" s="227"/>
      <c r="K1959" s="227"/>
      <c r="L1959" s="224"/>
      <c r="M1959" s="224"/>
      <c r="N1959" s="224"/>
      <c r="O1959" s="224"/>
      <c r="P1959" s="224"/>
      <c r="Q1959" s="224"/>
      <c r="R1959" s="224"/>
      <c r="S1959" s="224"/>
      <c r="T1959" s="224"/>
      <c r="U1959" s="224"/>
      <c r="V1959" s="224"/>
    </row>
    <row r="1960" spans="1:22" x14ac:dyDescent="0.3">
      <c r="A1960" s="222"/>
      <c r="B1960" s="235"/>
      <c r="C1960" s="227"/>
      <c r="D1960" s="344"/>
      <c r="E1960" s="235"/>
      <c r="F1960" s="235"/>
      <c r="G1960" s="227"/>
      <c r="H1960" s="227"/>
      <c r="I1960" s="350"/>
      <c r="J1960" s="227"/>
      <c r="K1960" s="227"/>
      <c r="L1960" s="224"/>
      <c r="M1960" s="224"/>
      <c r="N1960" s="224"/>
      <c r="O1960" s="224"/>
      <c r="P1960" s="224"/>
      <c r="Q1960" s="224"/>
      <c r="R1960" s="224"/>
      <c r="S1960" s="224"/>
      <c r="T1960" s="224"/>
      <c r="U1960" s="224"/>
      <c r="V1960" s="224"/>
    </row>
    <row r="1961" spans="1:22" x14ac:dyDescent="0.3">
      <c r="A1961" s="222"/>
      <c r="B1961" s="235"/>
      <c r="C1961" s="227"/>
      <c r="D1961" s="344"/>
      <c r="E1961" s="235"/>
      <c r="F1961" s="235"/>
      <c r="G1961" s="227"/>
      <c r="H1961" s="227"/>
      <c r="I1961" s="350"/>
      <c r="J1961" s="227"/>
      <c r="K1961" s="227"/>
      <c r="L1961" s="224"/>
      <c r="M1961" s="224"/>
      <c r="N1961" s="224"/>
      <c r="O1961" s="224"/>
      <c r="P1961" s="224"/>
      <c r="Q1961" s="224"/>
      <c r="R1961" s="224"/>
      <c r="S1961" s="224"/>
      <c r="T1961" s="224"/>
      <c r="U1961" s="224"/>
      <c r="V1961" s="224"/>
    </row>
    <row r="1962" spans="1:22" x14ac:dyDescent="0.3">
      <c r="A1962" s="222"/>
      <c r="B1962" s="235"/>
      <c r="C1962" s="227"/>
      <c r="D1962" s="344"/>
      <c r="E1962" s="235"/>
      <c r="F1962" s="235"/>
      <c r="G1962" s="227"/>
      <c r="H1962" s="227"/>
      <c r="I1962" s="350"/>
      <c r="J1962" s="227"/>
      <c r="K1962" s="227"/>
      <c r="L1962" s="224"/>
      <c r="M1962" s="224"/>
      <c r="N1962" s="224"/>
      <c r="O1962" s="224"/>
      <c r="P1962" s="224"/>
      <c r="Q1962" s="224"/>
      <c r="R1962" s="224"/>
      <c r="S1962" s="224"/>
      <c r="T1962" s="224"/>
      <c r="U1962" s="224"/>
      <c r="V1962" s="224"/>
    </row>
    <row r="1963" spans="1:22" x14ac:dyDescent="0.3">
      <c r="A1963" s="222"/>
      <c r="B1963" s="235"/>
      <c r="C1963" s="227"/>
      <c r="D1963" s="344"/>
      <c r="E1963" s="235"/>
      <c r="F1963" s="235"/>
      <c r="G1963" s="227"/>
      <c r="H1963" s="227"/>
      <c r="I1963" s="350"/>
      <c r="J1963" s="227"/>
      <c r="K1963" s="227"/>
      <c r="L1963" s="224"/>
      <c r="M1963" s="224"/>
      <c r="N1963" s="224"/>
      <c r="O1963" s="224"/>
      <c r="P1963" s="224"/>
      <c r="Q1963" s="224"/>
      <c r="R1963" s="224"/>
      <c r="S1963" s="224"/>
      <c r="T1963" s="224"/>
      <c r="U1963" s="224"/>
      <c r="V1963" s="224"/>
    </row>
    <row r="1964" spans="1:22" x14ac:dyDescent="0.3">
      <c r="A1964" s="222"/>
      <c r="B1964" s="235"/>
      <c r="C1964" s="227"/>
      <c r="D1964" s="344"/>
      <c r="E1964" s="235"/>
      <c r="F1964" s="235"/>
      <c r="G1964" s="227"/>
      <c r="H1964" s="227"/>
      <c r="I1964" s="350"/>
      <c r="J1964" s="227"/>
      <c r="K1964" s="227"/>
      <c r="L1964" s="224"/>
      <c r="M1964" s="224"/>
      <c r="N1964" s="224"/>
      <c r="O1964" s="224"/>
      <c r="P1964" s="224"/>
      <c r="Q1964" s="224"/>
      <c r="R1964" s="224"/>
      <c r="S1964" s="224"/>
      <c r="T1964" s="224"/>
      <c r="U1964" s="224"/>
      <c r="V1964" s="224"/>
    </row>
    <row r="1965" spans="1:22" x14ac:dyDescent="0.3">
      <c r="A1965" s="222"/>
      <c r="B1965" s="235"/>
      <c r="C1965" s="227"/>
      <c r="D1965" s="344"/>
      <c r="E1965" s="235"/>
      <c r="F1965" s="235"/>
      <c r="G1965" s="227"/>
      <c r="H1965" s="227"/>
      <c r="I1965" s="350"/>
      <c r="J1965" s="227"/>
      <c r="K1965" s="227"/>
      <c r="L1965" s="224"/>
      <c r="M1965" s="224"/>
      <c r="N1965" s="224"/>
      <c r="O1965" s="224"/>
      <c r="P1965" s="224"/>
      <c r="Q1965" s="224"/>
      <c r="R1965" s="224"/>
      <c r="S1965" s="224"/>
      <c r="T1965" s="224"/>
      <c r="U1965" s="224"/>
      <c r="V1965" s="224"/>
    </row>
    <row r="1966" spans="1:22" x14ac:dyDescent="0.3">
      <c r="A1966" s="222"/>
      <c r="B1966" s="235"/>
      <c r="C1966" s="227"/>
      <c r="D1966" s="344"/>
      <c r="E1966" s="235"/>
      <c r="F1966" s="235"/>
      <c r="G1966" s="227"/>
      <c r="H1966" s="227"/>
      <c r="I1966" s="350"/>
      <c r="J1966" s="227"/>
      <c r="K1966" s="227"/>
      <c r="L1966" s="224"/>
      <c r="M1966" s="224"/>
      <c r="N1966" s="224"/>
      <c r="O1966" s="224"/>
      <c r="P1966" s="224"/>
      <c r="Q1966" s="224"/>
      <c r="R1966" s="224"/>
      <c r="S1966" s="224"/>
      <c r="T1966" s="224"/>
      <c r="U1966" s="224"/>
      <c r="V1966" s="224"/>
    </row>
    <row r="1967" spans="1:22" x14ac:dyDescent="0.3">
      <c r="A1967" s="222"/>
      <c r="B1967" s="235"/>
      <c r="C1967" s="227"/>
      <c r="D1967" s="344"/>
      <c r="E1967" s="235"/>
      <c r="F1967" s="235"/>
      <c r="G1967" s="227"/>
      <c r="H1967" s="227"/>
      <c r="I1967" s="350"/>
      <c r="J1967" s="227"/>
      <c r="K1967" s="227"/>
      <c r="L1967" s="224"/>
      <c r="M1967" s="224"/>
      <c r="N1967" s="224"/>
      <c r="O1967" s="224"/>
      <c r="P1967" s="224"/>
      <c r="Q1967" s="224"/>
      <c r="R1967" s="224"/>
      <c r="S1967" s="224"/>
      <c r="T1967" s="224"/>
      <c r="U1967" s="224"/>
      <c r="V1967" s="224"/>
    </row>
    <row r="1968" spans="1:22" x14ac:dyDescent="0.3">
      <c r="A1968" s="222"/>
      <c r="B1968" s="235"/>
      <c r="C1968" s="227"/>
      <c r="D1968" s="344"/>
      <c r="E1968" s="235"/>
      <c r="F1968" s="235"/>
      <c r="G1968" s="227"/>
      <c r="H1968" s="227"/>
      <c r="I1968" s="350"/>
      <c r="J1968" s="227"/>
      <c r="K1968" s="227"/>
      <c r="L1968" s="224"/>
      <c r="M1968" s="224"/>
      <c r="N1968" s="224"/>
      <c r="O1968" s="224"/>
      <c r="P1968" s="224"/>
      <c r="Q1968" s="224"/>
      <c r="R1968" s="224"/>
      <c r="S1968" s="224"/>
      <c r="T1968" s="224"/>
      <c r="U1968" s="224"/>
      <c r="V1968" s="224"/>
    </row>
    <row r="1969" spans="1:22" x14ac:dyDescent="0.3">
      <c r="A1969" s="222"/>
      <c r="B1969" s="235"/>
      <c r="C1969" s="227"/>
      <c r="D1969" s="344"/>
      <c r="E1969" s="235"/>
      <c r="F1969" s="235"/>
      <c r="G1969" s="227"/>
      <c r="H1969" s="227"/>
      <c r="I1969" s="350"/>
      <c r="J1969" s="227"/>
      <c r="K1969" s="227"/>
      <c r="L1969" s="224"/>
      <c r="M1969" s="224"/>
      <c r="N1969" s="224"/>
      <c r="O1969" s="224"/>
      <c r="P1969" s="224"/>
      <c r="Q1969" s="224"/>
      <c r="R1969" s="224"/>
      <c r="S1969" s="224"/>
      <c r="T1969" s="224"/>
      <c r="U1969" s="224"/>
      <c r="V1969" s="224"/>
    </row>
    <row r="1970" spans="1:22" x14ac:dyDescent="0.3">
      <c r="A1970" s="222"/>
      <c r="B1970" s="235"/>
      <c r="C1970" s="227"/>
      <c r="D1970" s="344"/>
      <c r="E1970" s="235"/>
      <c r="F1970" s="235"/>
      <c r="G1970" s="227"/>
      <c r="H1970" s="227"/>
      <c r="I1970" s="350"/>
      <c r="J1970" s="227"/>
      <c r="K1970" s="227"/>
      <c r="L1970" s="224"/>
      <c r="M1970" s="224"/>
      <c r="N1970" s="224"/>
      <c r="O1970" s="224"/>
      <c r="P1970" s="224"/>
      <c r="Q1970" s="224"/>
      <c r="R1970" s="224"/>
      <c r="S1970" s="224"/>
      <c r="T1970" s="224"/>
      <c r="U1970" s="224"/>
      <c r="V1970" s="224"/>
    </row>
    <row r="1971" spans="1:22" x14ac:dyDescent="0.3">
      <c r="A1971" s="222"/>
      <c r="B1971" s="235"/>
      <c r="C1971" s="227"/>
      <c r="D1971" s="344"/>
      <c r="E1971" s="235"/>
      <c r="F1971" s="235"/>
      <c r="G1971" s="227"/>
      <c r="H1971" s="227"/>
      <c r="I1971" s="350"/>
      <c r="J1971" s="227"/>
      <c r="K1971" s="227"/>
      <c r="L1971" s="224"/>
      <c r="M1971" s="224"/>
      <c r="N1971" s="224"/>
      <c r="O1971" s="224"/>
      <c r="P1971" s="224"/>
      <c r="Q1971" s="224"/>
      <c r="R1971" s="224"/>
      <c r="S1971" s="224"/>
      <c r="T1971" s="224"/>
      <c r="U1971" s="224"/>
      <c r="V1971" s="224"/>
    </row>
    <row r="1972" spans="1:22" x14ac:dyDescent="0.3">
      <c r="A1972" s="222"/>
      <c r="B1972" s="235"/>
      <c r="C1972" s="227"/>
      <c r="D1972" s="344"/>
      <c r="E1972" s="235"/>
      <c r="F1972" s="235"/>
      <c r="G1972" s="227"/>
      <c r="H1972" s="227"/>
      <c r="I1972" s="350"/>
      <c r="J1972" s="227"/>
      <c r="K1972" s="227"/>
      <c r="L1972" s="224"/>
      <c r="M1972" s="224"/>
      <c r="N1972" s="224"/>
      <c r="O1972" s="224"/>
      <c r="P1972" s="224"/>
      <c r="Q1972" s="224"/>
      <c r="R1972" s="224"/>
      <c r="S1972" s="224"/>
      <c r="T1972" s="224"/>
      <c r="U1972" s="224"/>
      <c r="V1972" s="224"/>
    </row>
    <row r="1973" spans="1:22" x14ac:dyDescent="0.3">
      <c r="A1973" s="222"/>
      <c r="B1973" s="235"/>
      <c r="C1973" s="227"/>
      <c r="D1973" s="344"/>
      <c r="E1973" s="235"/>
      <c r="F1973" s="235"/>
      <c r="G1973" s="227"/>
      <c r="H1973" s="227"/>
      <c r="I1973" s="350"/>
      <c r="J1973" s="227"/>
      <c r="K1973" s="227"/>
      <c r="L1973" s="224"/>
      <c r="M1973" s="224"/>
      <c r="N1973" s="224"/>
      <c r="O1973" s="224"/>
      <c r="P1973" s="224"/>
      <c r="Q1973" s="224"/>
      <c r="R1973" s="224"/>
      <c r="S1973" s="224"/>
      <c r="T1973" s="224"/>
      <c r="U1973" s="224"/>
      <c r="V1973" s="224"/>
    </row>
    <row r="1974" spans="1:22" x14ac:dyDescent="0.3">
      <c r="A1974" s="222"/>
      <c r="B1974" s="235"/>
      <c r="C1974" s="227"/>
      <c r="D1974" s="344"/>
      <c r="E1974" s="235"/>
      <c r="F1974" s="235"/>
      <c r="G1974" s="227"/>
      <c r="H1974" s="227"/>
      <c r="I1974" s="350"/>
      <c r="J1974" s="227"/>
      <c r="K1974" s="227"/>
      <c r="L1974" s="224"/>
      <c r="M1974" s="224"/>
      <c r="N1974" s="224"/>
      <c r="O1974" s="224"/>
      <c r="P1974" s="224"/>
      <c r="Q1974" s="224"/>
      <c r="R1974" s="224"/>
      <c r="S1974" s="224"/>
      <c r="T1974" s="224"/>
      <c r="U1974" s="224"/>
      <c r="V1974" s="224"/>
    </row>
    <row r="1975" spans="1:22" x14ac:dyDescent="0.3">
      <c r="A1975" s="222"/>
      <c r="B1975" s="235"/>
      <c r="C1975" s="227"/>
      <c r="D1975" s="344"/>
      <c r="E1975" s="235"/>
      <c r="F1975" s="235"/>
      <c r="G1975" s="227"/>
      <c r="H1975" s="227"/>
      <c r="I1975" s="350"/>
      <c r="J1975" s="227"/>
      <c r="K1975" s="227"/>
      <c r="L1975" s="224"/>
      <c r="M1975" s="224"/>
      <c r="N1975" s="224"/>
      <c r="O1975" s="224"/>
      <c r="P1975" s="224"/>
      <c r="Q1975" s="224"/>
      <c r="R1975" s="224"/>
      <c r="S1975" s="224"/>
      <c r="T1975" s="224"/>
      <c r="U1975" s="224"/>
      <c r="V1975" s="224"/>
    </row>
    <row r="1976" spans="1:22" x14ac:dyDescent="0.3">
      <c r="A1976" s="222"/>
      <c r="B1976" s="235"/>
      <c r="C1976" s="227"/>
      <c r="D1976" s="344"/>
      <c r="E1976" s="235"/>
      <c r="F1976" s="235"/>
      <c r="G1976" s="227"/>
      <c r="H1976" s="227"/>
      <c r="I1976" s="350"/>
      <c r="J1976" s="227"/>
      <c r="K1976" s="227"/>
      <c r="L1976" s="224"/>
      <c r="M1976" s="224"/>
      <c r="N1976" s="224"/>
      <c r="O1976" s="224"/>
      <c r="P1976" s="224"/>
      <c r="Q1976" s="224"/>
      <c r="R1976" s="224"/>
      <c r="S1976" s="224"/>
      <c r="T1976" s="224"/>
      <c r="U1976" s="224"/>
      <c r="V1976" s="224"/>
    </row>
    <row r="1977" spans="1:22" x14ac:dyDescent="0.3">
      <c r="A1977" s="222"/>
      <c r="B1977" s="235"/>
      <c r="C1977" s="227"/>
      <c r="D1977" s="344"/>
      <c r="E1977" s="235"/>
      <c r="F1977" s="235"/>
      <c r="G1977" s="227"/>
      <c r="H1977" s="227"/>
      <c r="I1977" s="350"/>
      <c r="J1977" s="227"/>
      <c r="K1977" s="227"/>
      <c r="L1977" s="224"/>
      <c r="M1977" s="224"/>
      <c r="N1977" s="224"/>
      <c r="O1977" s="224"/>
      <c r="P1977" s="224"/>
      <c r="Q1977" s="224"/>
      <c r="R1977" s="224"/>
      <c r="S1977" s="224"/>
      <c r="T1977" s="224"/>
      <c r="U1977" s="224"/>
      <c r="V1977" s="224"/>
    </row>
    <row r="1978" spans="1:22" x14ac:dyDescent="0.3">
      <c r="A1978" s="222"/>
      <c r="B1978" s="235"/>
      <c r="C1978" s="227"/>
      <c r="D1978" s="344"/>
      <c r="E1978" s="235"/>
      <c r="F1978" s="235"/>
      <c r="G1978" s="227"/>
      <c r="H1978" s="227"/>
      <c r="I1978" s="350"/>
      <c r="J1978" s="227"/>
      <c r="K1978" s="227"/>
      <c r="L1978" s="224"/>
      <c r="M1978" s="224"/>
      <c r="N1978" s="224"/>
      <c r="O1978" s="224"/>
      <c r="P1978" s="224"/>
      <c r="Q1978" s="224"/>
      <c r="R1978" s="224"/>
      <c r="S1978" s="224"/>
      <c r="T1978" s="224"/>
      <c r="U1978" s="224"/>
      <c r="V1978" s="224"/>
    </row>
    <row r="1979" spans="1:22" x14ac:dyDescent="0.3">
      <c r="A1979" s="222"/>
      <c r="B1979" s="235"/>
      <c r="C1979" s="227"/>
      <c r="D1979" s="344"/>
      <c r="E1979" s="235"/>
      <c r="F1979" s="235"/>
      <c r="G1979" s="227"/>
      <c r="H1979" s="227"/>
      <c r="I1979" s="350"/>
      <c r="J1979" s="227"/>
      <c r="K1979" s="227"/>
      <c r="L1979" s="224"/>
      <c r="M1979" s="224"/>
      <c r="N1979" s="224"/>
      <c r="O1979" s="224"/>
      <c r="P1979" s="224"/>
      <c r="Q1979" s="224"/>
      <c r="R1979" s="224"/>
      <c r="S1979" s="224"/>
      <c r="T1979" s="224"/>
      <c r="U1979" s="224"/>
      <c r="V1979" s="224"/>
    </row>
    <row r="1980" spans="1:22" x14ac:dyDescent="0.3">
      <c r="A1980" s="222"/>
      <c r="B1980" s="235"/>
      <c r="C1980" s="227"/>
      <c r="D1980" s="344"/>
      <c r="E1980" s="235"/>
      <c r="F1980" s="235"/>
      <c r="G1980" s="227"/>
      <c r="H1980" s="227"/>
      <c r="I1980" s="350"/>
      <c r="J1980" s="227"/>
      <c r="K1980" s="227"/>
      <c r="L1980" s="224"/>
      <c r="M1980" s="224"/>
      <c r="N1980" s="224"/>
      <c r="O1980" s="224"/>
      <c r="P1980" s="224"/>
      <c r="Q1980" s="224"/>
      <c r="R1980" s="224"/>
      <c r="S1980" s="224"/>
      <c r="T1980" s="224"/>
      <c r="U1980" s="224"/>
      <c r="V1980" s="224"/>
    </row>
    <row r="1981" spans="1:22" x14ac:dyDescent="0.3">
      <c r="A1981" s="222"/>
      <c r="B1981" s="235"/>
      <c r="C1981" s="227"/>
      <c r="D1981" s="344"/>
      <c r="E1981" s="235"/>
      <c r="F1981" s="235"/>
      <c r="G1981" s="227"/>
      <c r="H1981" s="227"/>
      <c r="I1981" s="350"/>
      <c r="J1981" s="227"/>
      <c r="K1981" s="227"/>
      <c r="L1981" s="224"/>
      <c r="M1981" s="224"/>
      <c r="N1981" s="224"/>
      <c r="O1981" s="224"/>
      <c r="P1981" s="224"/>
      <c r="Q1981" s="224"/>
      <c r="R1981" s="224"/>
      <c r="S1981" s="224"/>
      <c r="T1981" s="224"/>
      <c r="U1981" s="224"/>
      <c r="V1981" s="224"/>
    </row>
    <row r="1982" spans="1:22" x14ac:dyDescent="0.3">
      <c r="A1982" s="222"/>
      <c r="B1982" s="235"/>
      <c r="C1982" s="227"/>
      <c r="D1982" s="344"/>
      <c r="E1982" s="235"/>
      <c r="F1982" s="235"/>
      <c r="G1982" s="227"/>
      <c r="H1982" s="227"/>
      <c r="I1982" s="350"/>
      <c r="J1982" s="227"/>
      <c r="K1982" s="227"/>
      <c r="L1982" s="224"/>
      <c r="M1982" s="224"/>
      <c r="N1982" s="224"/>
      <c r="O1982" s="224"/>
      <c r="P1982" s="224"/>
      <c r="Q1982" s="224"/>
      <c r="R1982" s="224"/>
      <c r="S1982" s="224"/>
      <c r="T1982" s="224"/>
      <c r="U1982" s="224"/>
      <c r="V1982" s="224"/>
    </row>
    <row r="1983" spans="1:22" x14ac:dyDescent="0.3">
      <c r="A1983" s="222"/>
      <c r="B1983" s="235"/>
      <c r="C1983" s="227"/>
      <c r="D1983" s="344"/>
      <c r="E1983" s="235"/>
      <c r="F1983" s="235"/>
      <c r="G1983" s="227"/>
      <c r="H1983" s="227"/>
      <c r="I1983" s="350"/>
      <c r="J1983" s="227"/>
      <c r="K1983" s="227"/>
      <c r="L1983" s="224"/>
      <c r="M1983" s="224"/>
      <c r="N1983" s="224"/>
      <c r="O1983" s="224"/>
      <c r="P1983" s="224"/>
      <c r="Q1983" s="224"/>
      <c r="R1983" s="224"/>
      <c r="S1983" s="224"/>
      <c r="T1983" s="224"/>
      <c r="U1983" s="224"/>
      <c r="V1983" s="224"/>
    </row>
    <row r="1984" spans="1:22" x14ac:dyDescent="0.3">
      <c r="A1984" s="222"/>
      <c r="B1984" s="235"/>
      <c r="C1984" s="227"/>
      <c r="D1984" s="344"/>
      <c r="E1984" s="235"/>
      <c r="F1984" s="235"/>
      <c r="G1984" s="227"/>
      <c r="H1984" s="227"/>
      <c r="I1984" s="350"/>
      <c r="J1984" s="227"/>
      <c r="K1984" s="227"/>
      <c r="L1984" s="224"/>
      <c r="M1984" s="224"/>
      <c r="N1984" s="224"/>
      <c r="O1984" s="224"/>
      <c r="P1984" s="224"/>
      <c r="Q1984" s="224"/>
      <c r="R1984" s="224"/>
      <c r="S1984" s="224"/>
      <c r="T1984" s="224"/>
      <c r="U1984" s="224"/>
      <c r="V1984" s="224"/>
    </row>
    <row r="1985" spans="1:22" x14ac:dyDescent="0.3">
      <c r="A1985" s="222"/>
      <c r="B1985" s="235"/>
      <c r="C1985" s="227"/>
      <c r="D1985" s="344"/>
      <c r="E1985" s="235"/>
      <c r="F1985" s="235"/>
      <c r="G1985" s="227"/>
      <c r="H1985" s="227"/>
      <c r="I1985" s="350"/>
      <c r="J1985" s="227"/>
      <c r="K1985" s="227"/>
      <c r="L1985" s="224"/>
      <c r="M1985" s="224"/>
      <c r="N1985" s="224"/>
      <c r="O1985" s="224"/>
      <c r="P1985" s="224"/>
      <c r="Q1985" s="224"/>
      <c r="R1985" s="224"/>
      <c r="S1985" s="224"/>
      <c r="T1985" s="224"/>
      <c r="U1985" s="224"/>
      <c r="V1985" s="224"/>
    </row>
    <row r="1986" spans="1:22" x14ac:dyDescent="0.3">
      <c r="A1986" s="222"/>
      <c r="B1986" s="235"/>
      <c r="C1986" s="227"/>
      <c r="D1986" s="344"/>
      <c r="E1986" s="235"/>
      <c r="F1986" s="235"/>
      <c r="G1986" s="227"/>
      <c r="H1986" s="227"/>
      <c r="I1986" s="350"/>
      <c r="J1986" s="227"/>
      <c r="K1986" s="227"/>
      <c r="L1986" s="224"/>
      <c r="M1986" s="224"/>
      <c r="N1986" s="224"/>
      <c r="O1986" s="224"/>
      <c r="P1986" s="224"/>
      <c r="Q1986" s="224"/>
      <c r="R1986" s="224"/>
      <c r="S1986" s="224"/>
      <c r="T1986" s="224"/>
      <c r="U1986" s="224"/>
      <c r="V1986" s="224"/>
    </row>
    <row r="1987" spans="1:22" x14ac:dyDescent="0.3">
      <c r="A1987" s="222"/>
      <c r="B1987" s="235"/>
      <c r="C1987" s="227"/>
      <c r="D1987" s="344"/>
      <c r="E1987" s="235"/>
      <c r="F1987" s="235"/>
      <c r="G1987" s="227"/>
      <c r="H1987" s="227"/>
      <c r="I1987" s="350"/>
      <c r="J1987" s="227"/>
      <c r="K1987" s="227"/>
      <c r="L1987" s="224"/>
      <c r="M1987" s="224"/>
      <c r="N1987" s="224"/>
      <c r="O1987" s="224"/>
      <c r="P1987" s="224"/>
      <c r="Q1987" s="224"/>
      <c r="R1987" s="224"/>
      <c r="S1987" s="224"/>
      <c r="T1987" s="224"/>
      <c r="U1987" s="224"/>
      <c r="V1987" s="224"/>
    </row>
    <row r="1988" spans="1:22" x14ac:dyDescent="0.3">
      <c r="A1988" s="222"/>
      <c r="B1988" s="235"/>
      <c r="C1988" s="227"/>
      <c r="D1988" s="344"/>
      <c r="E1988" s="235"/>
      <c r="F1988" s="235"/>
      <c r="G1988" s="227"/>
      <c r="H1988" s="227"/>
      <c r="I1988" s="350"/>
      <c r="J1988" s="227"/>
      <c r="K1988" s="227"/>
      <c r="L1988" s="224"/>
      <c r="M1988" s="224"/>
      <c r="N1988" s="224"/>
      <c r="O1988" s="224"/>
      <c r="P1988" s="224"/>
      <c r="Q1988" s="224"/>
      <c r="R1988" s="224"/>
      <c r="S1988" s="224"/>
      <c r="T1988" s="224"/>
      <c r="U1988" s="224"/>
      <c r="V1988" s="224"/>
    </row>
    <row r="1989" spans="1:22" x14ac:dyDescent="0.3">
      <c r="A1989" s="222"/>
      <c r="B1989" s="235"/>
      <c r="C1989" s="227"/>
      <c r="D1989" s="344"/>
      <c r="E1989" s="235"/>
      <c r="F1989" s="235"/>
      <c r="G1989" s="227"/>
      <c r="H1989" s="227"/>
      <c r="I1989" s="350"/>
      <c r="J1989" s="227"/>
      <c r="K1989" s="227"/>
      <c r="L1989" s="224"/>
      <c r="M1989" s="224"/>
      <c r="N1989" s="224"/>
      <c r="O1989" s="224"/>
      <c r="P1989" s="224"/>
      <c r="Q1989" s="224"/>
      <c r="R1989" s="224"/>
      <c r="S1989" s="224"/>
      <c r="T1989" s="224"/>
      <c r="U1989" s="224"/>
      <c r="V1989" s="224"/>
    </row>
    <row r="1990" spans="1:22" x14ac:dyDescent="0.3">
      <c r="A1990" s="222"/>
      <c r="B1990" s="235"/>
      <c r="C1990" s="227"/>
      <c r="D1990" s="344"/>
      <c r="E1990" s="235"/>
      <c r="F1990" s="235"/>
      <c r="G1990" s="227"/>
      <c r="H1990" s="227"/>
      <c r="I1990" s="350"/>
      <c r="J1990" s="227"/>
      <c r="K1990" s="227"/>
      <c r="L1990" s="224"/>
      <c r="M1990" s="224"/>
      <c r="N1990" s="224"/>
      <c r="O1990" s="224"/>
      <c r="P1990" s="224"/>
      <c r="Q1990" s="224"/>
      <c r="R1990" s="224"/>
      <c r="S1990" s="224"/>
      <c r="T1990" s="224"/>
      <c r="U1990" s="224"/>
      <c r="V1990" s="224"/>
    </row>
    <row r="1991" spans="1:22" x14ac:dyDescent="0.3">
      <c r="A1991" s="222"/>
      <c r="B1991" s="235"/>
      <c r="C1991" s="227"/>
      <c r="D1991" s="344"/>
      <c r="E1991" s="235"/>
      <c r="F1991" s="235"/>
      <c r="G1991" s="227"/>
      <c r="H1991" s="227"/>
      <c r="I1991" s="350"/>
      <c r="J1991" s="227"/>
      <c r="K1991" s="227"/>
      <c r="L1991" s="224"/>
      <c r="M1991" s="224"/>
      <c r="N1991" s="224"/>
      <c r="O1991" s="224"/>
      <c r="P1991" s="224"/>
      <c r="Q1991" s="224"/>
      <c r="R1991" s="224"/>
      <c r="S1991" s="224"/>
      <c r="T1991" s="224"/>
      <c r="U1991" s="224"/>
      <c r="V1991" s="224"/>
    </row>
    <row r="1992" spans="1:22" x14ac:dyDescent="0.3">
      <c r="A1992" s="222"/>
      <c r="B1992" s="235"/>
      <c r="C1992" s="227"/>
      <c r="D1992" s="344"/>
      <c r="E1992" s="235"/>
      <c r="F1992" s="235"/>
      <c r="G1992" s="227"/>
      <c r="H1992" s="227"/>
      <c r="I1992" s="350"/>
      <c r="J1992" s="227"/>
      <c r="K1992" s="227"/>
      <c r="L1992" s="224"/>
      <c r="M1992" s="224"/>
      <c r="N1992" s="224"/>
      <c r="O1992" s="224"/>
      <c r="P1992" s="224"/>
      <c r="Q1992" s="224"/>
      <c r="R1992" s="224"/>
      <c r="S1992" s="224"/>
      <c r="T1992" s="224"/>
      <c r="U1992" s="224"/>
      <c r="V1992" s="224"/>
    </row>
    <row r="1993" spans="1:22" x14ac:dyDescent="0.3">
      <c r="A1993" s="222"/>
      <c r="B1993" s="235"/>
      <c r="C1993" s="227"/>
      <c r="D1993" s="344"/>
      <c r="E1993" s="235"/>
      <c r="F1993" s="235"/>
      <c r="G1993" s="227"/>
      <c r="H1993" s="227"/>
      <c r="I1993" s="350"/>
      <c r="J1993" s="227"/>
      <c r="K1993" s="227"/>
      <c r="L1993" s="224"/>
      <c r="M1993" s="224"/>
      <c r="N1993" s="224"/>
      <c r="O1993" s="224"/>
      <c r="P1993" s="224"/>
      <c r="Q1993" s="224"/>
      <c r="R1993" s="224"/>
      <c r="S1993" s="224"/>
      <c r="T1993" s="224"/>
      <c r="U1993" s="224"/>
      <c r="V1993" s="224"/>
    </row>
    <row r="1994" spans="1:22" x14ac:dyDescent="0.3">
      <c r="A1994" s="222"/>
      <c r="B1994" s="235"/>
      <c r="C1994" s="227"/>
      <c r="D1994" s="344"/>
      <c r="E1994" s="235"/>
      <c r="F1994" s="235"/>
      <c r="G1994" s="227"/>
      <c r="H1994" s="227"/>
      <c r="I1994" s="350"/>
      <c r="J1994" s="227"/>
      <c r="K1994" s="227"/>
      <c r="L1994" s="224"/>
      <c r="M1994" s="224"/>
      <c r="N1994" s="224"/>
      <c r="O1994" s="224"/>
      <c r="P1994" s="224"/>
      <c r="Q1994" s="224"/>
      <c r="R1994" s="224"/>
      <c r="S1994" s="224"/>
      <c r="T1994" s="224"/>
      <c r="U1994" s="224"/>
      <c r="V1994" s="224"/>
    </row>
    <row r="1995" spans="1:22" x14ac:dyDescent="0.3">
      <c r="A1995" s="222"/>
      <c r="B1995" s="235"/>
      <c r="C1995" s="227"/>
      <c r="D1995" s="344"/>
      <c r="E1995" s="235"/>
      <c r="F1995" s="235"/>
      <c r="G1995" s="227"/>
      <c r="H1995" s="227"/>
      <c r="I1995" s="350"/>
      <c r="J1995" s="227"/>
      <c r="K1995" s="227"/>
      <c r="L1995" s="224"/>
      <c r="M1995" s="224"/>
      <c r="N1995" s="224"/>
      <c r="O1995" s="224"/>
      <c r="P1995" s="224"/>
      <c r="Q1995" s="224"/>
      <c r="R1995" s="224"/>
      <c r="S1995" s="224"/>
      <c r="T1995" s="224"/>
      <c r="U1995" s="224"/>
      <c r="V1995" s="224"/>
    </row>
    <row r="1996" spans="1:22" x14ac:dyDescent="0.3">
      <c r="A1996" s="222"/>
      <c r="B1996" s="235"/>
      <c r="C1996" s="227"/>
      <c r="D1996" s="344"/>
      <c r="E1996" s="235"/>
      <c r="F1996" s="235"/>
      <c r="G1996" s="227"/>
      <c r="H1996" s="227"/>
      <c r="I1996" s="350"/>
      <c r="J1996" s="227"/>
      <c r="K1996" s="227"/>
      <c r="L1996" s="224"/>
      <c r="M1996" s="224"/>
      <c r="N1996" s="224"/>
      <c r="O1996" s="224"/>
      <c r="P1996" s="224"/>
      <c r="Q1996" s="224"/>
      <c r="R1996" s="224"/>
      <c r="S1996" s="224"/>
      <c r="T1996" s="224"/>
      <c r="U1996" s="224"/>
      <c r="V1996" s="224"/>
    </row>
    <row r="1997" spans="1:22" x14ac:dyDescent="0.3">
      <c r="A1997" s="222"/>
      <c r="B1997" s="235"/>
      <c r="C1997" s="227"/>
      <c r="D1997" s="344"/>
      <c r="E1997" s="235"/>
      <c r="F1997" s="235"/>
      <c r="G1997" s="227"/>
      <c r="H1997" s="227"/>
      <c r="I1997" s="350"/>
      <c r="J1997" s="227"/>
      <c r="K1997" s="227"/>
      <c r="L1997" s="224"/>
      <c r="M1997" s="224"/>
      <c r="N1997" s="224"/>
      <c r="O1997" s="224"/>
      <c r="P1997" s="224"/>
      <c r="Q1997" s="224"/>
      <c r="R1997" s="224"/>
      <c r="S1997" s="224"/>
      <c r="T1997" s="224"/>
      <c r="U1997" s="224"/>
      <c r="V1997" s="224"/>
    </row>
    <row r="1998" spans="1:22" x14ac:dyDescent="0.3">
      <c r="A1998" s="222"/>
      <c r="B1998" s="235"/>
      <c r="C1998" s="227"/>
      <c r="D1998" s="344"/>
      <c r="E1998" s="235"/>
      <c r="F1998" s="235"/>
      <c r="G1998" s="227"/>
      <c r="H1998" s="227"/>
      <c r="I1998" s="350"/>
      <c r="J1998" s="227"/>
      <c r="K1998" s="227"/>
      <c r="L1998" s="224"/>
      <c r="M1998" s="224"/>
      <c r="N1998" s="224"/>
      <c r="O1998" s="224"/>
      <c r="P1998" s="224"/>
      <c r="Q1998" s="224"/>
      <c r="R1998" s="224"/>
      <c r="S1998" s="224"/>
      <c r="T1998" s="224"/>
      <c r="U1998" s="224"/>
      <c r="V1998" s="224"/>
    </row>
    <row r="1999" spans="1:22" x14ac:dyDescent="0.3">
      <c r="A1999" s="222"/>
      <c r="B1999" s="235"/>
      <c r="C1999" s="227"/>
      <c r="D1999" s="344"/>
      <c r="E1999" s="235"/>
      <c r="F1999" s="235"/>
      <c r="G1999" s="227"/>
      <c r="H1999" s="227"/>
      <c r="I1999" s="350"/>
      <c r="J1999" s="227"/>
      <c r="K1999" s="227"/>
      <c r="L1999" s="224"/>
      <c r="M1999" s="224"/>
      <c r="N1999" s="224"/>
      <c r="O1999" s="224"/>
      <c r="P1999" s="224"/>
      <c r="Q1999" s="224"/>
      <c r="R1999" s="224"/>
      <c r="S1999" s="224"/>
      <c r="T1999" s="224"/>
      <c r="U1999" s="224"/>
      <c r="V1999" s="224"/>
    </row>
    <row r="2000" spans="1:22" x14ac:dyDescent="0.3">
      <c r="A2000" s="222"/>
      <c r="B2000" s="235"/>
      <c r="C2000" s="227"/>
      <c r="D2000" s="344"/>
      <c r="E2000" s="235"/>
      <c r="F2000" s="235"/>
      <c r="G2000" s="227"/>
      <c r="H2000" s="227"/>
      <c r="I2000" s="350"/>
      <c r="J2000" s="227"/>
      <c r="K2000" s="227"/>
      <c r="L2000" s="224"/>
      <c r="M2000" s="224"/>
      <c r="N2000" s="224"/>
      <c r="O2000" s="224"/>
      <c r="P2000" s="224"/>
      <c r="Q2000" s="224"/>
      <c r="R2000" s="224"/>
      <c r="S2000" s="224"/>
      <c r="T2000" s="224"/>
      <c r="U2000" s="224"/>
      <c r="V2000" s="224"/>
    </row>
    <row r="2001" spans="1:22" x14ac:dyDescent="0.3">
      <c r="A2001" s="222"/>
      <c r="B2001" s="235"/>
      <c r="C2001" s="227"/>
      <c r="D2001" s="344"/>
      <c r="E2001" s="235"/>
      <c r="F2001" s="235"/>
      <c r="G2001" s="227"/>
      <c r="H2001" s="227"/>
      <c r="I2001" s="350"/>
      <c r="J2001" s="227"/>
      <c r="K2001" s="227"/>
      <c r="L2001" s="224"/>
      <c r="M2001" s="224"/>
      <c r="N2001" s="224"/>
      <c r="O2001" s="224"/>
      <c r="P2001" s="224"/>
      <c r="Q2001" s="224"/>
      <c r="R2001" s="224"/>
      <c r="S2001" s="224"/>
      <c r="T2001" s="224"/>
      <c r="U2001" s="224"/>
      <c r="V2001" s="224"/>
    </row>
    <row r="2002" spans="1:22" x14ac:dyDescent="0.3">
      <c r="A2002" s="222"/>
      <c r="B2002" s="235"/>
      <c r="C2002" s="227"/>
      <c r="D2002" s="344"/>
      <c r="E2002" s="235"/>
      <c r="F2002" s="235"/>
      <c r="G2002" s="227"/>
      <c r="H2002" s="227"/>
      <c r="I2002" s="350"/>
      <c r="J2002" s="227"/>
      <c r="K2002" s="227"/>
      <c r="L2002" s="224"/>
      <c r="M2002" s="224"/>
      <c r="N2002" s="224"/>
      <c r="O2002" s="224"/>
      <c r="P2002" s="224"/>
      <c r="Q2002" s="224"/>
      <c r="R2002" s="224"/>
      <c r="S2002" s="224"/>
      <c r="T2002" s="224"/>
      <c r="U2002" s="224"/>
      <c r="V2002" s="224"/>
    </row>
    <row r="2003" spans="1:22" x14ac:dyDescent="0.3">
      <c r="A2003" s="222"/>
      <c r="B2003" s="235"/>
      <c r="C2003" s="227"/>
      <c r="D2003" s="344"/>
      <c r="E2003" s="235"/>
      <c r="F2003" s="235"/>
      <c r="G2003" s="227"/>
      <c r="H2003" s="227"/>
      <c r="I2003" s="350"/>
      <c r="J2003" s="227"/>
      <c r="K2003" s="227"/>
      <c r="L2003" s="224"/>
      <c r="M2003" s="224"/>
      <c r="N2003" s="224"/>
      <c r="O2003" s="224"/>
      <c r="P2003" s="224"/>
      <c r="Q2003" s="224"/>
      <c r="R2003" s="224"/>
      <c r="S2003" s="224"/>
      <c r="T2003" s="224"/>
      <c r="U2003" s="224"/>
      <c r="V2003" s="224"/>
    </row>
    <row r="2004" spans="1:22" x14ac:dyDescent="0.3">
      <c r="A2004" s="222"/>
      <c r="B2004" s="235"/>
      <c r="C2004" s="227"/>
      <c r="D2004" s="344"/>
      <c r="E2004" s="235"/>
      <c r="F2004" s="235"/>
      <c r="G2004" s="227"/>
      <c r="H2004" s="227"/>
      <c r="I2004" s="350"/>
      <c r="J2004" s="227"/>
      <c r="K2004" s="227"/>
      <c r="L2004" s="224"/>
      <c r="M2004" s="224"/>
      <c r="N2004" s="224"/>
      <c r="O2004" s="224"/>
      <c r="P2004" s="224"/>
      <c r="Q2004" s="224"/>
      <c r="R2004" s="224"/>
      <c r="S2004" s="224"/>
      <c r="T2004" s="224"/>
      <c r="U2004" s="224"/>
      <c r="V2004" s="224"/>
    </row>
    <row r="2005" spans="1:22" x14ac:dyDescent="0.3">
      <c r="A2005" s="222"/>
      <c r="B2005" s="235"/>
      <c r="C2005" s="227"/>
      <c r="D2005" s="344"/>
      <c r="E2005" s="235"/>
      <c r="F2005" s="235"/>
      <c r="G2005" s="227"/>
      <c r="H2005" s="227"/>
      <c r="I2005" s="350"/>
      <c r="J2005" s="227"/>
      <c r="K2005" s="227"/>
      <c r="L2005" s="224"/>
      <c r="M2005" s="224"/>
      <c r="N2005" s="224"/>
      <c r="O2005" s="224"/>
      <c r="P2005" s="224"/>
      <c r="Q2005" s="224"/>
      <c r="R2005" s="224"/>
      <c r="S2005" s="224"/>
      <c r="T2005" s="224"/>
      <c r="U2005" s="224"/>
      <c r="V2005" s="224"/>
    </row>
    <row r="2006" spans="1:22" x14ac:dyDescent="0.3">
      <c r="A2006" s="222"/>
      <c r="B2006" s="235"/>
      <c r="C2006" s="227"/>
      <c r="D2006" s="344"/>
      <c r="E2006" s="235"/>
      <c r="F2006" s="235"/>
      <c r="G2006" s="227"/>
      <c r="H2006" s="227"/>
      <c r="I2006" s="350"/>
      <c r="J2006" s="227"/>
      <c r="K2006" s="227"/>
      <c r="L2006" s="224"/>
      <c r="M2006" s="224"/>
      <c r="N2006" s="224"/>
      <c r="O2006" s="224"/>
      <c r="P2006" s="224"/>
      <c r="Q2006" s="224"/>
      <c r="R2006" s="224"/>
      <c r="S2006" s="224"/>
      <c r="T2006" s="224"/>
      <c r="U2006" s="224"/>
      <c r="V2006" s="224"/>
    </row>
    <row r="2007" spans="1:22" x14ac:dyDescent="0.3">
      <c r="A2007" s="222"/>
      <c r="B2007" s="235"/>
      <c r="C2007" s="227"/>
      <c r="D2007" s="344"/>
      <c r="E2007" s="235"/>
      <c r="F2007" s="235"/>
      <c r="G2007" s="227"/>
      <c r="H2007" s="227"/>
      <c r="I2007" s="350"/>
      <c r="J2007" s="227"/>
      <c r="K2007" s="227"/>
      <c r="L2007" s="224"/>
      <c r="M2007" s="224"/>
      <c r="N2007" s="224"/>
      <c r="O2007" s="224"/>
      <c r="P2007" s="224"/>
      <c r="Q2007" s="224"/>
      <c r="R2007" s="224"/>
      <c r="S2007" s="224"/>
      <c r="T2007" s="224"/>
      <c r="U2007" s="224"/>
      <c r="V2007" s="224"/>
    </row>
    <row r="2008" spans="1:22" x14ac:dyDescent="0.3">
      <c r="A2008" s="222"/>
      <c r="B2008" s="235"/>
      <c r="C2008" s="227"/>
      <c r="D2008" s="344"/>
      <c r="E2008" s="235"/>
      <c r="F2008" s="235"/>
      <c r="G2008" s="227"/>
      <c r="H2008" s="227"/>
      <c r="I2008" s="350"/>
      <c r="J2008" s="227"/>
      <c r="K2008" s="227"/>
      <c r="L2008" s="224"/>
      <c r="M2008" s="224"/>
      <c r="N2008" s="224"/>
      <c r="O2008" s="224"/>
      <c r="P2008" s="224"/>
      <c r="Q2008" s="224"/>
      <c r="R2008" s="224"/>
      <c r="S2008" s="224"/>
      <c r="T2008" s="224"/>
      <c r="U2008" s="224"/>
      <c r="V2008" s="224"/>
    </row>
    <row r="2009" spans="1:22" x14ac:dyDescent="0.3">
      <c r="A2009" s="222"/>
      <c r="B2009" s="235"/>
      <c r="C2009" s="227"/>
      <c r="D2009" s="344"/>
      <c r="E2009" s="235"/>
      <c r="F2009" s="235"/>
      <c r="G2009" s="227"/>
      <c r="H2009" s="227"/>
      <c r="I2009" s="350"/>
      <c r="J2009" s="227"/>
      <c r="K2009" s="227"/>
      <c r="L2009" s="224"/>
      <c r="M2009" s="224"/>
      <c r="N2009" s="224"/>
      <c r="O2009" s="224"/>
      <c r="P2009" s="224"/>
      <c r="Q2009" s="224"/>
      <c r="R2009" s="224"/>
      <c r="S2009" s="224"/>
      <c r="T2009" s="224"/>
      <c r="U2009" s="224"/>
      <c r="V2009" s="224"/>
    </row>
    <row r="2010" spans="1:22" x14ac:dyDescent="0.3">
      <c r="A2010" s="222"/>
      <c r="B2010" s="235"/>
      <c r="C2010" s="227"/>
      <c r="D2010" s="344"/>
      <c r="E2010" s="235"/>
      <c r="F2010" s="235"/>
      <c r="G2010" s="227"/>
      <c r="H2010" s="227"/>
      <c r="I2010" s="350"/>
      <c r="J2010" s="227"/>
      <c r="K2010" s="227"/>
      <c r="L2010" s="224"/>
      <c r="M2010" s="224"/>
      <c r="N2010" s="224"/>
      <c r="O2010" s="224"/>
      <c r="P2010" s="224"/>
      <c r="Q2010" s="224"/>
      <c r="R2010" s="224"/>
      <c r="S2010" s="224"/>
      <c r="T2010" s="224"/>
      <c r="U2010" s="224"/>
      <c r="V2010" s="224"/>
    </row>
    <row r="2011" spans="1:22" x14ac:dyDescent="0.3">
      <c r="A2011" s="222"/>
      <c r="B2011" s="235"/>
      <c r="C2011" s="227"/>
      <c r="D2011" s="344"/>
      <c r="E2011" s="235"/>
      <c r="F2011" s="235"/>
      <c r="G2011" s="227"/>
      <c r="H2011" s="227"/>
      <c r="I2011" s="350"/>
      <c r="J2011" s="227"/>
      <c r="K2011" s="227"/>
      <c r="L2011" s="224"/>
      <c r="M2011" s="224"/>
      <c r="N2011" s="224"/>
      <c r="O2011" s="224"/>
      <c r="P2011" s="224"/>
      <c r="Q2011" s="224"/>
      <c r="R2011" s="224"/>
      <c r="S2011" s="224"/>
      <c r="T2011" s="224"/>
      <c r="U2011" s="224"/>
      <c r="V2011" s="224"/>
    </row>
    <row r="2012" spans="1:22" x14ac:dyDescent="0.3">
      <c r="A2012" s="222"/>
      <c r="B2012" s="235"/>
      <c r="C2012" s="227"/>
      <c r="D2012" s="344"/>
      <c r="E2012" s="235"/>
      <c r="F2012" s="235"/>
      <c r="G2012" s="227"/>
      <c r="H2012" s="227"/>
      <c r="I2012" s="350"/>
      <c r="J2012" s="227"/>
      <c r="K2012" s="227"/>
      <c r="L2012" s="224"/>
      <c r="M2012" s="224"/>
      <c r="N2012" s="224"/>
      <c r="O2012" s="224"/>
      <c r="P2012" s="224"/>
      <c r="Q2012" s="224"/>
      <c r="R2012" s="224"/>
      <c r="S2012" s="224"/>
      <c r="T2012" s="224"/>
      <c r="U2012" s="224"/>
      <c r="V2012" s="224"/>
    </row>
    <row r="2013" spans="1:22" x14ac:dyDescent="0.3">
      <c r="A2013" s="222"/>
      <c r="B2013" s="235"/>
      <c r="C2013" s="227"/>
      <c r="D2013" s="344"/>
      <c r="E2013" s="235"/>
      <c r="F2013" s="235"/>
      <c r="G2013" s="227"/>
      <c r="H2013" s="227"/>
      <c r="I2013" s="350"/>
      <c r="J2013" s="227"/>
      <c r="K2013" s="227"/>
      <c r="L2013" s="224"/>
      <c r="M2013" s="224"/>
      <c r="N2013" s="224"/>
      <c r="O2013" s="224"/>
      <c r="P2013" s="224"/>
      <c r="Q2013" s="224"/>
      <c r="R2013" s="224"/>
      <c r="S2013" s="224"/>
      <c r="T2013" s="224"/>
      <c r="U2013" s="224"/>
      <c r="V2013" s="224"/>
    </row>
    <row r="2014" spans="1:22" x14ac:dyDescent="0.3">
      <c r="A2014" s="222"/>
      <c r="B2014" s="235"/>
      <c r="C2014" s="227"/>
      <c r="D2014" s="344"/>
      <c r="E2014" s="235"/>
      <c r="F2014" s="235"/>
      <c r="G2014" s="227"/>
      <c r="H2014" s="227"/>
      <c r="I2014" s="350"/>
      <c r="J2014" s="227"/>
      <c r="K2014" s="227"/>
      <c r="L2014" s="224"/>
      <c r="M2014" s="224"/>
      <c r="N2014" s="224"/>
      <c r="O2014" s="224"/>
      <c r="P2014" s="224"/>
      <c r="Q2014" s="224"/>
      <c r="R2014" s="224"/>
      <c r="S2014" s="224"/>
      <c r="T2014" s="224"/>
      <c r="U2014" s="224"/>
      <c r="V2014" s="224"/>
    </row>
    <row r="2015" spans="1:22" x14ac:dyDescent="0.3">
      <c r="A2015" s="222"/>
      <c r="B2015" s="235"/>
      <c r="C2015" s="227"/>
      <c r="D2015" s="344"/>
      <c r="E2015" s="235"/>
      <c r="F2015" s="235"/>
      <c r="G2015" s="227"/>
      <c r="H2015" s="227"/>
      <c r="I2015" s="350"/>
      <c r="J2015" s="227"/>
      <c r="K2015" s="227"/>
      <c r="L2015" s="224"/>
      <c r="M2015" s="224"/>
      <c r="N2015" s="224"/>
      <c r="O2015" s="224"/>
      <c r="P2015" s="224"/>
      <c r="Q2015" s="224"/>
      <c r="R2015" s="224"/>
      <c r="S2015" s="224"/>
      <c r="T2015" s="224"/>
      <c r="U2015" s="224"/>
      <c r="V2015" s="224"/>
    </row>
    <row r="2016" spans="1:22" x14ac:dyDescent="0.3">
      <c r="A2016" s="222"/>
      <c r="B2016" s="235"/>
      <c r="C2016" s="227"/>
      <c r="D2016" s="344"/>
      <c r="E2016" s="235"/>
      <c r="F2016" s="235"/>
      <c r="G2016" s="227"/>
      <c r="H2016" s="227"/>
      <c r="I2016" s="350"/>
      <c r="J2016" s="227"/>
      <c r="K2016" s="227"/>
      <c r="L2016" s="224"/>
      <c r="M2016" s="224"/>
      <c r="N2016" s="224"/>
      <c r="O2016" s="224"/>
      <c r="P2016" s="224"/>
      <c r="Q2016" s="224"/>
      <c r="R2016" s="224"/>
      <c r="S2016" s="224"/>
      <c r="T2016" s="224"/>
      <c r="U2016" s="224"/>
      <c r="V2016" s="224"/>
    </row>
    <row r="2017" spans="1:22" x14ac:dyDescent="0.3">
      <c r="A2017" s="222"/>
      <c r="B2017" s="235"/>
      <c r="C2017" s="227"/>
      <c r="D2017" s="344"/>
      <c r="E2017" s="235"/>
      <c r="F2017" s="235"/>
      <c r="G2017" s="227"/>
      <c r="H2017" s="227"/>
      <c r="I2017" s="350"/>
      <c r="J2017" s="227"/>
      <c r="K2017" s="227"/>
      <c r="L2017" s="224"/>
      <c r="M2017" s="224"/>
      <c r="N2017" s="224"/>
      <c r="O2017" s="224"/>
      <c r="P2017" s="224"/>
      <c r="Q2017" s="224"/>
      <c r="R2017" s="224"/>
      <c r="S2017" s="224"/>
      <c r="T2017" s="224"/>
      <c r="U2017" s="224"/>
      <c r="V2017" s="224"/>
    </row>
    <row r="2018" spans="1:22" x14ac:dyDescent="0.3">
      <c r="A2018" s="222"/>
      <c r="B2018" s="235"/>
      <c r="C2018" s="227"/>
      <c r="D2018" s="344"/>
      <c r="E2018" s="235"/>
      <c r="F2018" s="235"/>
      <c r="G2018" s="227"/>
      <c r="H2018" s="227"/>
      <c r="I2018" s="350"/>
      <c r="J2018" s="227"/>
      <c r="K2018" s="227"/>
      <c r="L2018" s="224"/>
      <c r="M2018" s="224"/>
      <c r="N2018" s="224"/>
      <c r="O2018" s="224"/>
      <c r="P2018" s="224"/>
      <c r="Q2018" s="224"/>
      <c r="R2018" s="224"/>
      <c r="S2018" s="224"/>
      <c r="T2018" s="224"/>
      <c r="U2018" s="224"/>
      <c r="V2018" s="224"/>
    </row>
    <row r="2019" spans="1:22" x14ac:dyDescent="0.3">
      <c r="A2019" s="222"/>
      <c r="B2019" s="235"/>
      <c r="C2019" s="227"/>
      <c r="D2019" s="344"/>
      <c r="E2019" s="235"/>
      <c r="F2019" s="235"/>
      <c r="G2019" s="227"/>
      <c r="H2019" s="227"/>
      <c r="I2019" s="350"/>
      <c r="J2019" s="227"/>
      <c r="K2019" s="227"/>
      <c r="L2019" s="224"/>
      <c r="M2019" s="224"/>
      <c r="N2019" s="224"/>
      <c r="O2019" s="224"/>
      <c r="P2019" s="224"/>
      <c r="Q2019" s="224"/>
      <c r="R2019" s="224"/>
      <c r="S2019" s="224"/>
      <c r="T2019" s="224"/>
      <c r="U2019" s="224"/>
      <c r="V2019" s="224"/>
    </row>
    <row r="2020" spans="1:22" x14ac:dyDescent="0.3">
      <c r="A2020" s="222"/>
      <c r="B2020" s="235"/>
      <c r="C2020" s="227"/>
      <c r="D2020" s="344"/>
      <c r="E2020" s="235"/>
      <c r="F2020" s="235"/>
      <c r="G2020" s="227"/>
      <c r="H2020" s="227"/>
      <c r="I2020" s="350"/>
      <c r="J2020" s="227"/>
      <c r="K2020" s="227"/>
      <c r="L2020" s="224"/>
      <c r="M2020" s="224"/>
      <c r="N2020" s="224"/>
      <c r="O2020" s="224"/>
      <c r="P2020" s="224"/>
      <c r="Q2020" s="224"/>
      <c r="R2020" s="224"/>
      <c r="S2020" s="224"/>
      <c r="T2020" s="224"/>
      <c r="U2020" s="224"/>
      <c r="V2020" s="224"/>
    </row>
    <row r="2021" spans="1:22" x14ac:dyDescent="0.3">
      <c r="A2021" s="222"/>
      <c r="B2021" s="235"/>
      <c r="C2021" s="227"/>
      <c r="D2021" s="344"/>
      <c r="E2021" s="235"/>
      <c r="F2021" s="235"/>
      <c r="G2021" s="227"/>
      <c r="H2021" s="227"/>
      <c r="I2021" s="350"/>
      <c r="J2021" s="227"/>
      <c r="K2021" s="227"/>
      <c r="L2021" s="224"/>
      <c r="M2021" s="224"/>
      <c r="N2021" s="224"/>
      <c r="O2021" s="224"/>
      <c r="P2021" s="224"/>
      <c r="Q2021" s="224"/>
      <c r="R2021" s="224"/>
      <c r="S2021" s="224"/>
      <c r="T2021" s="224"/>
      <c r="U2021" s="224"/>
      <c r="V2021" s="224"/>
    </row>
    <row r="2022" spans="1:22" x14ac:dyDescent="0.3">
      <c r="A2022" s="222"/>
      <c r="B2022" s="235"/>
      <c r="C2022" s="227"/>
      <c r="D2022" s="344"/>
      <c r="E2022" s="235"/>
      <c r="F2022" s="235"/>
      <c r="G2022" s="227"/>
      <c r="H2022" s="227"/>
      <c r="I2022" s="350"/>
      <c r="J2022" s="227"/>
      <c r="K2022" s="227"/>
      <c r="L2022" s="224"/>
      <c r="M2022" s="224"/>
      <c r="N2022" s="224"/>
      <c r="O2022" s="224"/>
      <c r="P2022" s="224"/>
      <c r="Q2022" s="224"/>
      <c r="R2022" s="224"/>
      <c r="S2022" s="224"/>
      <c r="T2022" s="224"/>
      <c r="U2022" s="224"/>
      <c r="V2022" s="224"/>
    </row>
    <row r="2023" spans="1:22" x14ac:dyDescent="0.3">
      <c r="A2023" s="222"/>
      <c r="B2023" s="235"/>
      <c r="C2023" s="227"/>
      <c r="D2023" s="344"/>
      <c r="E2023" s="235"/>
      <c r="F2023" s="235"/>
      <c r="G2023" s="227"/>
      <c r="H2023" s="227"/>
      <c r="I2023" s="350"/>
      <c r="J2023" s="227"/>
      <c r="K2023" s="227"/>
      <c r="L2023" s="224"/>
      <c r="M2023" s="224"/>
      <c r="N2023" s="224"/>
      <c r="O2023" s="224"/>
      <c r="P2023" s="224"/>
      <c r="Q2023" s="224"/>
      <c r="R2023" s="224"/>
      <c r="S2023" s="224"/>
      <c r="T2023" s="224"/>
      <c r="U2023" s="224"/>
      <c r="V2023" s="224"/>
    </row>
    <row r="2024" spans="1:22" x14ac:dyDescent="0.3">
      <c r="A2024" s="222"/>
      <c r="B2024" s="235"/>
      <c r="C2024" s="227"/>
      <c r="D2024" s="344"/>
      <c r="E2024" s="235"/>
      <c r="F2024" s="235"/>
      <c r="G2024" s="227"/>
      <c r="H2024" s="227"/>
      <c r="I2024" s="350"/>
      <c r="J2024" s="227"/>
      <c r="K2024" s="227"/>
      <c r="L2024" s="224"/>
      <c r="M2024" s="224"/>
      <c r="N2024" s="224"/>
      <c r="O2024" s="224"/>
      <c r="P2024" s="224"/>
      <c r="Q2024" s="224"/>
      <c r="R2024" s="224"/>
      <c r="S2024" s="224"/>
      <c r="T2024" s="224"/>
      <c r="U2024" s="224"/>
      <c r="V2024" s="224"/>
    </row>
    <row r="2025" spans="1:22" x14ac:dyDescent="0.3">
      <c r="A2025" s="222"/>
      <c r="B2025" s="235"/>
      <c r="C2025" s="227"/>
      <c r="D2025" s="344"/>
      <c r="E2025" s="235"/>
      <c r="F2025" s="235"/>
      <c r="G2025" s="227"/>
      <c r="H2025" s="227"/>
      <c r="I2025" s="350"/>
      <c r="J2025" s="227"/>
      <c r="K2025" s="227"/>
      <c r="L2025" s="224"/>
      <c r="M2025" s="224"/>
      <c r="N2025" s="224"/>
      <c r="O2025" s="224"/>
      <c r="P2025" s="224"/>
      <c r="Q2025" s="224"/>
      <c r="R2025" s="224"/>
      <c r="S2025" s="224"/>
      <c r="T2025" s="224"/>
      <c r="U2025" s="224"/>
      <c r="V2025" s="224"/>
    </row>
    <row r="2026" spans="1:22" x14ac:dyDescent="0.3">
      <c r="A2026" s="222"/>
      <c r="B2026" s="235"/>
      <c r="C2026" s="227"/>
      <c r="D2026" s="344"/>
      <c r="E2026" s="235"/>
      <c r="F2026" s="235"/>
      <c r="G2026" s="227"/>
      <c r="H2026" s="227"/>
      <c r="I2026" s="350"/>
      <c r="J2026" s="227"/>
      <c r="K2026" s="227"/>
      <c r="L2026" s="224"/>
      <c r="M2026" s="224"/>
      <c r="N2026" s="224"/>
      <c r="O2026" s="224"/>
      <c r="P2026" s="224"/>
      <c r="Q2026" s="224"/>
      <c r="R2026" s="224"/>
      <c r="S2026" s="224"/>
      <c r="T2026" s="224"/>
      <c r="U2026" s="224"/>
      <c r="V2026" s="224"/>
    </row>
    <row r="2027" spans="1:22" x14ac:dyDescent="0.3">
      <c r="A2027" s="222"/>
      <c r="B2027" s="235"/>
      <c r="C2027" s="227"/>
      <c r="D2027" s="344"/>
      <c r="E2027" s="235"/>
      <c r="F2027" s="235"/>
      <c r="G2027" s="227"/>
      <c r="H2027" s="227"/>
      <c r="I2027" s="350"/>
      <c r="J2027" s="227"/>
      <c r="K2027" s="227"/>
      <c r="L2027" s="224"/>
      <c r="M2027" s="224"/>
      <c r="N2027" s="224"/>
      <c r="O2027" s="224"/>
      <c r="P2027" s="224"/>
      <c r="Q2027" s="224"/>
      <c r="R2027" s="224"/>
      <c r="S2027" s="224"/>
      <c r="T2027" s="224"/>
      <c r="U2027" s="224"/>
      <c r="V2027" s="224"/>
    </row>
    <row r="2028" spans="1:22" x14ac:dyDescent="0.3">
      <c r="A2028" s="222"/>
      <c r="B2028" s="235"/>
      <c r="C2028" s="227"/>
      <c r="D2028" s="344"/>
      <c r="E2028" s="235"/>
      <c r="F2028" s="235"/>
      <c r="G2028" s="227"/>
      <c r="H2028" s="227"/>
      <c r="I2028" s="350"/>
      <c r="J2028" s="227"/>
      <c r="K2028" s="227"/>
      <c r="L2028" s="224"/>
      <c r="M2028" s="224"/>
      <c r="N2028" s="224"/>
      <c r="O2028" s="224"/>
      <c r="P2028" s="224"/>
      <c r="Q2028" s="224"/>
      <c r="R2028" s="224"/>
      <c r="S2028" s="224"/>
      <c r="T2028" s="224"/>
      <c r="U2028" s="224"/>
      <c r="V2028" s="224"/>
    </row>
    <row r="2029" spans="1:22" x14ac:dyDescent="0.3">
      <c r="A2029" s="222"/>
      <c r="B2029" s="235"/>
      <c r="C2029" s="227"/>
      <c r="D2029" s="344"/>
      <c r="E2029" s="235"/>
      <c r="F2029" s="235"/>
      <c r="G2029" s="227"/>
      <c r="H2029" s="227"/>
      <c r="I2029" s="350"/>
      <c r="J2029" s="227"/>
      <c r="K2029" s="227"/>
      <c r="L2029" s="224"/>
      <c r="M2029" s="224"/>
      <c r="N2029" s="224"/>
      <c r="O2029" s="224"/>
      <c r="P2029" s="224"/>
      <c r="Q2029" s="224"/>
      <c r="R2029" s="224"/>
      <c r="S2029" s="224"/>
      <c r="T2029" s="224"/>
      <c r="U2029" s="224"/>
      <c r="V2029" s="224"/>
    </row>
    <row r="2030" spans="1:22" x14ac:dyDescent="0.3">
      <c r="A2030" s="222"/>
      <c r="B2030" s="235"/>
      <c r="C2030" s="227"/>
      <c r="D2030" s="344"/>
      <c r="E2030" s="235"/>
      <c r="F2030" s="235"/>
      <c r="G2030" s="227"/>
      <c r="H2030" s="227"/>
      <c r="I2030" s="350"/>
      <c r="J2030" s="227"/>
      <c r="K2030" s="227"/>
      <c r="L2030" s="224"/>
      <c r="M2030" s="224"/>
      <c r="N2030" s="224"/>
      <c r="O2030" s="224"/>
      <c r="P2030" s="224"/>
      <c r="Q2030" s="224"/>
      <c r="R2030" s="224"/>
      <c r="S2030" s="224"/>
      <c r="T2030" s="224"/>
      <c r="U2030" s="224"/>
      <c r="V2030" s="224"/>
    </row>
    <row r="2031" spans="1:22" x14ac:dyDescent="0.3">
      <c r="A2031" s="222"/>
      <c r="B2031" s="235"/>
      <c r="C2031" s="227"/>
      <c r="D2031" s="344"/>
      <c r="E2031" s="235"/>
      <c r="F2031" s="235"/>
      <c r="G2031" s="227"/>
      <c r="H2031" s="227"/>
      <c r="I2031" s="350"/>
      <c r="J2031" s="227"/>
      <c r="K2031" s="227"/>
      <c r="L2031" s="224"/>
      <c r="M2031" s="224"/>
      <c r="N2031" s="224"/>
      <c r="O2031" s="224"/>
      <c r="P2031" s="224"/>
      <c r="Q2031" s="224"/>
      <c r="R2031" s="224"/>
      <c r="S2031" s="224"/>
      <c r="T2031" s="224"/>
      <c r="U2031" s="224"/>
      <c r="V2031" s="224"/>
    </row>
    <row r="2032" spans="1:22" x14ac:dyDescent="0.3">
      <c r="A2032" s="222"/>
      <c r="B2032" s="235"/>
      <c r="C2032" s="227"/>
      <c r="D2032" s="344"/>
      <c r="E2032" s="235"/>
      <c r="F2032" s="235"/>
      <c r="G2032" s="227"/>
      <c r="H2032" s="227"/>
      <c r="I2032" s="350"/>
      <c r="J2032" s="227"/>
      <c r="K2032" s="227"/>
      <c r="L2032" s="224"/>
      <c r="M2032" s="224"/>
      <c r="N2032" s="224"/>
      <c r="O2032" s="224"/>
      <c r="P2032" s="224"/>
      <c r="Q2032" s="224"/>
      <c r="R2032" s="224"/>
      <c r="S2032" s="224"/>
      <c r="T2032" s="224"/>
      <c r="U2032" s="224"/>
      <c r="V2032" s="224"/>
    </row>
    <row r="2033" spans="1:22" x14ac:dyDescent="0.3">
      <c r="A2033" s="222"/>
      <c r="B2033" s="235"/>
      <c r="C2033" s="227"/>
      <c r="D2033" s="344"/>
      <c r="E2033" s="235"/>
      <c r="F2033" s="235"/>
      <c r="G2033" s="227"/>
      <c r="H2033" s="227"/>
      <c r="I2033" s="350"/>
      <c r="J2033" s="227"/>
      <c r="K2033" s="227"/>
      <c r="L2033" s="224"/>
      <c r="M2033" s="224"/>
      <c r="N2033" s="224"/>
      <c r="O2033" s="224"/>
      <c r="P2033" s="224"/>
      <c r="Q2033" s="224"/>
      <c r="R2033" s="224"/>
      <c r="S2033" s="224"/>
      <c r="T2033" s="224"/>
      <c r="U2033" s="224"/>
      <c r="V2033" s="224"/>
    </row>
    <row r="2034" spans="1:22" x14ac:dyDescent="0.3">
      <c r="A2034" s="222"/>
      <c r="B2034" s="235"/>
      <c r="C2034" s="227"/>
      <c r="D2034" s="344"/>
      <c r="E2034" s="235"/>
      <c r="F2034" s="235"/>
      <c r="G2034" s="227"/>
      <c r="H2034" s="227"/>
      <c r="I2034" s="350"/>
      <c r="J2034" s="227"/>
      <c r="K2034" s="227"/>
      <c r="L2034" s="224"/>
      <c r="M2034" s="224"/>
      <c r="N2034" s="224"/>
      <c r="O2034" s="224"/>
      <c r="P2034" s="224"/>
      <c r="Q2034" s="224"/>
      <c r="R2034" s="224"/>
      <c r="S2034" s="224"/>
      <c r="T2034" s="224"/>
      <c r="U2034" s="224"/>
      <c r="V2034" s="224"/>
    </row>
    <row r="2035" spans="1:22" x14ac:dyDescent="0.3">
      <c r="A2035" s="222"/>
      <c r="B2035" s="235"/>
      <c r="C2035" s="227"/>
      <c r="D2035" s="344"/>
      <c r="E2035" s="235"/>
      <c r="F2035" s="235"/>
      <c r="G2035" s="227"/>
      <c r="H2035" s="227"/>
      <c r="I2035" s="350"/>
      <c r="J2035" s="227"/>
      <c r="K2035" s="227"/>
      <c r="L2035" s="224"/>
      <c r="M2035" s="224"/>
      <c r="N2035" s="224"/>
      <c r="O2035" s="224"/>
      <c r="P2035" s="224"/>
      <c r="Q2035" s="224"/>
      <c r="R2035" s="224"/>
      <c r="S2035" s="224"/>
      <c r="T2035" s="224"/>
      <c r="U2035" s="224"/>
      <c r="V2035" s="224"/>
    </row>
    <row r="2036" spans="1:22" x14ac:dyDescent="0.3">
      <c r="A2036" s="222"/>
      <c r="B2036" s="235"/>
      <c r="C2036" s="227"/>
      <c r="D2036" s="344"/>
      <c r="E2036" s="235"/>
      <c r="F2036" s="235"/>
      <c r="G2036" s="227"/>
      <c r="H2036" s="227"/>
      <c r="I2036" s="350"/>
      <c r="J2036" s="227"/>
      <c r="K2036" s="227"/>
      <c r="L2036" s="224"/>
      <c r="M2036" s="224"/>
      <c r="N2036" s="224"/>
      <c r="O2036" s="224"/>
      <c r="P2036" s="224"/>
      <c r="Q2036" s="224"/>
      <c r="R2036" s="224"/>
      <c r="S2036" s="224"/>
      <c r="T2036" s="224"/>
      <c r="U2036" s="224"/>
      <c r="V2036" s="224"/>
    </row>
    <row r="2037" spans="1:22" x14ac:dyDescent="0.3">
      <c r="A2037" s="222"/>
      <c r="B2037" s="235"/>
      <c r="C2037" s="227"/>
      <c r="D2037" s="344"/>
      <c r="E2037" s="235"/>
      <c r="F2037" s="235"/>
      <c r="G2037" s="227"/>
      <c r="H2037" s="227"/>
      <c r="I2037" s="350"/>
      <c r="J2037" s="227"/>
      <c r="K2037" s="227"/>
      <c r="L2037" s="224"/>
      <c r="M2037" s="224"/>
      <c r="N2037" s="224"/>
      <c r="O2037" s="224"/>
      <c r="P2037" s="224"/>
      <c r="Q2037" s="224"/>
      <c r="R2037" s="224"/>
      <c r="S2037" s="224"/>
      <c r="T2037" s="224"/>
      <c r="U2037" s="224"/>
      <c r="V2037" s="224"/>
    </row>
    <row r="2038" spans="1:22" x14ac:dyDescent="0.3">
      <c r="A2038" s="222"/>
      <c r="B2038" s="235"/>
      <c r="C2038" s="227"/>
      <c r="D2038" s="344"/>
      <c r="E2038" s="235"/>
      <c r="F2038" s="235"/>
      <c r="G2038" s="227"/>
      <c r="H2038" s="227"/>
      <c r="I2038" s="350"/>
      <c r="J2038" s="227"/>
      <c r="K2038" s="227"/>
      <c r="L2038" s="224"/>
      <c r="M2038" s="224"/>
      <c r="N2038" s="224"/>
      <c r="O2038" s="224"/>
      <c r="P2038" s="224"/>
      <c r="Q2038" s="224"/>
      <c r="R2038" s="224"/>
      <c r="S2038" s="224"/>
      <c r="T2038" s="224"/>
      <c r="U2038" s="224"/>
      <c r="V2038" s="224"/>
    </row>
    <row r="2039" spans="1:22" x14ac:dyDescent="0.3">
      <c r="A2039" s="222"/>
      <c r="B2039" s="235"/>
      <c r="C2039" s="227"/>
      <c r="D2039" s="344"/>
      <c r="E2039" s="235"/>
      <c r="F2039" s="235"/>
      <c r="G2039" s="227"/>
      <c r="H2039" s="227"/>
      <c r="I2039" s="350"/>
      <c r="J2039" s="227"/>
      <c r="K2039" s="227"/>
      <c r="L2039" s="224"/>
      <c r="M2039" s="224"/>
      <c r="N2039" s="224"/>
      <c r="O2039" s="224"/>
      <c r="P2039" s="224"/>
      <c r="Q2039" s="224"/>
      <c r="R2039" s="224"/>
      <c r="S2039" s="224"/>
      <c r="T2039" s="224"/>
      <c r="U2039" s="224"/>
      <c r="V2039" s="224"/>
    </row>
    <row r="2040" spans="1:22" x14ac:dyDescent="0.3">
      <c r="A2040" s="222"/>
      <c r="B2040" s="235"/>
      <c r="C2040" s="227"/>
      <c r="D2040" s="344"/>
      <c r="E2040" s="235"/>
      <c r="F2040" s="235"/>
      <c r="G2040" s="227"/>
      <c r="H2040" s="227"/>
      <c r="I2040" s="350"/>
      <c r="J2040" s="227"/>
      <c r="K2040" s="227"/>
      <c r="L2040" s="224"/>
      <c r="M2040" s="224"/>
      <c r="N2040" s="224"/>
      <c r="O2040" s="224"/>
      <c r="P2040" s="224"/>
      <c r="Q2040" s="224"/>
      <c r="R2040" s="224"/>
      <c r="S2040" s="224"/>
      <c r="T2040" s="224"/>
      <c r="U2040" s="224"/>
      <c r="V2040" s="224"/>
    </row>
    <row r="2041" spans="1:22" x14ac:dyDescent="0.3">
      <c r="A2041" s="222"/>
      <c r="B2041" s="235"/>
      <c r="C2041" s="227"/>
      <c r="D2041" s="344"/>
      <c r="E2041" s="235"/>
      <c r="F2041" s="235"/>
      <c r="G2041" s="227"/>
      <c r="H2041" s="227"/>
      <c r="I2041" s="350"/>
      <c r="J2041" s="227"/>
      <c r="K2041" s="227"/>
      <c r="L2041" s="224"/>
      <c r="M2041" s="224"/>
      <c r="N2041" s="224"/>
      <c r="O2041" s="224"/>
      <c r="P2041" s="224"/>
      <c r="Q2041" s="224"/>
      <c r="R2041" s="224"/>
      <c r="S2041" s="224"/>
      <c r="T2041" s="224"/>
      <c r="U2041" s="224"/>
      <c r="V2041" s="224"/>
    </row>
    <row r="2042" spans="1:22" x14ac:dyDescent="0.3">
      <c r="A2042" s="222"/>
      <c r="B2042" s="235"/>
      <c r="C2042" s="227"/>
      <c r="D2042" s="344"/>
      <c r="E2042" s="235"/>
      <c r="F2042" s="235"/>
      <c r="G2042" s="227"/>
      <c r="H2042" s="227"/>
      <c r="I2042" s="350"/>
      <c r="J2042" s="227"/>
      <c r="K2042" s="227"/>
      <c r="L2042" s="224"/>
      <c r="M2042" s="224"/>
      <c r="N2042" s="224"/>
      <c r="O2042" s="224"/>
      <c r="P2042" s="224"/>
      <c r="Q2042" s="224"/>
      <c r="R2042" s="224"/>
      <c r="S2042" s="224"/>
      <c r="T2042" s="224"/>
      <c r="U2042" s="224"/>
      <c r="V2042" s="224"/>
    </row>
    <row r="2043" spans="1:22" x14ac:dyDescent="0.3">
      <c r="A2043" s="222"/>
      <c r="B2043" s="235"/>
      <c r="C2043" s="227"/>
      <c r="D2043" s="344"/>
      <c r="E2043" s="235"/>
      <c r="F2043" s="235"/>
      <c r="G2043" s="227"/>
      <c r="H2043" s="227"/>
      <c r="I2043" s="350"/>
      <c r="J2043" s="227"/>
      <c r="K2043" s="227"/>
      <c r="L2043" s="224"/>
      <c r="M2043" s="224"/>
      <c r="N2043" s="224"/>
      <c r="O2043" s="224"/>
      <c r="P2043" s="224"/>
      <c r="Q2043" s="224"/>
      <c r="R2043" s="224"/>
      <c r="S2043" s="224"/>
      <c r="T2043" s="224"/>
      <c r="U2043" s="224"/>
      <c r="V2043" s="224"/>
    </row>
    <row r="2044" spans="1:22" x14ac:dyDescent="0.3">
      <c r="A2044" s="222"/>
      <c r="B2044" s="235"/>
      <c r="C2044" s="227"/>
      <c r="D2044" s="344"/>
      <c r="E2044" s="235"/>
      <c r="F2044" s="235"/>
      <c r="G2044" s="227"/>
      <c r="H2044" s="227"/>
      <c r="I2044" s="350"/>
      <c r="J2044" s="227"/>
      <c r="K2044" s="227"/>
      <c r="L2044" s="224"/>
      <c r="M2044" s="224"/>
      <c r="N2044" s="224"/>
      <c r="O2044" s="224"/>
      <c r="P2044" s="224"/>
      <c r="Q2044" s="224"/>
      <c r="R2044" s="224"/>
      <c r="S2044" s="224"/>
      <c r="T2044" s="224"/>
      <c r="U2044" s="224"/>
      <c r="V2044" s="224"/>
    </row>
    <row r="2045" spans="1:22" x14ac:dyDescent="0.3">
      <c r="A2045" s="222"/>
      <c r="B2045" s="235"/>
      <c r="C2045" s="227"/>
      <c r="D2045" s="344"/>
      <c r="E2045" s="235"/>
      <c r="F2045" s="235"/>
      <c r="G2045" s="227"/>
      <c r="H2045" s="227"/>
      <c r="I2045" s="350"/>
      <c r="J2045" s="227"/>
      <c r="K2045" s="227"/>
      <c r="L2045" s="224"/>
      <c r="M2045" s="224"/>
      <c r="N2045" s="224"/>
      <c r="O2045" s="224"/>
      <c r="P2045" s="224"/>
      <c r="Q2045" s="224"/>
      <c r="R2045" s="224"/>
      <c r="S2045" s="224"/>
      <c r="T2045" s="224"/>
      <c r="U2045" s="224"/>
      <c r="V2045" s="224"/>
    </row>
    <row r="2046" spans="1:22" x14ac:dyDescent="0.3">
      <c r="A2046" s="222"/>
      <c r="B2046" s="235"/>
      <c r="C2046" s="227"/>
      <c r="D2046" s="344"/>
      <c r="E2046" s="235"/>
      <c r="F2046" s="235"/>
      <c r="G2046" s="227"/>
      <c r="H2046" s="227"/>
      <c r="I2046" s="350"/>
      <c r="J2046" s="227"/>
      <c r="K2046" s="227"/>
      <c r="L2046" s="224"/>
      <c r="M2046" s="224"/>
      <c r="N2046" s="224"/>
      <c r="O2046" s="224"/>
      <c r="P2046" s="224"/>
      <c r="Q2046" s="224"/>
      <c r="R2046" s="224"/>
      <c r="S2046" s="224"/>
      <c r="T2046" s="224"/>
      <c r="U2046" s="224"/>
      <c r="V2046" s="224"/>
    </row>
    <row r="2047" spans="1:22" x14ac:dyDescent="0.3">
      <c r="A2047" s="222"/>
      <c r="B2047" s="235"/>
      <c r="C2047" s="227"/>
      <c r="D2047" s="344"/>
      <c r="E2047" s="235"/>
      <c r="F2047" s="235"/>
      <c r="G2047" s="227"/>
      <c r="H2047" s="227"/>
      <c r="I2047" s="350"/>
      <c r="J2047" s="227"/>
      <c r="K2047" s="227"/>
      <c r="L2047" s="224"/>
      <c r="M2047" s="224"/>
      <c r="N2047" s="224"/>
      <c r="O2047" s="224"/>
      <c r="P2047" s="224"/>
      <c r="Q2047" s="224"/>
      <c r="R2047" s="224"/>
      <c r="S2047" s="224"/>
      <c r="T2047" s="224"/>
      <c r="U2047" s="224"/>
      <c r="V2047" s="224"/>
    </row>
    <row r="2048" spans="1:22" x14ac:dyDescent="0.3">
      <c r="A2048" s="222"/>
      <c r="B2048" s="235"/>
      <c r="C2048" s="227"/>
      <c r="D2048" s="344"/>
      <c r="E2048" s="235"/>
      <c r="F2048" s="235"/>
      <c r="G2048" s="227"/>
      <c r="H2048" s="227"/>
      <c r="I2048" s="350"/>
      <c r="J2048" s="227"/>
      <c r="K2048" s="227"/>
      <c r="L2048" s="224"/>
      <c r="M2048" s="224"/>
      <c r="N2048" s="224"/>
      <c r="O2048" s="224"/>
      <c r="P2048" s="224"/>
      <c r="Q2048" s="224"/>
      <c r="R2048" s="224"/>
      <c r="S2048" s="224"/>
      <c r="T2048" s="224"/>
      <c r="U2048" s="224"/>
      <c r="V2048" s="224"/>
    </row>
    <row r="2049" spans="1:22" x14ac:dyDescent="0.3">
      <c r="A2049" s="222"/>
      <c r="B2049" s="235"/>
      <c r="C2049" s="227"/>
      <c r="D2049" s="344"/>
      <c r="E2049" s="235"/>
      <c r="F2049" s="235"/>
      <c r="G2049" s="227"/>
      <c r="H2049" s="227"/>
      <c r="I2049" s="350"/>
      <c r="J2049" s="227"/>
      <c r="K2049" s="227"/>
      <c r="L2049" s="224"/>
      <c r="M2049" s="224"/>
      <c r="N2049" s="224"/>
      <c r="O2049" s="224"/>
      <c r="P2049" s="224"/>
      <c r="Q2049" s="224"/>
      <c r="R2049" s="224"/>
      <c r="S2049" s="224"/>
      <c r="T2049" s="224"/>
      <c r="U2049" s="224"/>
      <c r="V2049" s="224"/>
    </row>
    <row r="2050" spans="1:22" x14ac:dyDescent="0.3">
      <c r="A2050" s="222"/>
      <c r="B2050" s="235"/>
      <c r="C2050" s="227"/>
      <c r="D2050" s="344"/>
      <c r="E2050" s="235"/>
      <c r="F2050" s="235"/>
      <c r="G2050" s="227"/>
      <c r="H2050" s="227"/>
      <c r="I2050" s="350"/>
      <c r="J2050" s="227"/>
      <c r="K2050" s="227"/>
      <c r="L2050" s="224"/>
      <c r="M2050" s="224"/>
      <c r="N2050" s="224"/>
      <c r="O2050" s="224"/>
      <c r="P2050" s="224"/>
      <c r="Q2050" s="224"/>
      <c r="R2050" s="224"/>
      <c r="S2050" s="224"/>
      <c r="T2050" s="224"/>
      <c r="U2050" s="224"/>
      <c r="V2050" s="224"/>
    </row>
    <row r="2051" spans="1:22" x14ac:dyDescent="0.3">
      <c r="A2051" s="222"/>
      <c r="B2051" s="235"/>
      <c r="C2051" s="227"/>
      <c r="D2051" s="344"/>
      <c r="E2051" s="235"/>
      <c r="F2051" s="235"/>
      <c r="G2051" s="227"/>
      <c r="H2051" s="227"/>
      <c r="I2051" s="350"/>
      <c r="J2051" s="227"/>
      <c r="K2051" s="227"/>
      <c r="L2051" s="224"/>
      <c r="M2051" s="224"/>
      <c r="N2051" s="224"/>
      <c r="O2051" s="224"/>
      <c r="P2051" s="224"/>
      <c r="Q2051" s="224"/>
      <c r="R2051" s="224"/>
      <c r="S2051" s="224"/>
      <c r="T2051" s="224"/>
      <c r="U2051" s="224"/>
      <c r="V2051" s="224"/>
    </row>
    <row r="2052" spans="1:22" x14ac:dyDescent="0.3">
      <c r="A2052" s="222"/>
      <c r="B2052" s="235"/>
      <c r="C2052" s="227"/>
      <c r="D2052" s="344"/>
      <c r="E2052" s="235"/>
      <c r="F2052" s="235"/>
      <c r="G2052" s="227"/>
      <c r="H2052" s="227"/>
      <c r="I2052" s="350"/>
      <c r="J2052" s="227"/>
      <c r="K2052" s="227"/>
      <c r="L2052" s="224"/>
      <c r="M2052" s="224"/>
      <c r="N2052" s="224"/>
      <c r="O2052" s="224"/>
      <c r="P2052" s="224"/>
      <c r="Q2052" s="224"/>
      <c r="R2052" s="224"/>
      <c r="S2052" s="224"/>
      <c r="T2052" s="224"/>
      <c r="U2052" s="224"/>
      <c r="V2052" s="224"/>
    </row>
    <row r="2053" spans="1:22" x14ac:dyDescent="0.3">
      <c r="A2053" s="222"/>
      <c r="B2053" s="235"/>
      <c r="C2053" s="227"/>
      <c r="D2053" s="344"/>
      <c r="E2053" s="235"/>
      <c r="F2053" s="235"/>
      <c r="G2053" s="227"/>
      <c r="H2053" s="227"/>
      <c r="I2053" s="350"/>
      <c r="J2053" s="227"/>
      <c r="K2053" s="227"/>
      <c r="L2053" s="224"/>
      <c r="M2053" s="224"/>
      <c r="N2053" s="224"/>
      <c r="O2053" s="224"/>
      <c r="P2053" s="224"/>
      <c r="Q2053" s="224"/>
      <c r="R2053" s="224"/>
      <c r="S2053" s="224"/>
      <c r="T2053" s="224"/>
      <c r="U2053" s="224"/>
      <c r="V2053" s="224"/>
    </row>
    <row r="2054" spans="1:22" x14ac:dyDescent="0.3">
      <c r="A2054" s="222"/>
      <c r="B2054" s="235"/>
      <c r="C2054" s="227"/>
      <c r="D2054" s="344"/>
      <c r="E2054" s="235"/>
      <c r="F2054" s="235"/>
      <c r="G2054" s="227"/>
      <c r="H2054" s="227"/>
      <c r="I2054" s="350"/>
      <c r="J2054" s="227"/>
      <c r="K2054" s="227"/>
      <c r="L2054" s="224"/>
      <c r="M2054" s="224"/>
      <c r="N2054" s="224"/>
      <c r="O2054" s="224"/>
      <c r="P2054" s="224"/>
      <c r="Q2054" s="224"/>
      <c r="R2054" s="224"/>
      <c r="S2054" s="224"/>
      <c r="T2054" s="224"/>
      <c r="U2054" s="224"/>
      <c r="V2054" s="224"/>
    </row>
    <row r="2055" spans="1:22" x14ac:dyDescent="0.3">
      <c r="A2055" s="222"/>
      <c r="B2055" s="235"/>
      <c r="C2055" s="227"/>
      <c r="D2055" s="344"/>
      <c r="E2055" s="235"/>
      <c r="F2055" s="235"/>
      <c r="G2055" s="227"/>
      <c r="H2055" s="227"/>
      <c r="I2055" s="350"/>
      <c r="J2055" s="227"/>
      <c r="K2055" s="227"/>
      <c r="L2055" s="224"/>
      <c r="M2055" s="224"/>
      <c r="N2055" s="224"/>
      <c r="O2055" s="224"/>
      <c r="P2055" s="224"/>
      <c r="Q2055" s="224"/>
      <c r="R2055" s="224"/>
      <c r="S2055" s="224"/>
      <c r="T2055" s="224"/>
      <c r="U2055" s="224"/>
      <c r="V2055" s="224"/>
    </row>
    <row r="2056" spans="1:22" x14ac:dyDescent="0.3">
      <c r="A2056" s="222"/>
      <c r="B2056" s="235"/>
      <c r="C2056" s="227"/>
      <c r="D2056" s="344"/>
      <c r="E2056" s="235"/>
      <c r="F2056" s="235"/>
      <c r="G2056" s="227"/>
      <c r="H2056" s="227"/>
      <c r="I2056" s="350"/>
      <c r="J2056" s="227"/>
      <c r="K2056" s="227"/>
      <c r="L2056" s="224"/>
      <c r="M2056" s="224"/>
      <c r="N2056" s="224"/>
      <c r="O2056" s="224"/>
      <c r="P2056" s="224"/>
      <c r="Q2056" s="224"/>
      <c r="R2056" s="224"/>
      <c r="S2056" s="224"/>
      <c r="T2056" s="224"/>
      <c r="U2056" s="224"/>
      <c r="V2056" s="224"/>
    </row>
    <row r="2057" spans="1:22" x14ac:dyDescent="0.3">
      <c r="A2057" s="222"/>
      <c r="B2057" s="235"/>
      <c r="C2057" s="227"/>
      <c r="D2057" s="344"/>
      <c r="E2057" s="235"/>
      <c r="F2057" s="235"/>
      <c r="G2057" s="227"/>
      <c r="H2057" s="227"/>
      <c r="I2057" s="350"/>
      <c r="J2057" s="227"/>
      <c r="K2057" s="227"/>
      <c r="L2057" s="224"/>
      <c r="M2057" s="224"/>
      <c r="N2057" s="224"/>
      <c r="O2057" s="224"/>
      <c r="P2057" s="224"/>
      <c r="Q2057" s="224"/>
      <c r="R2057" s="224"/>
      <c r="S2057" s="224"/>
      <c r="T2057" s="224"/>
      <c r="U2057" s="224"/>
      <c r="V2057" s="224"/>
    </row>
    <row r="2058" spans="1:22" x14ac:dyDescent="0.3">
      <c r="A2058" s="222"/>
      <c r="B2058" s="235"/>
      <c r="C2058" s="227"/>
      <c r="D2058" s="344"/>
      <c r="E2058" s="235"/>
      <c r="F2058" s="235"/>
      <c r="G2058" s="227"/>
      <c r="H2058" s="227"/>
      <c r="I2058" s="350"/>
      <c r="J2058" s="227"/>
      <c r="K2058" s="227"/>
      <c r="L2058" s="224"/>
      <c r="M2058" s="224"/>
      <c r="N2058" s="224"/>
      <c r="O2058" s="224"/>
      <c r="P2058" s="224"/>
      <c r="Q2058" s="224"/>
      <c r="R2058" s="224"/>
      <c r="S2058" s="224"/>
      <c r="T2058" s="224"/>
      <c r="U2058" s="224"/>
      <c r="V2058" s="224"/>
    </row>
    <row r="2059" spans="1:22" x14ac:dyDescent="0.3">
      <c r="A2059" s="222"/>
      <c r="B2059" s="235"/>
      <c r="C2059" s="227"/>
      <c r="D2059" s="344"/>
      <c r="E2059" s="235"/>
      <c r="F2059" s="235"/>
      <c r="G2059" s="227"/>
      <c r="H2059" s="227"/>
      <c r="I2059" s="350"/>
      <c r="J2059" s="227"/>
      <c r="K2059" s="227"/>
      <c r="L2059" s="224"/>
      <c r="M2059" s="224"/>
      <c r="N2059" s="224"/>
      <c r="O2059" s="224"/>
      <c r="P2059" s="224"/>
      <c r="Q2059" s="224"/>
      <c r="R2059" s="224"/>
      <c r="S2059" s="224"/>
      <c r="T2059" s="224"/>
      <c r="U2059" s="224"/>
      <c r="V2059" s="224"/>
    </row>
    <row r="2060" spans="1:22" x14ac:dyDescent="0.3">
      <c r="A2060" s="222"/>
      <c r="B2060" s="235"/>
      <c r="C2060" s="227"/>
      <c r="D2060" s="344"/>
      <c r="E2060" s="235"/>
      <c r="F2060" s="235"/>
      <c r="G2060" s="227"/>
      <c r="H2060" s="227"/>
      <c r="I2060" s="350"/>
      <c r="J2060" s="227"/>
      <c r="K2060" s="227"/>
      <c r="L2060" s="224"/>
      <c r="M2060" s="224"/>
      <c r="N2060" s="224"/>
      <c r="O2060" s="224"/>
      <c r="P2060" s="224"/>
      <c r="Q2060" s="224"/>
      <c r="R2060" s="224"/>
      <c r="S2060" s="224"/>
      <c r="T2060" s="224"/>
      <c r="U2060" s="224"/>
      <c r="V2060" s="224"/>
    </row>
    <row r="2061" spans="1:22" x14ac:dyDescent="0.3">
      <c r="A2061" s="222"/>
      <c r="B2061" s="235"/>
      <c r="C2061" s="227"/>
      <c r="D2061" s="344"/>
      <c r="E2061" s="235"/>
      <c r="F2061" s="235"/>
      <c r="G2061" s="227"/>
      <c r="H2061" s="227"/>
      <c r="I2061" s="350"/>
      <c r="J2061" s="227"/>
      <c r="K2061" s="227"/>
      <c r="L2061" s="224"/>
      <c r="M2061" s="224"/>
      <c r="N2061" s="224"/>
      <c r="O2061" s="224"/>
      <c r="P2061" s="224"/>
      <c r="Q2061" s="224"/>
      <c r="R2061" s="224"/>
      <c r="S2061" s="224"/>
      <c r="T2061" s="224"/>
      <c r="U2061" s="224"/>
      <c r="V2061" s="224"/>
    </row>
    <row r="2062" spans="1:22" x14ac:dyDescent="0.3">
      <c r="A2062" s="222"/>
      <c r="B2062" s="235"/>
      <c r="C2062" s="227"/>
      <c r="D2062" s="344"/>
      <c r="E2062" s="235"/>
      <c r="F2062" s="235"/>
      <c r="G2062" s="227"/>
      <c r="H2062" s="227"/>
      <c r="I2062" s="350"/>
      <c r="J2062" s="227"/>
      <c r="K2062" s="227"/>
      <c r="L2062" s="224"/>
      <c r="M2062" s="224"/>
      <c r="N2062" s="224"/>
      <c r="O2062" s="224"/>
      <c r="P2062" s="224"/>
      <c r="Q2062" s="224"/>
      <c r="R2062" s="224"/>
      <c r="S2062" s="224"/>
      <c r="T2062" s="224"/>
      <c r="U2062" s="224"/>
      <c r="V2062" s="224"/>
    </row>
    <row r="2063" spans="1:22" x14ac:dyDescent="0.3">
      <c r="A2063" s="222"/>
      <c r="B2063" s="235"/>
      <c r="C2063" s="227"/>
      <c r="D2063" s="344"/>
      <c r="E2063" s="235"/>
      <c r="F2063" s="235"/>
      <c r="G2063" s="227"/>
      <c r="H2063" s="227"/>
      <c r="I2063" s="350"/>
      <c r="J2063" s="227"/>
      <c r="K2063" s="227"/>
      <c r="L2063" s="224"/>
      <c r="M2063" s="224"/>
      <c r="N2063" s="224"/>
      <c r="O2063" s="224"/>
      <c r="P2063" s="224"/>
      <c r="Q2063" s="224"/>
      <c r="R2063" s="224"/>
      <c r="S2063" s="224"/>
      <c r="T2063" s="224"/>
      <c r="U2063" s="224"/>
      <c r="V2063" s="224"/>
    </row>
    <row r="2064" spans="1:22" x14ac:dyDescent="0.3">
      <c r="A2064" s="222"/>
      <c r="B2064" s="235"/>
      <c r="C2064" s="227"/>
      <c r="D2064" s="344"/>
      <c r="E2064" s="235"/>
      <c r="F2064" s="235"/>
      <c r="G2064" s="227"/>
      <c r="H2064" s="227"/>
      <c r="I2064" s="350"/>
      <c r="J2064" s="227"/>
      <c r="K2064" s="227"/>
      <c r="L2064" s="224"/>
      <c r="M2064" s="224"/>
      <c r="N2064" s="224"/>
      <c r="O2064" s="224"/>
      <c r="P2064" s="224"/>
      <c r="Q2064" s="224"/>
      <c r="R2064" s="224"/>
      <c r="S2064" s="224"/>
      <c r="T2064" s="224"/>
      <c r="U2064" s="224"/>
      <c r="V2064" s="224"/>
    </row>
    <row r="2065" spans="1:22" x14ac:dyDescent="0.3">
      <c r="A2065" s="222"/>
      <c r="B2065" s="235"/>
      <c r="C2065" s="227"/>
      <c r="D2065" s="344"/>
      <c r="E2065" s="235"/>
      <c r="F2065" s="235"/>
      <c r="G2065" s="227"/>
      <c r="H2065" s="227"/>
      <c r="I2065" s="350"/>
      <c r="J2065" s="227"/>
      <c r="K2065" s="227"/>
      <c r="L2065" s="224"/>
      <c r="M2065" s="224"/>
      <c r="N2065" s="224"/>
      <c r="O2065" s="224"/>
      <c r="P2065" s="224"/>
      <c r="Q2065" s="224"/>
      <c r="R2065" s="224"/>
      <c r="S2065" s="224"/>
      <c r="T2065" s="224"/>
      <c r="U2065" s="224"/>
      <c r="V2065" s="224"/>
    </row>
    <row r="2066" spans="1:22" x14ac:dyDescent="0.3">
      <c r="A2066" s="222"/>
      <c r="B2066" s="235"/>
      <c r="C2066" s="227"/>
      <c r="D2066" s="344"/>
      <c r="E2066" s="235"/>
      <c r="F2066" s="235"/>
      <c r="G2066" s="227"/>
      <c r="H2066" s="227"/>
      <c r="I2066" s="350"/>
      <c r="J2066" s="227"/>
      <c r="K2066" s="227"/>
      <c r="L2066" s="224"/>
      <c r="M2066" s="224"/>
      <c r="N2066" s="224"/>
      <c r="O2066" s="224"/>
      <c r="P2066" s="224"/>
      <c r="Q2066" s="224"/>
      <c r="R2066" s="224"/>
      <c r="S2066" s="224"/>
      <c r="T2066" s="224"/>
      <c r="U2066" s="224"/>
      <c r="V2066" s="224"/>
    </row>
    <row r="2067" spans="1:22" x14ac:dyDescent="0.3">
      <c r="A2067" s="222"/>
      <c r="B2067" s="235"/>
      <c r="C2067" s="227"/>
      <c r="D2067" s="344"/>
      <c r="E2067" s="235"/>
      <c r="F2067" s="235"/>
      <c r="G2067" s="227"/>
      <c r="H2067" s="227"/>
      <c r="I2067" s="350"/>
      <c r="J2067" s="227"/>
      <c r="K2067" s="227"/>
      <c r="L2067" s="224"/>
      <c r="M2067" s="224"/>
      <c r="N2067" s="224"/>
      <c r="O2067" s="224"/>
      <c r="P2067" s="224"/>
      <c r="Q2067" s="224"/>
      <c r="R2067" s="224"/>
      <c r="S2067" s="224"/>
      <c r="T2067" s="224"/>
      <c r="U2067" s="224"/>
      <c r="V2067" s="224"/>
    </row>
    <row r="2068" spans="1:22" x14ac:dyDescent="0.3">
      <c r="A2068" s="222"/>
      <c r="B2068" s="235"/>
      <c r="C2068" s="227"/>
      <c r="D2068" s="344"/>
      <c r="E2068" s="235"/>
      <c r="F2068" s="235"/>
      <c r="G2068" s="227"/>
      <c r="H2068" s="227"/>
      <c r="I2068" s="350"/>
      <c r="J2068" s="227"/>
      <c r="K2068" s="227"/>
      <c r="L2068" s="224"/>
      <c r="M2068" s="224"/>
      <c r="N2068" s="224"/>
      <c r="O2068" s="224"/>
      <c r="P2068" s="224"/>
      <c r="Q2068" s="224"/>
      <c r="R2068" s="224"/>
      <c r="S2068" s="224"/>
      <c r="T2068" s="224"/>
      <c r="U2068" s="224"/>
      <c r="V2068" s="224"/>
    </row>
    <row r="2069" spans="1:22" x14ac:dyDescent="0.3">
      <c r="A2069" s="222"/>
      <c r="B2069" s="235"/>
      <c r="C2069" s="227"/>
      <c r="D2069" s="344"/>
      <c r="E2069" s="235"/>
      <c r="F2069" s="235"/>
      <c r="G2069" s="227"/>
      <c r="H2069" s="227"/>
      <c r="I2069" s="350"/>
      <c r="J2069" s="227"/>
      <c r="K2069" s="227"/>
      <c r="L2069" s="224"/>
      <c r="M2069" s="224"/>
      <c r="N2069" s="224"/>
      <c r="O2069" s="224"/>
      <c r="P2069" s="224"/>
      <c r="Q2069" s="224"/>
      <c r="R2069" s="224"/>
      <c r="S2069" s="224"/>
      <c r="T2069" s="224"/>
      <c r="U2069" s="224"/>
      <c r="V2069" s="224"/>
    </row>
    <row r="2070" spans="1:22" x14ac:dyDescent="0.3">
      <c r="A2070" s="222"/>
      <c r="B2070" s="235"/>
      <c r="C2070" s="227"/>
      <c r="D2070" s="344"/>
      <c r="E2070" s="235"/>
      <c r="F2070" s="235"/>
      <c r="G2070" s="227"/>
      <c r="H2070" s="227"/>
      <c r="I2070" s="350"/>
      <c r="J2070" s="227"/>
      <c r="K2070" s="227"/>
      <c r="L2070" s="224"/>
      <c r="M2070" s="224"/>
      <c r="N2070" s="224"/>
      <c r="O2070" s="224"/>
      <c r="P2070" s="224"/>
      <c r="Q2070" s="224"/>
      <c r="R2070" s="224"/>
      <c r="S2070" s="224"/>
      <c r="T2070" s="224"/>
      <c r="U2070" s="224"/>
      <c r="V2070" s="224"/>
    </row>
    <row r="2071" spans="1:22" x14ac:dyDescent="0.3">
      <c r="A2071" s="222"/>
      <c r="B2071" s="235"/>
      <c r="C2071" s="227"/>
      <c r="D2071" s="344"/>
      <c r="E2071" s="235"/>
      <c r="F2071" s="235"/>
      <c r="G2071" s="227"/>
      <c r="H2071" s="227"/>
      <c r="I2071" s="350"/>
      <c r="J2071" s="227"/>
      <c r="K2071" s="227"/>
      <c r="L2071" s="224"/>
      <c r="M2071" s="224"/>
      <c r="N2071" s="224"/>
      <c r="O2071" s="224"/>
      <c r="P2071" s="224"/>
      <c r="Q2071" s="224"/>
      <c r="R2071" s="224"/>
      <c r="S2071" s="224"/>
      <c r="T2071" s="224"/>
      <c r="U2071" s="224"/>
      <c r="V2071" s="224"/>
    </row>
    <row r="2072" spans="1:22" x14ac:dyDescent="0.3">
      <c r="A2072" s="222"/>
      <c r="B2072" s="235"/>
      <c r="C2072" s="227"/>
      <c r="D2072" s="344"/>
      <c r="E2072" s="235"/>
      <c r="F2072" s="235"/>
      <c r="G2072" s="227"/>
      <c r="H2072" s="227"/>
      <c r="I2072" s="350"/>
      <c r="J2072" s="227"/>
      <c r="K2072" s="227"/>
      <c r="L2072" s="224"/>
      <c r="M2072" s="224"/>
      <c r="N2072" s="224"/>
      <c r="O2072" s="224"/>
      <c r="P2072" s="224"/>
      <c r="Q2072" s="224"/>
      <c r="R2072" s="224"/>
      <c r="S2072" s="224"/>
      <c r="T2072" s="224"/>
      <c r="U2072" s="224"/>
      <c r="V2072" s="224"/>
    </row>
    <row r="2073" spans="1:22" x14ac:dyDescent="0.3">
      <c r="A2073" s="222"/>
      <c r="B2073" s="235"/>
      <c r="C2073" s="227"/>
      <c r="D2073" s="344"/>
      <c r="E2073" s="235"/>
      <c r="F2073" s="235"/>
      <c r="G2073" s="227"/>
      <c r="H2073" s="227"/>
      <c r="I2073" s="350"/>
      <c r="J2073" s="227"/>
      <c r="K2073" s="227"/>
      <c r="L2073" s="224"/>
      <c r="M2073" s="224"/>
      <c r="N2073" s="224"/>
      <c r="O2073" s="224"/>
      <c r="P2073" s="224"/>
      <c r="Q2073" s="224"/>
      <c r="R2073" s="224"/>
      <c r="S2073" s="224"/>
      <c r="T2073" s="224"/>
      <c r="U2073" s="224"/>
      <c r="V2073" s="224"/>
    </row>
    <row r="2074" spans="1:22" x14ac:dyDescent="0.3">
      <c r="A2074" s="222"/>
      <c r="B2074" s="235"/>
      <c r="C2074" s="227"/>
      <c r="D2074" s="344"/>
      <c r="E2074" s="235"/>
      <c r="F2074" s="235"/>
      <c r="G2074" s="227"/>
      <c r="H2074" s="227"/>
      <c r="I2074" s="350"/>
      <c r="J2074" s="227"/>
      <c r="K2074" s="227"/>
      <c r="L2074" s="224"/>
      <c r="M2074" s="224"/>
      <c r="N2074" s="224"/>
      <c r="O2074" s="224"/>
      <c r="P2074" s="224"/>
      <c r="Q2074" s="224"/>
      <c r="R2074" s="224"/>
      <c r="S2074" s="224"/>
      <c r="T2074" s="224"/>
      <c r="U2074" s="224"/>
      <c r="V2074" s="224"/>
    </row>
    <row r="2075" spans="1:22" x14ac:dyDescent="0.3">
      <c r="A2075" s="222"/>
      <c r="B2075" s="235"/>
      <c r="C2075" s="227"/>
      <c r="D2075" s="344"/>
      <c r="E2075" s="235"/>
      <c r="F2075" s="235"/>
      <c r="G2075" s="227"/>
      <c r="H2075" s="227"/>
      <c r="I2075" s="350"/>
      <c r="J2075" s="227"/>
      <c r="K2075" s="227"/>
      <c r="L2075" s="224"/>
      <c r="M2075" s="224"/>
      <c r="N2075" s="224"/>
      <c r="O2075" s="224"/>
      <c r="P2075" s="224"/>
      <c r="Q2075" s="224"/>
      <c r="R2075" s="224"/>
      <c r="S2075" s="224"/>
      <c r="T2075" s="224"/>
      <c r="U2075" s="224"/>
      <c r="V2075" s="224"/>
    </row>
    <row r="2076" spans="1:22" x14ac:dyDescent="0.3">
      <c r="A2076" s="222"/>
      <c r="B2076" s="235"/>
      <c r="C2076" s="227"/>
      <c r="D2076" s="344"/>
      <c r="E2076" s="235"/>
      <c r="F2076" s="235"/>
      <c r="G2076" s="227"/>
      <c r="H2076" s="227"/>
      <c r="I2076" s="350"/>
      <c r="J2076" s="227"/>
      <c r="K2076" s="227"/>
      <c r="L2076" s="224"/>
      <c r="M2076" s="224"/>
      <c r="N2076" s="224"/>
      <c r="O2076" s="224"/>
      <c r="P2076" s="224"/>
      <c r="Q2076" s="224"/>
      <c r="R2076" s="224"/>
      <c r="S2076" s="224"/>
      <c r="T2076" s="224"/>
      <c r="U2076" s="224"/>
      <c r="V2076" s="224"/>
    </row>
    <row r="2077" spans="1:22" x14ac:dyDescent="0.3">
      <c r="A2077" s="222"/>
      <c r="B2077" s="235"/>
      <c r="C2077" s="227"/>
      <c r="D2077" s="344"/>
      <c r="E2077" s="235"/>
      <c r="F2077" s="235"/>
      <c r="G2077" s="227"/>
      <c r="H2077" s="227"/>
      <c r="I2077" s="350"/>
      <c r="J2077" s="227"/>
      <c r="K2077" s="227"/>
      <c r="L2077" s="224"/>
      <c r="M2077" s="224"/>
      <c r="N2077" s="224"/>
      <c r="O2077" s="224"/>
      <c r="P2077" s="224"/>
      <c r="Q2077" s="224"/>
      <c r="R2077" s="224"/>
      <c r="S2077" s="224"/>
      <c r="T2077" s="224"/>
      <c r="U2077" s="224"/>
      <c r="V2077" s="224"/>
    </row>
    <row r="2078" spans="1:22" x14ac:dyDescent="0.3">
      <c r="A2078" s="222"/>
      <c r="B2078" s="235"/>
      <c r="C2078" s="227"/>
      <c r="D2078" s="344"/>
      <c r="E2078" s="235"/>
      <c r="F2078" s="235"/>
      <c r="G2078" s="227"/>
      <c r="H2078" s="227"/>
      <c r="I2078" s="350"/>
      <c r="J2078" s="227"/>
      <c r="K2078" s="227"/>
      <c r="L2078" s="224"/>
      <c r="M2078" s="224"/>
      <c r="N2078" s="224"/>
      <c r="O2078" s="224"/>
      <c r="P2078" s="224"/>
      <c r="Q2078" s="224"/>
      <c r="R2078" s="224"/>
      <c r="S2078" s="224"/>
      <c r="T2078" s="224"/>
      <c r="U2078" s="224"/>
      <c r="V2078" s="224"/>
    </row>
    <row r="2079" spans="1:22" x14ac:dyDescent="0.3">
      <c r="A2079" s="222"/>
      <c r="B2079" s="235"/>
      <c r="C2079" s="227"/>
      <c r="D2079" s="344"/>
      <c r="E2079" s="235"/>
      <c r="F2079" s="235"/>
      <c r="G2079" s="227"/>
      <c r="H2079" s="227"/>
      <c r="I2079" s="350"/>
      <c r="J2079" s="227"/>
      <c r="K2079" s="227"/>
      <c r="L2079" s="224"/>
      <c r="M2079" s="224"/>
      <c r="N2079" s="224"/>
      <c r="O2079" s="224"/>
      <c r="P2079" s="224"/>
      <c r="Q2079" s="224"/>
      <c r="R2079" s="224"/>
      <c r="S2079" s="224"/>
      <c r="T2079" s="224"/>
      <c r="U2079" s="224"/>
      <c r="V2079" s="224"/>
    </row>
    <row r="2080" spans="1:22" x14ac:dyDescent="0.3">
      <c r="A2080" s="222"/>
      <c r="B2080" s="235"/>
      <c r="C2080" s="227"/>
      <c r="D2080" s="344"/>
      <c r="E2080" s="235"/>
      <c r="F2080" s="235"/>
      <c r="G2080" s="227"/>
      <c r="H2080" s="227"/>
      <c r="I2080" s="350"/>
      <c r="J2080" s="227"/>
      <c r="K2080" s="227"/>
      <c r="L2080" s="224"/>
      <c r="M2080" s="224"/>
      <c r="N2080" s="224"/>
      <c r="O2080" s="224"/>
      <c r="P2080" s="224"/>
      <c r="Q2080" s="224"/>
      <c r="R2080" s="224"/>
      <c r="S2080" s="224"/>
      <c r="T2080" s="224"/>
      <c r="U2080" s="224"/>
      <c r="V2080" s="224"/>
    </row>
    <row r="2081" spans="1:22" x14ac:dyDescent="0.3">
      <c r="A2081" s="222"/>
      <c r="B2081" s="235"/>
      <c r="C2081" s="227"/>
      <c r="D2081" s="344"/>
      <c r="E2081" s="235"/>
      <c r="F2081" s="235"/>
      <c r="G2081" s="227"/>
      <c r="H2081" s="227"/>
      <c r="I2081" s="350"/>
      <c r="J2081" s="227"/>
      <c r="K2081" s="227"/>
      <c r="L2081" s="224"/>
      <c r="M2081" s="224"/>
      <c r="N2081" s="224"/>
      <c r="O2081" s="224"/>
      <c r="P2081" s="224"/>
      <c r="Q2081" s="224"/>
      <c r="R2081" s="224"/>
      <c r="S2081" s="224"/>
      <c r="T2081" s="224"/>
      <c r="U2081" s="224"/>
      <c r="V2081" s="224"/>
    </row>
    <row r="2082" spans="1:22" x14ac:dyDescent="0.3">
      <c r="A2082" s="222"/>
      <c r="B2082" s="235"/>
      <c r="C2082" s="227"/>
      <c r="D2082" s="344"/>
      <c r="E2082" s="235"/>
      <c r="F2082" s="235"/>
      <c r="G2082" s="227"/>
      <c r="H2082" s="227"/>
      <c r="I2082" s="350"/>
      <c r="J2082" s="227"/>
      <c r="K2082" s="227"/>
      <c r="L2082" s="224"/>
      <c r="M2082" s="224"/>
      <c r="N2082" s="224"/>
      <c r="O2082" s="224"/>
      <c r="P2082" s="224"/>
      <c r="Q2082" s="224"/>
      <c r="R2082" s="224"/>
      <c r="S2082" s="224"/>
      <c r="T2082" s="224"/>
      <c r="U2082" s="224"/>
      <c r="V2082" s="224"/>
    </row>
    <row r="2083" spans="1:22" x14ac:dyDescent="0.3">
      <c r="A2083" s="222"/>
      <c r="B2083" s="235"/>
      <c r="C2083" s="227"/>
      <c r="D2083" s="344"/>
      <c r="E2083" s="235"/>
      <c r="F2083" s="235"/>
      <c r="G2083" s="227"/>
      <c r="H2083" s="227"/>
      <c r="I2083" s="350"/>
      <c r="J2083" s="227"/>
      <c r="K2083" s="227"/>
      <c r="L2083" s="224"/>
      <c r="M2083" s="224"/>
      <c r="N2083" s="224"/>
      <c r="O2083" s="224"/>
      <c r="P2083" s="224"/>
      <c r="Q2083" s="224"/>
      <c r="R2083" s="224"/>
      <c r="S2083" s="224"/>
      <c r="T2083" s="224"/>
      <c r="U2083" s="224"/>
      <c r="V2083" s="224"/>
    </row>
    <row r="2084" spans="1:22" x14ac:dyDescent="0.3">
      <c r="A2084" s="222"/>
      <c r="B2084" s="235"/>
      <c r="C2084" s="227"/>
      <c r="D2084" s="344"/>
      <c r="E2084" s="235"/>
      <c r="F2084" s="235"/>
      <c r="G2084" s="227"/>
      <c r="H2084" s="227"/>
      <c r="I2084" s="350"/>
      <c r="J2084" s="227"/>
      <c r="K2084" s="227"/>
      <c r="L2084" s="224"/>
      <c r="M2084" s="224"/>
      <c r="N2084" s="224"/>
      <c r="O2084" s="224"/>
      <c r="P2084" s="224"/>
      <c r="Q2084" s="224"/>
      <c r="R2084" s="224"/>
      <c r="S2084" s="224"/>
      <c r="T2084" s="224"/>
      <c r="U2084" s="224"/>
      <c r="V2084" s="224"/>
    </row>
    <row r="2085" spans="1:22" x14ac:dyDescent="0.3">
      <c r="A2085" s="222"/>
      <c r="B2085" s="235"/>
      <c r="C2085" s="227"/>
      <c r="D2085" s="344"/>
      <c r="E2085" s="235"/>
      <c r="F2085" s="235"/>
      <c r="G2085" s="227"/>
      <c r="H2085" s="227"/>
      <c r="I2085" s="350"/>
      <c r="J2085" s="227"/>
      <c r="K2085" s="227"/>
      <c r="L2085" s="224"/>
      <c r="M2085" s="224"/>
      <c r="N2085" s="224"/>
      <c r="O2085" s="224"/>
      <c r="P2085" s="224"/>
      <c r="Q2085" s="224"/>
      <c r="R2085" s="224"/>
      <c r="S2085" s="224"/>
      <c r="T2085" s="224"/>
      <c r="U2085" s="224"/>
      <c r="V2085" s="224"/>
    </row>
    <row r="2086" spans="1:22" x14ac:dyDescent="0.3">
      <c r="A2086" s="222"/>
      <c r="B2086" s="235"/>
      <c r="C2086" s="227"/>
      <c r="D2086" s="344"/>
      <c r="E2086" s="235"/>
      <c r="F2086" s="235"/>
      <c r="G2086" s="227"/>
      <c r="H2086" s="227"/>
      <c r="I2086" s="350"/>
      <c r="J2086" s="227"/>
      <c r="K2086" s="227"/>
      <c r="L2086" s="224"/>
      <c r="M2086" s="224"/>
      <c r="N2086" s="224"/>
      <c r="O2086" s="224"/>
      <c r="P2086" s="224"/>
      <c r="Q2086" s="224"/>
      <c r="R2086" s="224"/>
      <c r="S2086" s="224"/>
      <c r="T2086" s="224"/>
      <c r="U2086" s="224"/>
      <c r="V2086" s="224"/>
    </row>
    <row r="2087" spans="1:22" x14ac:dyDescent="0.3">
      <c r="A2087" s="222"/>
      <c r="B2087" s="235"/>
      <c r="C2087" s="227"/>
      <c r="D2087" s="344"/>
      <c r="E2087" s="235"/>
      <c r="F2087" s="235"/>
      <c r="G2087" s="227"/>
      <c r="H2087" s="227"/>
      <c r="I2087" s="350"/>
      <c r="J2087" s="227"/>
      <c r="K2087" s="227"/>
      <c r="L2087" s="224"/>
      <c r="M2087" s="224"/>
      <c r="N2087" s="224"/>
      <c r="O2087" s="224"/>
      <c r="P2087" s="224"/>
      <c r="Q2087" s="224"/>
      <c r="R2087" s="224"/>
      <c r="S2087" s="224"/>
      <c r="T2087" s="224"/>
      <c r="U2087" s="224"/>
      <c r="V2087" s="224"/>
    </row>
    <row r="2088" spans="1:22" x14ac:dyDescent="0.3">
      <c r="A2088" s="222"/>
      <c r="B2088" s="235"/>
      <c r="C2088" s="227"/>
      <c r="D2088" s="344"/>
      <c r="E2088" s="235"/>
      <c r="F2088" s="235"/>
      <c r="G2088" s="227"/>
      <c r="H2088" s="227"/>
      <c r="I2088" s="350"/>
      <c r="J2088" s="227"/>
      <c r="K2088" s="227"/>
      <c r="L2088" s="224"/>
      <c r="M2088" s="224"/>
      <c r="N2088" s="224"/>
      <c r="O2088" s="224"/>
      <c r="P2088" s="224"/>
      <c r="Q2088" s="224"/>
      <c r="R2088" s="224"/>
      <c r="S2088" s="224"/>
      <c r="T2088" s="224"/>
      <c r="U2088" s="224"/>
      <c r="V2088" s="224"/>
    </row>
    <row r="2089" spans="1:22" x14ac:dyDescent="0.3">
      <c r="A2089" s="222"/>
      <c r="B2089" s="235"/>
      <c r="C2089" s="227"/>
      <c r="D2089" s="344"/>
      <c r="E2089" s="235"/>
      <c r="F2089" s="235"/>
      <c r="G2089" s="227"/>
      <c r="H2089" s="227"/>
      <c r="I2089" s="350"/>
      <c r="J2089" s="227"/>
      <c r="K2089" s="227"/>
      <c r="L2089" s="224"/>
      <c r="M2089" s="224"/>
      <c r="N2089" s="224"/>
      <c r="O2089" s="224"/>
      <c r="P2089" s="224"/>
      <c r="Q2089" s="224"/>
      <c r="R2089" s="224"/>
      <c r="S2089" s="224"/>
      <c r="T2089" s="224"/>
      <c r="U2089" s="224"/>
      <c r="V2089" s="224"/>
    </row>
    <row r="2090" spans="1:22" x14ac:dyDescent="0.3">
      <c r="A2090" s="222"/>
      <c r="B2090" s="235"/>
      <c r="C2090" s="227"/>
      <c r="D2090" s="344"/>
      <c r="E2090" s="235"/>
      <c r="F2090" s="235"/>
      <c r="G2090" s="227"/>
      <c r="H2090" s="227"/>
      <c r="I2090" s="350"/>
      <c r="J2090" s="227"/>
      <c r="K2090" s="227"/>
      <c r="L2090" s="224"/>
      <c r="M2090" s="224"/>
      <c r="N2090" s="224"/>
      <c r="O2090" s="224"/>
      <c r="P2090" s="224"/>
      <c r="Q2090" s="224"/>
      <c r="R2090" s="224"/>
      <c r="S2090" s="224"/>
      <c r="T2090" s="224"/>
      <c r="U2090" s="224"/>
      <c r="V2090" s="224"/>
    </row>
    <row r="2091" spans="1:22" x14ac:dyDescent="0.3">
      <c r="A2091" s="222"/>
      <c r="B2091" s="235"/>
      <c r="C2091" s="227"/>
      <c r="D2091" s="344"/>
      <c r="E2091" s="235"/>
      <c r="F2091" s="235"/>
      <c r="G2091" s="227"/>
      <c r="H2091" s="227"/>
      <c r="I2091" s="350"/>
      <c r="J2091" s="227"/>
      <c r="K2091" s="227"/>
      <c r="L2091" s="224"/>
      <c r="M2091" s="224"/>
      <c r="N2091" s="224"/>
      <c r="O2091" s="224"/>
      <c r="P2091" s="224"/>
      <c r="Q2091" s="224"/>
      <c r="R2091" s="224"/>
      <c r="S2091" s="224"/>
      <c r="T2091" s="224"/>
      <c r="U2091" s="224"/>
      <c r="V2091" s="224"/>
    </row>
    <row r="2092" spans="1:22" x14ac:dyDescent="0.3">
      <c r="A2092" s="222"/>
      <c r="B2092" s="235"/>
      <c r="C2092" s="227"/>
      <c r="D2092" s="344"/>
      <c r="E2092" s="235"/>
      <c r="F2092" s="235"/>
      <c r="G2092" s="227"/>
      <c r="H2092" s="227"/>
      <c r="I2092" s="350"/>
      <c r="J2092" s="227"/>
      <c r="K2092" s="227"/>
      <c r="L2092" s="224"/>
      <c r="M2092" s="224"/>
      <c r="N2092" s="224"/>
      <c r="O2092" s="224"/>
      <c r="P2092" s="224"/>
      <c r="Q2092" s="224"/>
      <c r="R2092" s="224"/>
      <c r="S2092" s="224"/>
      <c r="T2092" s="224"/>
      <c r="U2092" s="224"/>
      <c r="V2092" s="224"/>
    </row>
    <row r="2093" spans="1:22" x14ac:dyDescent="0.3">
      <c r="A2093" s="222"/>
      <c r="B2093" s="235"/>
      <c r="C2093" s="227"/>
      <c r="D2093" s="344"/>
      <c r="E2093" s="235"/>
      <c r="F2093" s="235"/>
      <c r="G2093" s="227"/>
      <c r="H2093" s="227"/>
      <c r="I2093" s="350"/>
      <c r="J2093" s="227"/>
      <c r="K2093" s="227"/>
      <c r="L2093" s="224"/>
      <c r="M2093" s="224"/>
      <c r="N2093" s="224"/>
      <c r="O2093" s="224"/>
      <c r="P2093" s="224"/>
      <c r="Q2093" s="224"/>
      <c r="R2093" s="224"/>
      <c r="S2093" s="224"/>
      <c r="T2093" s="224"/>
      <c r="U2093" s="224"/>
      <c r="V2093" s="224"/>
    </row>
    <row r="2094" spans="1:22" x14ac:dyDescent="0.3">
      <c r="A2094" s="222"/>
      <c r="B2094" s="235"/>
      <c r="C2094" s="227"/>
      <c r="D2094" s="344"/>
      <c r="E2094" s="235"/>
      <c r="F2094" s="235"/>
      <c r="G2094" s="227"/>
      <c r="H2094" s="227"/>
      <c r="I2094" s="350"/>
      <c r="J2094" s="227"/>
      <c r="K2094" s="227"/>
      <c r="L2094" s="224"/>
      <c r="M2094" s="224"/>
      <c r="N2094" s="224"/>
      <c r="O2094" s="224"/>
      <c r="P2094" s="224"/>
      <c r="Q2094" s="224"/>
      <c r="R2094" s="224"/>
      <c r="S2094" s="224"/>
      <c r="T2094" s="224"/>
      <c r="U2094" s="224"/>
      <c r="V2094" s="224"/>
    </row>
    <row r="2095" spans="1:22" x14ac:dyDescent="0.3">
      <c r="A2095" s="222"/>
      <c r="B2095" s="235"/>
      <c r="C2095" s="227"/>
      <c r="D2095" s="344"/>
      <c r="E2095" s="235"/>
      <c r="F2095" s="235"/>
      <c r="G2095" s="227"/>
      <c r="H2095" s="227"/>
      <c r="I2095" s="350"/>
      <c r="J2095" s="227"/>
      <c r="K2095" s="227"/>
      <c r="L2095" s="224"/>
      <c r="M2095" s="224"/>
      <c r="N2095" s="224"/>
      <c r="O2095" s="224"/>
      <c r="P2095" s="224"/>
      <c r="Q2095" s="224"/>
      <c r="R2095" s="224"/>
      <c r="S2095" s="224"/>
      <c r="T2095" s="224"/>
      <c r="U2095" s="224"/>
      <c r="V2095" s="224"/>
    </row>
    <row r="2096" spans="1:22" x14ac:dyDescent="0.3">
      <c r="A2096" s="222"/>
      <c r="B2096" s="235"/>
      <c r="C2096" s="227"/>
      <c r="D2096" s="344"/>
      <c r="E2096" s="235"/>
      <c r="F2096" s="235"/>
      <c r="G2096" s="227"/>
      <c r="H2096" s="227"/>
      <c r="I2096" s="350"/>
      <c r="J2096" s="227"/>
      <c r="K2096" s="227"/>
      <c r="L2096" s="224"/>
      <c r="M2096" s="224"/>
      <c r="N2096" s="224"/>
      <c r="O2096" s="224"/>
      <c r="P2096" s="224"/>
      <c r="Q2096" s="224"/>
      <c r="R2096" s="224"/>
      <c r="S2096" s="224"/>
      <c r="T2096" s="224"/>
      <c r="U2096" s="224"/>
      <c r="V2096" s="224"/>
    </row>
    <row r="2097" spans="1:22" x14ac:dyDescent="0.3">
      <c r="A2097" s="222"/>
      <c r="B2097" s="235"/>
      <c r="C2097" s="227"/>
      <c r="D2097" s="344"/>
      <c r="E2097" s="235"/>
      <c r="F2097" s="235"/>
      <c r="G2097" s="227"/>
      <c r="H2097" s="227"/>
      <c r="I2097" s="350"/>
      <c r="J2097" s="227"/>
      <c r="K2097" s="227"/>
      <c r="L2097" s="224"/>
      <c r="M2097" s="224"/>
      <c r="N2097" s="224"/>
      <c r="O2097" s="224"/>
      <c r="P2097" s="224"/>
      <c r="Q2097" s="224"/>
      <c r="R2097" s="224"/>
      <c r="S2097" s="224"/>
      <c r="T2097" s="224"/>
      <c r="U2097" s="224"/>
      <c r="V2097" s="224"/>
    </row>
    <row r="2098" spans="1:22" x14ac:dyDescent="0.3">
      <c r="A2098" s="222"/>
      <c r="B2098" s="235"/>
      <c r="C2098" s="227"/>
      <c r="D2098" s="344"/>
      <c r="E2098" s="235"/>
      <c r="F2098" s="235"/>
      <c r="G2098" s="227"/>
      <c r="H2098" s="227"/>
      <c r="I2098" s="350"/>
      <c r="J2098" s="227"/>
      <c r="K2098" s="227"/>
      <c r="L2098" s="224"/>
      <c r="M2098" s="224"/>
      <c r="N2098" s="224"/>
      <c r="O2098" s="224"/>
      <c r="P2098" s="224"/>
      <c r="Q2098" s="224"/>
      <c r="R2098" s="224"/>
      <c r="S2098" s="224"/>
      <c r="T2098" s="224"/>
      <c r="U2098" s="224"/>
      <c r="V2098" s="224"/>
    </row>
    <row r="2099" spans="1:22" x14ac:dyDescent="0.3">
      <c r="A2099" s="222"/>
      <c r="B2099" s="235"/>
      <c r="C2099" s="227"/>
      <c r="D2099" s="344"/>
      <c r="E2099" s="235"/>
      <c r="F2099" s="235"/>
      <c r="G2099" s="227"/>
      <c r="H2099" s="227"/>
      <c r="I2099" s="350"/>
      <c r="J2099" s="227"/>
      <c r="K2099" s="227"/>
      <c r="L2099" s="224"/>
      <c r="M2099" s="224"/>
      <c r="N2099" s="224"/>
      <c r="O2099" s="224"/>
      <c r="P2099" s="224"/>
      <c r="Q2099" s="224"/>
      <c r="R2099" s="224"/>
      <c r="S2099" s="224"/>
      <c r="T2099" s="224"/>
      <c r="U2099" s="224"/>
      <c r="V2099" s="224"/>
    </row>
    <row r="2100" spans="1:22" x14ac:dyDescent="0.3">
      <c r="A2100" s="222"/>
      <c r="B2100" s="235"/>
      <c r="C2100" s="227"/>
      <c r="D2100" s="344"/>
      <c r="E2100" s="235"/>
      <c r="F2100" s="235"/>
      <c r="G2100" s="227"/>
      <c r="H2100" s="227"/>
      <c r="I2100" s="350"/>
      <c r="J2100" s="227"/>
      <c r="K2100" s="227"/>
      <c r="L2100" s="224"/>
      <c r="M2100" s="224"/>
      <c r="N2100" s="224"/>
      <c r="O2100" s="224"/>
      <c r="P2100" s="224"/>
      <c r="Q2100" s="224"/>
      <c r="R2100" s="224"/>
      <c r="S2100" s="224"/>
      <c r="T2100" s="224"/>
      <c r="U2100" s="224"/>
      <c r="V2100" s="224"/>
    </row>
    <row r="2101" spans="1:22" x14ac:dyDescent="0.3">
      <c r="A2101" s="222"/>
      <c r="B2101" s="235"/>
      <c r="C2101" s="227"/>
      <c r="D2101" s="344"/>
      <c r="E2101" s="235"/>
      <c r="F2101" s="235"/>
      <c r="G2101" s="227"/>
      <c r="H2101" s="227"/>
      <c r="I2101" s="350"/>
      <c r="J2101" s="227"/>
      <c r="K2101" s="227"/>
      <c r="L2101" s="224"/>
      <c r="M2101" s="224"/>
      <c r="N2101" s="224"/>
      <c r="O2101" s="224"/>
      <c r="P2101" s="224"/>
      <c r="Q2101" s="224"/>
      <c r="R2101" s="224"/>
      <c r="S2101" s="224"/>
      <c r="T2101" s="224"/>
      <c r="U2101" s="224"/>
      <c r="V2101" s="224"/>
    </row>
    <row r="2102" spans="1:22" x14ac:dyDescent="0.3">
      <c r="A2102" s="222"/>
      <c r="B2102" s="235"/>
      <c r="C2102" s="227"/>
      <c r="D2102" s="344"/>
      <c r="E2102" s="235"/>
      <c r="F2102" s="235"/>
      <c r="G2102" s="227"/>
      <c r="H2102" s="227"/>
      <c r="I2102" s="350"/>
      <c r="J2102" s="227"/>
      <c r="K2102" s="227"/>
      <c r="L2102" s="224"/>
      <c r="M2102" s="224"/>
      <c r="N2102" s="224"/>
      <c r="O2102" s="224"/>
      <c r="P2102" s="224"/>
      <c r="Q2102" s="224"/>
      <c r="R2102" s="224"/>
      <c r="S2102" s="224"/>
      <c r="T2102" s="224"/>
      <c r="U2102" s="224"/>
      <c r="V2102" s="224"/>
    </row>
    <row r="2103" spans="1:22" x14ac:dyDescent="0.3">
      <c r="A2103" s="222"/>
      <c r="B2103" s="235"/>
      <c r="C2103" s="227"/>
      <c r="D2103" s="344"/>
      <c r="E2103" s="235"/>
      <c r="F2103" s="235"/>
      <c r="G2103" s="227"/>
      <c r="H2103" s="227"/>
      <c r="I2103" s="350"/>
      <c r="J2103" s="227"/>
      <c r="K2103" s="227"/>
      <c r="L2103" s="224"/>
      <c r="M2103" s="224"/>
      <c r="N2103" s="224"/>
      <c r="O2103" s="224"/>
      <c r="P2103" s="224"/>
      <c r="Q2103" s="224"/>
      <c r="R2103" s="224"/>
      <c r="S2103" s="224"/>
      <c r="T2103" s="224"/>
      <c r="U2103" s="224"/>
      <c r="V2103" s="224"/>
    </row>
    <row r="2104" spans="1:22" x14ac:dyDescent="0.3">
      <c r="A2104" s="222"/>
      <c r="B2104" s="235"/>
      <c r="C2104" s="227"/>
      <c r="D2104" s="344"/>
      <c r="E2104" s="235"/>
      <c r="F2104" s="235"/>
      <c r="G2104" s="227"/>
      <c r="H2104" s="227"/>
      <c r="I2104" s="350"/>
      <c r="J2104" s="227"/>
      <c r="K2104" s="227"/>
      <c r="L2104" s="224"/>
      <c r="M2104" s="224"/>
      <c r="N2104" s="224"/>
      <c r="O2104" s="224"/>
      <c r="P2104" s="224"/>
      <c r="Q2104" s="224"/>
      <c r="R2104" s="224"/>
      <c r="S2104" s="224"/>
      <c r="T2104" s="224"/>
      <c r="U2104" s="224"/>
      <c r="V2104" s="224"/>
    </row>
    <row r="2105" spans="1:22" x14ac:dyDescent="0.3">
      <c r="A2105" s="222"/>
      <c r="B2105" s="235"/>
      <c r="C2105" s="227"/>
      <c r="D2105" s="344"/>
      <c r="E2105" s="235"/>
      <c r="F2105" s="235"/>
      <c r="G2105" s="227"/>
      <c r="H2105" s="227"/>
      <c r="I2105" s="350"/>
      <c r="J2105" s="227"/>
      <c r="K2105" s="227"/>
      <c r="L2105" s="224"/>
      <c r="M2105" s="224"/>
      <c r="N2105" s="224"/>
      <c r="O2105" s="224"/>
      <c r="P2105" s="224"/>
      <c r="Q2105" s="224"/>
      <c r="R2105" s="224"/>
      <c r="S2105" s="224"/>
      <c r="T2105" s="224"/>
      <c r="U2105" s="224"/>
      <c r="V2105" s="224"/>
    </row>
    <row r="2106" spans="1:22" x14ac:dyDescent="0.3">
      <c r="A2106" s="222"/>
      <c r="B2106" s="235"/>
      <c r="C2106" s="227"/>
      <c r="D2106" s="344"/>
      <c r="E2106" s="235"/>
      <c r="F2106" s="235"/>
      <c r="G2106" s="227"/>
      <c r="H2106" s="227"/>
      <c r="I2106" s="350"/>
      <c r="J2106" s="227"/>
      <c r="K2106" s="227"/>
      <c r="L2106" s="224"/>
      <c r="M2106" s="224"/>
      <c r="N2106" s="224"/>
      <c r="O2106" s="224"/>
      <c r="P2106" s="224"/>
      <c r="Q2106" s="224"/>
      <c r="R2106" s="224"/>
      <c r="S2106" s="224"/>
      <c r="T2106" s="224"/>
      <c r="U2106" s="224"/>
      <c r="V2106" s="224"/>
    </row>
    <row r="2107" spans="1:22" x14ac:dyDescent="0.3">
      <c r="A2107" s="222"/>
      <c r="B2107" s="235"/>
      <c r="C2107" s="227"/>
      <c r="D2107" s="344"/>
      <c r="E2107" s="235"/>
      <c r="F2107" s="235"/>
      <c r="G2107" s="227"/>
      <c r="H2107" s="227"/>
      <c r="I2107" s="350"/>
      <c r="J2107" s="227"/>
      <c r="K2107" s="227"/>
      <c r="L2107" s="224"/>
      <c r="M2107" s="224"/>
      <c r="N2107" s="224"/>
      <c r="O2107" s="224"/>
      <c r="P2107" s="224"/>
      <c r="Q2107" s="224"/>
      <c r="R2107" s="224"/>
      <c r="S2107" s="224"/>
      <c r="T2107" s="224"/>
      <c r="U2107" s="224"/>
      <c r="V2107" s="224"/>
    </row>
    <row r="2108" spans="1:22" x14ac:dyDescent="0.3">
      <c r="A2108" s="222"/>
      <c r="B2108" s="235"/>
      <c r="C2108" s="227"/>
      <c r="D2108" s="344"/>
      <c r="E2108" s="235"/>
      <c r="F2108" s="235"/>
      <c r="G2108" s="227"/>
      <c r="H2108" s="227"/>
      <c r="I2108" s="350"/>
      <c r="J2108" s="227"/>
      <c r="K2108" s="227"/>
      <c r="L2108" s="224"/>
      <c r="M2108" s="224"/>
      <c r="N2108" s="224"/>
      <c r="O2108" s="224"/>
      <c r="P2108" s="224"/>
      <c r="Q2108" s="224"/>
      <c r="R2108" s="224"/>
      <c r="S2108" s="224"/>
      <c r="T2108" s="224"/>
      <c r="U2108" s="224"/>
      <c r="V2108" s="224"/>
    </row>
    <row r="2109" spans="1:22" x14ac:dyDescent="0.3">
      <c r="A2109" s="222"/>
      <c r="B2109" s="235"/>
      <c r="C2109" s="227"/>
      <c r="D2109" s="344"/>
      <c r="E2109" s="235"/>
      <c r="F2109" s="235"/>
      <c r="G2109" s="227"/>
      <c r="H2109" s="227"/>
      <c r="I2109" s="350"/>
      <c r="J2109" s="227"/>
      <c r="K2109" s="227"/>
      <c r="L2109" s="224"/>
      <c r="M2109" s="224"/>
      <c r="N2109" s="224"/>
      <c r="O2109" s="224"/>
      <c r="P2109" s="224"/>
      <c r="Q2109" s="224"/>
      <c r="R2109" s="224"/>
      <c r="S2109" s="224"/>
      <c r="T2109" s="224"/>
      <c r="U2109" s="224"/>
      <c r="V2109" s="224"/>
    </row>
    <row r="2110" spans="1:22" x14ac:dyDescent="0.3">
      <c r="A2110" s="222"/>
      <c r="B2110" s="235"/>
      <c r="C2110" s="227"/>
      <c r="D2110" s="344"/>
      <c r="E2110" s="235"/>
      <c r="F2110" s="235"/>
      <c r="G2110" s="227"/>
      <c r="H2110" s="227"/>
      <c r="I2110" s="350"/>
      <c r="J2110" s="227"/>
      <c r="K2110" s="227"/>
      <c r="L2110" s="224"/>
      <c r="M2110" s="224"/>
      <c r="N2110" s="224"/>
      <c r="O2110" s="224"/>
      <c r="P2110" s="224"/>
      <c r="Q2110" s="224"/>
      <c r="R2110" s="224"/>
      <c r="S2110" s="224"/>
      <c r="T2110" s="224"/>
      <c r="U2110" s="224"/>
      <c r="V2110" s="224"/>
    </row>
    <row r="2111" spans="1:22" x14ac:dyDescent="0.3">
      <c r="A2111" s="222"/>
      <c r="B2111" s="235"/>
      <c r="C2111" s="227"/>
      <c r="D2111" s="344"/>
      <c r="E2111" s="235"/>
      <c r="F2111" s="235"/>
      <c r="G2111" s="227"/>
      <c r="H2111" s="227"/>
      <c r="I2111" s="350"/>
      <c r="J2111" s="227"/>
      <c r="K2111" s="227"/>
      <c r="L2111" s="224"/>
      <c r="M2111" s="224"/>
      <c r="N2111" s="224"/>
      <c r="O2111" s="224"/>
      <c r="P2111" s="224"/>
      <c r="Q2111" s="224"/>
      <c r="R2111" s="224"/>
      <c r="S2111" s="224"/>
      <c r="T2111" s="224"/>
      <c r="U2111" s="224"/>
      <c r="V2111" s="224"/>
    </row>
    <row r="2112" spans="1:22" x14ac:dyDescent="0.3">
      <c r="A2112" s="222"/>
      <c r="B2112" s="235"/>
      <c r="C2112" s="227"/>
      <c r="D2112" s="344"/>
      <c r="E2112" s="235"/>
      <c r="F2112" s="235"/>
      <c r="G2112" s="227"/>
      <c r="H2112" s="227"/>
      <c r="I2112" s="350"/>
      <c r="J2112" s="227"/>
      <c r="K2112" s="227"/>
      <c r="L2112" s="224"/>
      <c r="M2112" s="224"/>
      <c r="N2112" s="224"/>
      <c r="O2112" s="224"/>
      <c r="P2112" s="224"/>
      <c r="Q2112" s="224"/>
      <c r="R2112" s="224"/>
      <c r="S2112" s="224"/>
      <c r="T2112" s="224"/>
      <c r="U2112" s="224"/>
      <c r="V2112" s="224"/>
    </row>
    <row r="2113" spans="1:22" x14ac:dyDescent="0.3">
      <c r="A2113" s="222"/>
      <c r="B2113" s="235"/>
      <c r="C2113" s="227"/>
      <c r="D2113" s="344"/>
      <c r="E2113" s="235"/>
      <c r="F2113" s="235"/>
      <c r="G2113" s="227"/>
      <c r="H2113" s="227"/>
      <c r="I2113" s="350"/>
      <c r="J2113" s="227"/>
      <c r="K2113" s="227"/>
      <c r="L2113" s="224"/>
      <c r="M2113" s="224"/>
      <c r="N2113" s="224"/>
      <c r="O2113" s="224"/>
      <c r="P2113" s="224"/>
      <c r="Q2113" s="224"/>
      <c r="R2113" s="224"/>
      <c r="S2113" s="224"/>
      <c r="T2113" s="224"/>
      <c r="U2113" s="224"/>
      <c r="V2113" s="224"/>
    </row>
    <row r="2114" spans="1:22" x14ac:dyDescent="0.3">
      <c r="A2114" s="222"/>
      <c r="B2114" s="235"/>
      <c r="C2114" s="227"/>
      <c r="D2114" s="344"/>
      <c r="E2114" s="235"/>
      <c r="F2114" s="235"/>
      <c r="G2114" s="227"/>
      <c r="H2114" s="227"/>
      <c r="I2114" s="350"/>
      <c r="J2114" s="227"/>
      <c r="K2114" s="227"/>
      <c r="L2114" s="224"/>
      <c r="M2114" s="224"/>
      <c r="N2114" s="224"/>
      <c r="O2114" s="224"/>
      <c r="P2114" s="224"/>
      <c r="Q2114" s="224"/>
      <c r="R2114" s="224"/>
      <c r="S2114" s="224"/>
      <c r="T2114" s="224"/>
      <c r="U2114" s="224"/>
      <c r="V2114" s="224"/>
    </row>
    <row r="2115" spans="1:22" x14ac:dyDescent="0.3">
      <c r="A2115" s="222"/>
      <c r="B2115" s="235"/>
      <c r="C2115" s="227"/>
      <c r="D2115" s="344"/>
      <c r="E2115" s="235"/>
      <c r="F2115" s="235"/>
      <c r="G2115" s="227"/>
      <c r="H2115" s="227"/>
      <c r="I2115" s="350"/>
      <c r="J2115" s="227"/>
      <c r="K2115" s="227"/>
      <c r="L2115" s="224"/>
      <c r="M2115" s="224"/>
      <c r="N2115" s="224"/>
      <c r="O2115" s="224"/>
      <c r="P2115" s="224"/>
      <c r="Q2115" s="224"/>
      <c r="R2115" s="224"/>
      <c r="S2115" s="224"/>
      <c r="T2115" s="224"/>
      <c r="U2115" s="224"/>
      <c r="V2115" s="224"/>
    </row>
    <row r="2116" spans="1:22" x14ac:dyDescent="0.3">
      <c r="A2116" s="222"/>
      <c r="B2116" s="235"/>
      <c r="C2116" s="227"/>
      <c r="D2116" s="344"/>
      <c r="E2116" s="235"/>
      <c r="F2116" s="235"/>
      <c r="G2116" s="227"/>
      <c r="H2116" s="227"/>
      <c r="I2116" s="350"/>
      <c r="J2116" s="227"/>
      <c r="K2116" s="227"/>
      <c r="L2116" s="224"/>
      <c r="M2116" s="224"/>
      <c r="N2116" s="224"/>
      <c r="O2116" s="224"/>
      <c r="P2116" s="224"/>
      <c r="Q2116" s="224"/>
      <c r="R2116" s="224"/>
      <c r="S2116" s="224"/>
      <c r="T2116" s="224"/>
      <c r="U2116" s="224"/>
      <c r="V2116" s="224"/>
    </row>
    <row r="2117" spans="1:22" x14ac:dyDescent="0.3">
      <c r="A2117" s="222"/>
      <c r="B2117" s="235"/>
      <c r="C2117" s="227"/>
      <c r="D2117" s="344"/>
      <c r="E2117" s="235"/>
      <c r="F2117" s="235"/>
      <c r="G2117" s="227"/>
      <c r="H2117" s="227"/>
      <c r="I2117" s="350"/>
      <c r="J2117" s="227"/>
      <c r="K2117" s="227"/>
      <c r="L2117" s="224"/>
      <c r="M2117" s="224"/>
      <c r="N2117" s="224"/>
      <c r="O2117" s="224"/>
      <c r="P2117" s="224"/>
      <c r="Q2117" s="224"/>
      <c r="R2117" s="224"/>
      <c r="S2117" s="224"/>
      <c r="T2117" s="224"/>
      <c r="U2117" s="224"/>
      <c r="V2117" s="224"/>
    </row>
    <row r="2118" spans="1:22" x14ac:dyDescent="0.3">
      <c r="A2118" s="222"/>
      <c r="B2118" s="235"/>
      <c r="C2118" s="227"/>
      <c r="D2118" s="344"/>
      <c r="E2118" s="235"/>
      <c r="F2118" s="235"/>
      <c r="G2118" s="227"/>
      <c r="H2118" s="227"/>
      <c r="I2118" s="350"/>
      <c r="J2118" s="227"/>
      <c r="K2118" s="227"/>
      <c r="L2118" s="224"/>
      <c r="M2118" s="224"/>
      <c r="N2118" s="224"/>
      <c r="O2118" s="224"/>
      <c r="P2118" s="224"/>
      <c r="Q2118" s="224"/>
      <c r="R2118" s="224"/>
      <c r="S2118" s="224"/>
      <c r="T2118" s="224"/>
      <c r="U2118" s="224"/>
      <c r="V2118" s="224"/>
    </row>
    <row r="2119" spans="1:22" x14ac:dyDescent="0.3">
      <c r="A2119" s="222"/>
      <c r="B2119" s="235"/>
      <c r="C2119" s="227"/>
      <c r="D2119" s="344"/>
      <c r="E2119" s="235"/>
      <c r="F2119" s="235"/>
      <c r="G2119" s="227"/>
      <c r="H2119" s="227"/>
      <c r="I2119" s="350"/>
      <c r="J2119" s="227"/>
      <c r="K2119" s="227"/>
      <c r="L2119" s="224"/>
      <c r="M2119" s="224"/>
      <c r="N2119" s="224"/>
      <c r="O2119" s="224"/>
      <c r="P2119" s="224"/>
      <c r="Q2119" s="224"/>
      <c r="R2119" s="224"/>
      <c r="S2119" s="224"/>
      <c r="T2119" s="224"/>
      <c r="U2119" s="224"/>
      <c r="V2119" s="224"/>
    </row>
    <row r="2120" spans="1:22" x14ac:dyDescent="0.3">
      <c r="A2120" s="222"/>
      <c r="B2120" s="235"/>
      <c r="C2120" s="227"/>
      <c r="D2120" s="344"/>
      <c r="E2120" s="235"/>
      <c r="F2120" s="235"/>
      <c r="G2120" s="227"/>
      <c r="H2120" s="227"/>
      <c r="I2120" s="350"/>
      <c r="J2120" s="227"/>
      <c r="K2120" s="227"/>
      <c r="L2120" s="224"/>
      <c r="M2120" s="224"/>
      <c r="N2120" s="224"/>
      <c r="O2120" s="224"/>
      <c r="P2120" s="224"/>
      <c r="Q2120" s="224"/>
      <c r="R2120" s="224"/>
      <c r="S2120" s="224"/>
      <c r="T2120" s="224"/>
      <c r="U2120" s="224"/>
      <c r="V2120" s="224"/>
    </row>
    <row r="2121" spans="1:22" x14ac:dyDescent="0.3">
      <c r="A2121" s="222"/>
      <c r="B2121" s="235"/>
      <c r="C2121" s="227"/>
      <c r="D2121" s="344"/>
      <c r="E2121" s="235"/>
      <c r="F2121" s="235"/>
      <c r="G2121" s="227"/>
      <c r="H2121" s="227"/>
      <c r="I2121" s="350"/>
      <c r="J2121" s="227"/>
      <c r="K2121" s="227"/>
      <c r="L2121" s="224"/>
      <c r="M2121" s="224"/>
      <c r="N2121" s="224"/>
      <c r="O2121" s="224"/>
      <c r="P2121" s="224"/>
      <c r="Q2121" s="224"/>
      <c r="R2121" s="224"/>
      <c r="S2121" s="224"/>
      <c r="T2121" s="224"/>
      <c r="U2121" s="224"/>
      <c r="V2121" s="224"/>
    </row>
    <row r="2122" spans="1:22" x14ac:dyDescent="0.3">
      <c r="A2122" s="222"/>
      <c r="B2122" s="235"/>
      <c r="C2122" s="227"/>
      <c r="D2122" s="344"/>
      <c r="E2122" s="235"/>
      <c r="F2122" s="235"/>
      <c r="G2122" s="227"/>
      <c r="H2122" s="227"/>
      <c r="I2122" s="350"/>
      <c r="J2122" s="227"/>
      <c r="K2122" s="227"/>
      <c r="L2122" s="224"/>
      <c r="M2122" s="224"/>
      <c r="N2122" s="224"/>
      <c r="O2122" s="224"/>
      <c r="P2122" s="224"/>
      <c r="Q2122" s="224"/>
      <c r="R2122" s="224"/>
      <c r="S2122" s="224"/>
      <c r="T2122" s="224"/>
      <c r="U2122" s="224"/>
      <c r="V2122" s="224"/>
    </row>
    <row r="2123" spans="1:22" x14ac:dyDescent="0.3">
      <c r="A2123" s="222"/>
      <c r="B2123" s="235"/>
      <c r="C2123" s="227"/>
      <c r="D2123" s="344"/>
      <c r="E2123" s="235"/>
      <c r="F2123" s="235"/>
      <c r="G2123" s="227"/>
      <c r="H2123" s="227"/>
      <c r="I2123" s="350"/>
      <c r="J2123" s="227"/>
      <c r="K2123" s="227"/>
      <c r="L2123" s="224"/>
      <c r="M2123" s="224"/>
      <c r="N2123" s="224"/>
      <c r="O2123" s="224"/>
      <c r="P2123" s="224"/>
      <c r="Q2123" s="224"/>
      <c r="R2123" s="224"/>
      <c r="S2123" s="224"/>
      <c r="T2123" s="224"/>
      <c r="U2123" s="224"/>
      <c r="V2123" s="224"/>
    </row>
    <row r="2124" spans="1:22" x14ac:dyDescent="0.3">
      <c r="A2124" s="222"/>
      <c r="B2124" s="235"/>
      <c r="C2124" s="227"/>
      <c r="D2124" s="344"/>
      <c r="E2124" s="235"/>
      <c r="F2124" s="235"/>
      <c r="G2124" s="227"/>
      <c r="H2124" s="227"/>
      <c r="I2124" s="350"/>
      <c r="J2124" s="227"/>
      <c r="K2124" s="227"/>
      <c r="L2124" s="224"/>
      <c r="M2124" s="224"/>
      <c r="N2124" s="224"/>
      <c r="O2124" s="224"/>
      <c r="P2124" s="224"/>
      <c r="Q2124" s="224"/>
      <c r="R2124" s="224"/>
      <c r="S2124" s="224"/>
      <c r="T2124" s="224"/>
      <c r="U2124" s="224"/>
      <c r="V2124" s="224"/>
    </row>
    <row r="2125" spans="1:22" x14ac:dyDescent="0.3">
      <c r="A2125" s="222"/>
      <c r="B2125" s="235"/>
      <c r="C2125" s="227"/>
      <c r="D2125" s="344"/>
      <c r="E2125" s="235"/>
      <c r="F2125" s="235"/>
      <c r="G2125" s="227"/>
      <c r="H2125" s="227"/>
      <c r="I2125" s="350"/>
      <c r="J2125" s="227"/>
      <c r="K2125" s="227"/>
      <c r="L2125" s="224"/>
      <c r="M2125" s="224"/>
      <c r="N2125" s="224"/>
      <c r="O2125" s="224"/>
      <c r="P2125" s="224"/>
      <c r="Q2125" s="224"/>
      <c r="R2125" s="224"/>
      <c r="S2125" s="224"/>
      <c r="T2125" s="224"/>
      <c r="U2125" s="224"/>
      <c r="V2125" s="224"/>
    </row>
    <row r="2126" spans="1:22" x14ac:dyDescent="0.3">
      <c r="A2126" s="222"/>
      <c r="B2126" s="235"/>
      <c r="C2126" s="227"/>
      <c r="D2126" s="344"/>
      <c r="E2126" s="235"/>
      <c r="F2126" s="235"/>
      <c r="G2126" s="227"/>
      <c r="H2126" s="227"/>
      <c r="I2126" s="350"/>
      <c r="J2126" s="227"/>
      <c r="K2126" s="227"/>
      <c r="L2126" s="224"/>
      <c r="M2126" s="224"/>
      <c r="N2126" s="224"/>
      <c r="O2126" s="224"/>
      <c r="P2126" s="224"/>
      <c r="Q2126" s="224"/>
      <c r="R2126" s="224"/>
      <c r="S2126" s="224"/>
      <c r="T2126" s="224"/>
      <c r="U2126" s="224"/>
      <c r="V2126" s="224"/>
    </row>
    <row r="2127" spans="1:22" x14ac:dyDescent="0.3">
      <c r="A2127" s="222"/>
      <c r="B2127" s="235"/>
      <c r="C2127" s="227"/>
      <c r="D2127" s="344"/>
      <c r="E2127" s="235"/>
      <c r="F2127" s="235"/>
      <c r="G2127" s="227"/>
      <c r="H2127" s="227"/>
      <c r="I2127" s="350"/>
      <c r="J2127" s="227"/>
      <c r="K2127" s="227"/>
      <c r="L2127" s="224"/>
      <c r="M2127" s="224"/>
      <c r="N2127" s="224"/>
      <c r="O2127" s="224"/>
      <c r="P2127" s="224"/>
      <c r="Q2127" s="224"/>
      <c r="R2127" s="224"/>
      <c r="S2127" s="224"/>
      <c r="T2127" s="224"/>
      <c r="U2127" s="224"/>
      <c r="V2127" s="224"/>
    </row>
    <row r="2128" spans="1:22" x14ac:dyDescent="0.3">
      <c r="A2128" s="222"/>
      <c r="B2128" s="235"/>
      <c r="C2128" s="227"/>
      <c r="D2128" s="344"/>
      <c r="E2128" s="235"/>
      <c r="F2128" s="235"/>
      <c r="G2128" s="227"/>
      <c r="H2128" s="227"/>
      <c r="I2128" s="350"/>
      <c r="J2128" s="227"/>
      <c r="K2128" s="227"/>
      <c r="L2128" s="224"/>
      <c r="M2128" s="224"/>
      <c r="N2128" s="224"/>
      <c r="O2128" s="224"/>
      <c r="P2128" s="224"/>
      <c r="Q2128" s="224"/>
      <c r="R2128" s="224"/>
      <c r="S2128" s="224"/>
      <c r="T2128" s="224"/>
      <c r="U2128" s="224"/>
      <c r="V2128" s="224"/>
    </row>
    <row r="2129" spans="1:22" x14ac:dyDescent="0.3">
      <c r="A2129" s="222"/>
      <c r="B2129" s="235"/>
      <c r="C2129" s="227"/>
      <c r="D2129" s="344"/>
      <c r="E2129" s="235"/>
      <c r="F2129" s="235"/>
      <c r="G2129" s="227"/>
      <c r="H2129" s="227"/>
      <c r="I2129" s="350"/>
      <c r="J2129" s="227"/>
      <c r="K2129" s="227"/>
      <c r="L2129" s="224"/>
      <c r="M2129" s="224"/>
      <c r="N2129" s="224"/>
      <c r="O2129" s="224"/>
      <c r="P2129" s="224"/>
      <c r="Q2129" s="224"/>
      <c r="R2129" s="224"/>
      <c r="S2129" s="224"/>
      <c r="T2129" s="224"/>
      <c r="U2129" s="224"/>
      <c r="V2129" s="224"/>
    </row>
    <row r="2130" spans="1:22" x14ac:dyDescent="0.3">
      <c r="A2130" s="222"/>
      <c r="B2130" s="235"/>
      <c r="C2130" s="227"/>
      <c r="D2130" s="344"/>
      <c r="E2130" s="235"/>
      <c r="F2130" s="235"/>
      <c r="G2130" s="227"/>
      <c r="H2130" s="227"/>
      <c r="I2130" s="350"/>
      <c r="J2130" s="227"/>
      <c r="K2130" s="227"/>
      <c r="L2130" s="224"/>
      <c r="M2130" s="224"/>
      <c r="N2130" s="224"/>
      <c r="O2130" s="224"/>
      <c r="P2130" s="224"/>
      <c r="Q2130" s="224"/>
      <c r="R2130" s="224"/>
      <c r="S2130" s="224"/>
      <c r="T2130" s="224"/>
      <c r="U2130" s="224"/>
      <c r="V2130" s="224"/>
    </row>
    <row r="2131" spans="1:22" x14ac:dyDescent="0.3">
      <c r="A2131" s="222"/>
      <c r="B2131" s="235"/>
      <c r="C2131" s="227"/>
      <c r="D2131" s="344"/>
      <c r="E2131" s="235"/>
      <c r="F2131" s="235"/>
      <c r="G2131" s="227"/>
      <c r="H2131" s="227"/>
      <c r="I2131" s="350"/>
      <c r="J2131" s="227"/>
      <c r="K2131" s="227"/>
      <c r="L2131" s="224"/>
      <c r="M2131" s="224"/>
      <c r="N2131" s="224"/>
      <c r="O2131" s="224"/>
      <c r="P2131" s="224"/>
      <c r="Q2131" s="224"/>
      <c r="R2131" s="224"/>
      <c r="S2131" s="224"/>
      <c r="T2131" s="224"/>
      <c r="U2131" s="224"/>
      <c r="V2131" s="224"/>
    </row>
    <row r="2132" spans="1:22" x14ac:dyDescent="0.3">
      <c r="A2132" s="222"/>
      <c r="B2132" s="235"/>
      <c r="C2132" s="227"/>
      <c r="D2132" s="344"/>
      <c r="E2132" s="235"/>
      <c r="F2132" s="235"/>
      <c r="G2132" s="227"/>
      <c r="H2132" s="227"/>
      <c r="I2132" s="350"/>
      <c r="J2132" s="227"/>
      <c r="K2132" s="227"/>
      <c r="L2132" s="224"/>
      <c r="M2132" s="224"/>
      <c r="N2132" s="224"/>
      <c r="O2132" s="224"/>
      <c r="P2132" s="224"/>
      <c r="Q2132" s="224"/>
      <c r="R2132" s="224"/>
      <c r="S2132" s="224"/>
      <c r="T2132" s="224"/>
      <c r="U2132" s="224"/>
      <c r="V2132" s="224"/>
    </row>
    <row r="2133" spans="1:22" x14ac:dyDescent="0.3">
      <c r="A2133" s="222"/>
      <c r="B2133" s="235"/>
      <c r="C2133" s="227"/>
      <c r="D2133" s="344"/>
      <c r="E2133" s="235"/>
      <c r="F2133" s="235"/>
      <c r="G2133" s="227"/>
      <c r="H2133" s="227"/>
      <c r="I2133" s="350"/>
      <c r="J2133" s="227"/>
      <c r="K2133" s="227"/>
      <c r="L2133" s="224"/>
      <c r="M2133" s="224"/>
      <c r="N2133" s="224"/>
      <c r="O2133" s="224"/>
      <c r="P2133" s="224"/>
      <c r="Q2133" s="224"/>
      <c r="R2133" s="224"/>
      <c r="S2133" s="224"/>
      <c r="T2133" s="224"/>
      <c r="U2133" s="224"/>
      <c r="V2133" s="224"/>
    </row>
    <row r="2134" spans="1:22" x14ac:dyDescent="0.3">
      <c r="A2134" s="222"/>
      <c r="B2134" s="235"/>
      <c r="C2134" s="227"/>
      <c r="D2134" s="344"/>
      <c r="E2134" s="235"/>
      <c r="F2134" s="235"/>
      <c r="G2134" s="227"/>
      <c r="H2134" s="227"/>
      <c r="I2134" s="350"/>
      <c r="J2134" s="227"/>
      <c r="K2134" s="227"/>
      <c r="L2134" s="224"/>
      <c r="M2134" s="224"/>
      <c r="N2134" s="224"/>
      <c r="O2134" s="224"/>
      <c r="P2134" s="224"/>
      <c r="Q2134" s="224"/>
      <c r="R2134" s="224"/>
      <c r="S2134" s="224"/>
      <c r="T2134" s="224"/>
      <c r="U2134" s="224"/>
      <c r="V2134" s="224"/>
    </row>
    <row r="2135" spans="1:22" x14ac:dyDescent="0.3">
      <c r="A2135" s="222"/>
      <c r="B2135" s="235"/>
      <c r="C2135" s="227"/>
      <c r="D2135" s="344"/>
      <c r="E2135" s="235"/>
      <c r="F2135" s="235"/>
      <c r="G2135" s="227"/>
      <c r="H2135" s="227"/>
      <c r="I2135" s="350"/>
      <c r="J2135" s="227"/>
      <c r="K2135" s="227"/>
      <c r="L2135" s="224"/>
      <c r="M2135" s="224"/>
      <c r="N2135" s="224"/>
      <c r="O2135" s="224"/>
      <c r="P2135" s="224"/>
      <c r="Q2135" s="224"/>
      <c r="R2135" s="224"/>
      <c r="S2135" s="224"/>
      <c r="T2135" s="224"/>
      <c r="U2135" s="224"/>
      <c r="V2135" s="224"/>
    </row>
    <row r="2136" spans="1:22" x14ac:dyDescent="0.3">
      <c r="A2136" s="222"/>
      <c r="B2136" s="235"/>
      <c r="C2136" s="227"/>
      <c r="D2136" s="344"/>
      <c r="E2136" s="235"/>
      <c r="F2136" s="235"/>
      <c r="G2136" s="227"/>
      <c r="H2136" s="227"/>
      <c r="I2136" s="350"/>
      <c r="J2136" s="227"/>
      <c r="K2136" s="227"/>
      <c r="L2136" s="224"/>
      <c r="M2136" s="224"/>
      <c r="N2136" s="224"/>
      <c r="O2136" s="224"/>
      <c r="P2136" s="224"/>
      <c r="Q2136" s="224"/>
      <c r="R2136" s="224"/>
      <c r="S2136" s="224"/>
      <c r="T2136" s="224"/>
      <c r="U2136" s="224"/>
      <c r="V2136" s="224"/>
    </row>
    <row r="2137" spans="1:22" x14ac:dyDescent="0.3">
      <c r="A2137" s="222"/>
      <c r="B2137" s="235"/>
      <c r="C2137" s="227"/>
      <c r="D2137" s="344"/>
      <c r="E2137" s="235"/>
      <c r="F2137" s="235"/>
      <c r="G2137" s="227"/>
      <c r="H2137" s="227"/>
      <c r="I2137" s="350"/>
      <c r="J2137" s="227"/>
      <c r="K2137" s="227"/>
      <c r="L2137" s="224"/>
      <c r="M2137" s="224"/>
      <c r="N2137" s="224"/>
      <c r="O2137" s="224"/>
      <c r="P2137" s="224"/>
      <c r="Q2137" s="224"/>
      <c r="R2137" s="224"/>
      <c r="S2137" s="224"/>
      <c r="T2137" s="224"/>
      <c r="U2137" s="224"/>
      <c r="V2137" s="224"/>
    </row>
    <row r="2138" spans="1:22" x14ac:dyDescent="0.3">
      <c r="A2138" s="222"/>
      <c r="B2138" s="235"/>
      <c r="C2138" s="227"/>
      <c r="D2138" s="344"/>
      <c r="E2138" s="235"/>
      <c r="F2138" s="235"/>
      <c r="G2138" s="227"/>
      <c r="H2138" s="227"/>
      <c r="I2138" s="350"/>
      <c r="J2138" s="227"/>
      <c r="K2138" s="227"/>
      <c r="L2138" s="224"/>
      <c r="M2138" s="224"/>
      <c r="N2138" s="224"/>
      <c r="O2138" s="224"/>
      <c r="P2138" s="224"/>
      <c r="Q2138" s="224"/>
      <c r="R2138" s="224"/>
      <c r="S2138" s="224"/>
      <c r="T2138" s="224"/>
      <c r="U2138" s="224"/>
      <c r="V2138" s="224"/>
    </row>
    <row r="2139" spans="1:22" x14ac:dyDescent="0.3">
      <c r="A2139" s="222"/>
      <c r="B2139" s="235"/>
      <c r="C2139" s="227"/>
      <c r="D2139" s="344"/>
      <c r="E2139" s="235"/>
      <c r="F2139" s="235"/>
      <c r="G2139" s="227"/>
      <c r="H2139" s="227"/>
      <c r="I2139" s="350"/>
      <c r="J2139" s="227"/>
      <c r="K2139" s="227"/>
      <c r="L2139" s="224"/>
      <c r="M2139" s="224"/>
      <c r="N2139" s="224"/>
      <c r="O2139" s="224"/>
      <c r="P2139" s="224"/>
      <c r="Q2139" s="224"/>
      <c r="R2139" s="224"/>
      <c r="S2139" s="224"/>
      <c r="T2139" s="224"/>
      <c r="U2139" s="224"/>
      <c r="V2139" s="224"/>
    </row>
    <row r="2140" spans="1:22" x14ac:dyDescent="0.3">
      <c r="A2140" s="222"/>
      <c r="B2140" s="235"/>
      <c r="C2140" s="227"/>
      <c r="D2140" s="344"/>
      <c r="E2140" s="235"/>
      <c r="F2140" s="235"/>
      <c r="G2140" s="227"/>
      <c r="H2140" s="227"/>
      <c r="I2140" s="350"/>
      <c r="J2140" s="227"/>
      <c r="K2140" s="227"/>
      <c r="L2140" s="224"/>
      <c r="M2140" s="224"/>
      <c r="N2140" s="224"/>
      <c r="O2140" s="224"/>
      <c r="P2140" s="224"/>
      <c r="Q2140" s="224"/>
      <c r="R2140" s="224"/>
      <c r="S2140" s="224"/>
      <c r="T2140" s="224"/>
      <c r="U2140" s="224"/>
      <c r="V2140" s="224"/>
    </row>
    <row r="2141" spans="1:22" x14ac:dyDescent="0.3">
      <c r="A2141" s="222"/>
      <c r="B2141" s="235"/>
      <c r="C2141" s="227"/>
      <c r="D2141" s="344"/>
      <c r="E2141" s="235"/>
      <c r="F2141" s="235"/>
      <c r="G2141" s="227"/>
      <c r="H2141" s="227"/>
      <c r="I2141" s="350"/>
      <c r="J2141" s="227"/>
      <c r="K2141" s="227"/>
      <c r="L2141" s="224"/>
      <c r="M2141" s="224"/>
      <c r="N2141" s="224"/>
      <c r="O2141" s="224"/>
      <c r="P2141" s="224"/>
      <c r="Q2141" s="224"/>
      <c r="R2141" s="224"/>
      <c r="S2141" s="224"/>
      <c r="T2141" s="224"/>
      <c r="U2141" s="224"/>
      <c r="V2141" s="224"/>
    </row>
    <row r="2142" spans="1:22" x14ac:dyDescent="0.3">
      <c r="A2142" s="222"/>
      <c r="B2142" s="235"/>
      <c r="C2142" s="227"/>
      <c r="D2142" s="344"/>
      <c r="E2142" s="235"/>
      <c r="F2142" s="235"/>
      <c r="G2142" s="227"/>
      <c r="H2142" s="227"/>
      <c r="I2142" s="350"/>
      <c r="J2142" s="227"/>
      <c r="K2142" s="227"/>
      <c r="L2142" s="224"/>
      <c r="M2142" s="224"/>
      <c r="N2142" s="224"/>
      <c r="O2142" s="224"/>
      <c r="P2142" s="224"/>
      <c r="Q2142" s="224"/>
      <c r="R2142" s="224"/>
      <c r="S2142" s="224"/>
      <c r="T2142" s="224"/>
      <c r="U2142" s="224"/>
      <c r="V2142" s="224"/>
    </row>
    <row r="2143" spans="1:22" x14ac:dyDescent="0.3">
      <c r="A2143" s="222"/>
      <c r="B2143" s="235"/>
      <c r="C2143" s="227"/>
      <c r="D2143" s="344"/>
      <c r="E2143" s="235"/>
      <c r="F2143" s="235"/>
      <c r="G2143" s="227"/>
      <c r="H2143" s="227"/>
      <c r="I2143" s="350"/>
      <c r="J2143" s="227"/>
      <c r="K2143" s="227"/>
      <c r="L2143" s="224"/>
      <c r="M2143" s="224"/>
      <c r="N2143" s="224"/>
      <c r="O2143" s="224"/>
      <c r="P2143" s="224"/>
      <c r="Q2143" s="224"/>
      <c r="R2143" s="224"/>
      <c r="S2143" s="224"/>
      <c r="T2143" s="224"/>
      <c r="U2143" s="224"/>
      <c r="V2143" s="224"/>
    </row>
    <row r="2144" spans="1:22" x14ac:dyDescent="0.3">
      <c r="A2144" s="222"/>
      <c r="B2144" s="235"/>
      <c r="C2144" s="227"/>
      <c r="D2144" s="344"/>
      <c r="E2144" s="235"/>
      <c r="F2144" s="235"/>
      <c r="G2144" s="227"/>
      <c r="H2144" s="227"/>
      <c r="I2144" s="350"/>
      <c r="J2144" s="227"/>
      <c r="K2144" s="227"/>
      <c r="L2144" s="224"/>
      <c r="M2144" s="224"/>
      <c r="N2144" s="224"/>
      <c r="O2144" s="224"/>
      <c r="P2144" s="224"/>
      <c r="Q2144" s="224"/>
      <c r="R2144" s="224"/>
      <c r="S2144" s="224"/>
      <c r="T2144" s="224"/>
      <c r="U2144" s="224"/>
      <c r="V2144" s="224"/>
    </row>
    <row r="2145" spans="1:22" x14ac:dyDescent="0.3">
      <c r="A2145" s="222"/>
      <c r="B2145" s="235"/>
      <c r="C2145" s="227"/>
      <c r="D2145" s="344"/>
      <c r="E2145" s="235"/>
      <c r="F2145" s="235"/>
      <c r="G2145" s="227"/>
      <c r="H2145" s="227"/>
      <c r="I2145" s="350"/>
      <c r="J2145" s="227"/>
      <c r="K2145" s="227"/>
      <c r="L2145" s="224"/>
      <c r="M2145" s="224"/>
      <c r="N2145" s="224"/>
      <c r="O2145" s="224"/>
      <c r="P2145" s="224"/>
      <c r="Q2145" s="224"/>
      <c r="R2145" s="224"/>
      <c r="S2145" s="224"/>
      <c r="T2145" s="224"/>
      <c r="U2145" s="224"/>
      <c r="V2145" s="224"/>
    </row>
    <row r="2146" spans="1:22" x14ac:dyDescent="0.3">
      <c r="A2146" s="222"/>
      <c r="B2146" s="235"/>
      <c r="C2146" s="227"/>
      <c r="D2146" s="344"/>
      <c r="E2146" s="235"/>
      <c r="F2146" s="235"/>
      <c r="G2146" s="227"/>
      <c r="H2146" s="227"/>
      <c r="I2146" s="350"/>
      <c r="J2146" s="227"/>
      <c r="K2146" s="227"/>
      <c r="L2146" s="224"/>
      <c r="M2146" s="224"/>
      <c r="N2146" s="224"/>
      <c r="O2146" s="224"/>
      <c r="P2146" s="224"/>
      <c r="Q2146" s="224"/>
      <c r="R2146" s="224"/>
      <c r="S2146" s="224"/>
      <c r="T2146" s="224"/>
      <c r="U2146" s="224"/>
      <c r="V2146" s="224"/>
    </row>
    <row r="2147" spans="1:22" x14ac:dyDescent="0.3">
      <c r="A2147" s="222"/>
      <c r="B2147" s="235"/>
      <c r="C2147" s="227"/>
      <c r="D2147" s="344"/>
      <c r="E2147" s="235"/>
      <c r="F2147" s="235"/>
      <c r="G2147" s="227"/>
      <c r="H2147" s="227"/>
      <c r="I2147" s="350"/>
      <c r="J2147" s="227"/>
      <c r="K2147" s="227"/>
      <c r="L2147" s="224"/>
      <c r="M2147" s="224"/>
      <c r="N2147" s="224"/>
      <c r="O2147" s="224"/>
      <c r="P2147" s="224"/>
      <c r="Q2147" s="224"/>
      <c r="R2147" s="224"/>
      <c r="S2147" s="224"/>
      <c r="T2147" s="224"/>
      <c r="U2147" s="224"/>
      <c r="V2147" s="224"/>
    </row>
    <row r="2148" spans="1:22" x14ac:dyDescent="0.3">
      <c r="A2148" s="222"/>
      <c r="B2148" s="235"/>
      <c r="C2148" s="227"/>
      <c r="D2148" s="344"/>
      <c r="E2148" s="235"/>
      <c r="F2148" s="235"/>
      <c r="G2148" s="227"/>
      <c r="H2148" s="227"/>
      <c r="I2148" s="350"/>
      <c r="J2148" s="227"/>
      <c r="K2148" s="227"/>
      <c r="L2148" s="224"/>
      <c r="M2148" s="224"/>
      <c r="N2148" s="224"/>
      <c r="O2148" s="224"/>
      <c r="P2148" s="224"/>
      <c r="Q2148" s="224"/>
      <c r="R2148" s="224"/>
      <c r="S2148" s="224"/>
      <c r="T2148" s="224"/>
      <c r="U2148" s="224"/>
      <c r="V2148" s="224"/>
    </row>
    <row r="2149" spans="1:22" x14ac:dyDescent="0.3">
      <c r="A2149" s="222"/>
      <c r="B2149" s="235"/>
      <c r="C2149" s="227"/>
      <c r="D2149" s="344"/>
      <c r="E2149" s="235"/>
      <c r="F2149" s="235"/>
      <c r="G2149" s="227"/>
      <c r="H2149" s="227"/>
      <c r="I2149" s="350"/>
      <c r="J2149" s="227"/>
      <c r="K2149" s="227"/>
      <c r="L2149" s="224"/>
      <c r="M2149" s="224"/>
      <c r="N2149" s="224"/>
      <c r="O2149" s="224"/>
      <c r="P2149" s="224"/>
      <c r="Q2149" s="224"/>
      <c r="R2149" s="224"/>
      <c r="S2149" s="224"/>
      <c r="T2149" s="224"/>
      <c r="U2149" s="224"/>
      <c r="V2149" s="224"/>
    </row>
    <row r="2150" spans="1:22" x14ac:dyDescent="0.3">
      <c r="A2150" s="222"/>
      <c r="B2150" s="235"/>
      <c r="C2150" s="227"/>
      <c r="D2150" s="344"/>
      <c r="E2150" s="235"/>
      <c r="F2150" s="235"/>
      <c r="G2150" s="227"/>
      <c r="H2150" s="227"/>
      <c r="I2150" s="350"/>
      <c r="J2150" s="227"/>
      <c r="K2150" s="227"/>
      <c r="L2150" s="224"/>
      <c r="M2150" s="224"/>
      <c r="N2150" s="224"/>
      <c r="O2150" s="224"/>
      <c r="P2150" s="224"/>
      <c r="Q2150" s="224"/>
      <c r="R2150" s="224"/>
      <c r="S2150" s="224"/>
      <c r="T2150" s="224"/>
      <c r="U2150" s="224"/>
      <c r="V2150" s="224"/>
    </row>
    <row r="2151" spans="1:22" x14ac:dyDescent="0.3">
      <c r="A2151" s="222"/>
      <c r="B2151" s="235"/>
      <c r="C2151" s="227"/>
      <c r="D2151" s="344"/>
      <c r="E2151" s="235"/>
      <c r="F2151" s="235"/>
      <c r="G2151" s="227"/>
      <c r="H2151" s="227"/>
      <c r="I2151" s="350"/>
      <c r="J2151" s="227"/>
      <c r="K2151" s="227"/>
      <c r="L2151" s="224"/>
      <c r="M2151" s="224"/>
      <c r="N2151" s="224"/>
      <c r="O2151" s="224"/>
      <c r="P2151" s="224"/>
      <c r="Q2151" s="224"/>
      <c r="R2151" s="224"/>
      <c r="S2151" s="224"/>
      <c r="T2151" s="224"/>
      <c r="U2151" s="224"/>
      <c r="V2151" s="224"/>
    </row>
    <row r="2152" spans="1:22" x14ac:dyDescent="0.3">
      <c r="A2152" s="222"/>
      <c r="B2152" s="235"/>
      <c r="C2152" s="227"/>
      <c r="D2152" s="344"/>
      <c r="E2152" s="235"/>
      <c r="F2152" s="235"/>
      <c r="G2152" s="227"/>
      <c r="H2152" s="227"/>
      <c r="I2152" s="350"/>
      <c r="J2152" s="227"/>
      <c r="K2152" s="227"/>
      <c r="L2152" s="224"/>
      <c r="M2152" s="224"/>
      <c r="N2152" s="224"/>
      <c r="O2152" s="224"/>
      <c r="P2152" s="224"/>
      <c r="Q2152" s="224"/>
      <c r="R2152" s="224"/>
      <c r="S2152" s="224"/>
      <c r="T2152" s="224"/>
      <c r="U2152" s="224"/>
      <c r="V2152" s="224"/>
    </row>
    <row r="2153" spans="1:22" x14ac:dyDescent="0.3">
      <c r="A2153" s="222"/>
      <c r="B2153" s="235"/>
      <c r="C2153" s="227"/>
      <c r="D2153" s="344"/>
      <c r="E2153" s="235"/>
      <c r="F2153" s="235"/>
      <c r="G2153" s="227"/>
      <c r="H2153" s="227"/>
      <c r="I2153" s="350"/>
      <c r="J2153" s="227"/>
      <c r="K2153" s="227"/>
      <c r="L2153" s="224"/>
      <c r="M2153" s="224"/>
      <c r="N2153" s="224"/>
      <c r="O2153" s="224"/>
      <c r="P2153" s="224"/>
      <c r="Q2153" s="224"/>
      <c r="R2153" s="224"/>
      <c r="S2153" s="224"/>
      <c r="T2153" s="224"/>
      <c r="U2153" s="224"/>
      <c r="V2153" s="224"/>
    </row>
    <row r="2154" spans="1:22" x14ac:dyDescent="0.3">
      <c r="A2154" s="222"/>
      <c r="B2154" s="235"/>
      <c r="C2154" s="227"/>
      <c r="D2154" s="344"/>
      <c r="E2154" s="235"/>
      <c r="F2154" s="235"/>
      <c r="G2154" s="227"/>
      <c r="H2154" s="227"/>
      <c r="I2154" s="350"/>
      <c r="J2154" s="227"/>
      <c r="K2154" s="227"/>
      <c r="L2154" s="224"/>
      <c r="M2154" s="224"/>
      <c r="N2154" s="224"/>
      <c r="O2154" s="224"/>
      <c r="P2154" s="224"/>
      <c r="Q2154" s="224"/>
      <c r="R2154" s="224"/>
      <c r="S2154" s="224"/>
      <c r="T2154" s="224"/>
      <c r="U2154" s="224"/>
      <c r="V2154" s="224"/>
    </row>
    <row r="2155" spans="1:22" x14ac:dyDescent="0.3">
      <c r="A2155" s="222"/>
      <c r="B2155" s="235"/>
      <c r="C2155" s="227"/>
      <c r="D2155" s="344"/>
      <c r="E2155" s="235"/>
      <c r="F2155" s="235"/>
      <c r="G2155" s="227"/>
      <c r="H2155" s="227"/>
      <c r="I2155" s="350"/>
      <c r="J2155" s="227"/>
      <c r="K2155" s="227"/>
      <c r="L2155" s="224"/>
      <c r="M2155" s="224"/>
      <c r="N2155" s="224"/>
      <c r="O2155" s="224"/>
      <c r="P2155" s="224"/>
      <c r="Q2155" s="224"/>
      <c r="R2155" s="224"/>
      <c r="S2155" s="224"/>
      <c r="T2155" s="224"/>
      <c r="U2155" s="224"/>
      <c r="V2155" s="224"/>
    </row>
    <row r="2156" spans="1:22" x14ac:dyDescent="0.3">
      <c r="A2156" s="222"/>
      <c r="B2156" s="235"/>
      <c r="C2156" s="227"/>
      <c r="D2156" s="344"/>
      <c r="E2156" s="235"/>
      <c r="F2156" s="235"/>
      <c r="G2156" s="227"/>
      <c r="H2156" s="227"/>
      <c r="I2156" s="350"/>
      <c r="J2156" s="227"/>
      <c r="K2156" s="227"/>
      <c r="L2156" s="224"/>
      <c r="M2156" s="224"/>
      <c r="N2156" s="224"/>
      <c r="O2156" s="224"/>
      <c r="P2156" s="224"/>
      <c r="Q2156" s="224"/>
      <c r="R2156" s="224"/>
      <c r="S2156" s="224"/>
      <c r="T2156" s="224"/>
      <c r="U2156" s="224"/>
      <c r="V2156" s="224"/>
    </row>
    <row r="2157" spans="1:22" x14ac:dyDescent="0.3">
      <c r="A2157" s="222"/>
      <c r="B2157" s="235"/>
      <c r="C2157" s="227"/>
      <c r="D2157" s="344"/>
      <c r="E2157" s="235"/>
      <c r="F2157" s="235"/>
      <c r="G2157" s="227"/>
      <c r="H2157" s="227"/>
      <c r="I2157" s="350"/>
      <c r="J2157" s="227"/>
      <c r="K2157" s="227"/>
      <c r="L2157" s="224"/>
      <c r="M2157" s="224"/>
      <c r="N2157" s="224"/>
      <c r="O2157" s="224"/>
      <c r="P2157" s="224"/>
      <c r="Q2157" s="224"/>
      <c r="R2157" s="224"/>
      <c r="S2157" s="224"/>
      <c r="T2157" s="224"/>
      <c r="U2157" s="224"/>
      <c r="V2157" s="224"/>
    </row>
    <row r="2158" spans="1:22" x14ac:dyDescent="0.3">
      <c r="A2158" s="222"/>
      <c r="B2158" s="235"/>
      <c r="C2158" s="227"/>
      <c r="D2158" s="344"/>
      <c r="E2158" s="235"/>
      <c r="F2158" s="235"/>
      <c r="G2158" s="227"/>
      <c r="H2158" s="227"/>
      <c r="I2158" s="350"/>
      <c r="J2158" s="227"/>
      <c r="K2158" s="227"/>
      <c r="L2158" s="224"/>
      <c r="M2158" s="224"/>
      <c r="N2158" s="224"/>
      <c r="O2158" s="224"/>
      <c r="P2158" s="224"/>
      <c r="Q2158" s="224"/>
      <c r="R2158" s="224"/>
      <c r="S2158" s="224"/>
      <c r="T2158" s="224"/>
      <c r="U2158" s="224"/>
      <c r="V2158" s="224"/>
    </row>
    <row r="2159" spans="1:22" x14ac:dyDescent="0.3">
      <c r="A2159" s="222"/>
      <c r="B2159" s="235"/>
      <c r="C2159" s="227"/>
      <c r="D2159" s="344"/>
      <c r="E2159" s="235"/>
      <c r="F2159" s="235"/>
      <c r="G2159" s="227"/>
      <c r="H2159" s="227"/>
      <c r="I2159" s="350"/>
      <c r="J2159" s="227"/>
      <c r="K2159" s="227"/>
      <c r="L2159" s="224"/>
      <c r="M2159" s="224"/>
      <c r="N2159" s="224"/>
      <c r="O2159" s="224"/>
      <c r="P2159" s="224"/>
      <c r="Q2159" s="224"/>
      <c r="R2159" s="224"/>
      <c r="S2159" s="224"/>
      <c r="T2159" s="224"/>
      <c r="U2159" s="224"/>
      <c r="V2159" s="224"/>
    </row>
    <row r="2160" spans="1:22" x14ac:dyDescent="0.3">
      <c r="A2160" s="222"/>
      <c r="B2160" s="235"/>
      <c r="C2160" s="227"/>
      <c r="D2160" s="344"/>
      <c r="E2160" s="235"/>
      <c r="F2160" s="235"/>
      <c r="G2160" s="227"/>
      <c r="H2160" s="227"/>
      <c r="I2160" s="350"/>
      <c r="J2160" s="227"/>
      <c r="K2160" s="227"/>
      <c r="L2160" s="224"/>
      <c r="M2160" s="224"/>
      <c r="N2160" s="224"/>
      <c r="O2160" s="224"/>
      <c r="P2160" s="224"/>
      <c r="Q2160" s="224"/>
      <c r="R2160" s="224"/>
      <c r="S2160" s="224"/>
      <c r="T2160" s="224"/>
      <c r="U2160" s="224"/>
      <c r="V2160" s="224"/>
    </row>
    <row r="2161" spans="1:22" x14ac:dyDescent="0.3">
      <c r="A2161" s="222"/>
      <c r="B2161" s="235"/>
      <c r="C2161" s="227"/>
      <c r="D2161" s="344"/>
      <c r="E2161" s="235"/>
      <c r="F2161" s="235"/>
      <c r="G2161" s="227"/>
      <c r="H2161" s="227"/>
      <c r="I2161" s="350"/>
      <c r="J2161" s="227"/>
      <c r="K2161" s="227"/>
      <c r="L2161" s="224"/>
      <c r="M2161" s="224"/>
      <c r="N2161" s="224"/>
      <c r="O2161" s="224"/>
      <c r="P2161" s="224"/>
      <c r="Q2161" s="224"/>
      <c r="R2161" s="224"/>
      <c r="S2161" s="224"/>
      <c r="T2161" s="224"/>
      <c r="U2161" s="224"/>
      <c r="V2161" s="224"/>
    </row>
    <row r="2162" spans="1:22" x14ac:dyDescent="0.3">
      <c r="A2162" s="222"/>
      <c r="B2162" s="235"/>
      <c r="C2162" s="227"/>
      <c r="D2162" s="344"/>
      <c r="E2162" s="235"/>
      <c r="F2162" s="235"/>
      <c r="G2162" s="227"/>
      <c r="H2162" s="227"/>
      <c r="I2162" s="350"/>
      <c r="J2162" s="227"/>
      <c r="K2162" s="227"/>
      <c r="L2162" s="224"/>
      <c r="M2162" s="224"/>
      <c r="N2162" s="224"/>
      <c r="O2162" s="224"/>
      <c r="P2162" s="224"/>
      <c r="Q2162" s="224"/>
      <c r="R2162" s="224"/>
      <c r="S2162" s="224"/>
      <c r="T2162" s="224"/>
      <c r="U2162" s="224"/>
      <c r="V2162" s="224"/>
    </row>
    <row r="2163" spans="1:22" x14ac:dyDescent="0.3">
      <c r="A2163" s="222"/>
      <c r="B2163" s="235"/>
      <c r="C2163" s="227"/>
      <c r="D2163" s="344"/>
      <c r="E2163" s="235"/>
      <c r="F2163" s="235"/>
      <c r="G2163" s="227"/>
      <c r="H2163" s="227"/>
      <c r="I2163" s="350"/>
      <c r="J2163" s="227"/>
      <c r="K2163" s="227"/>
      <c r="L2163" s="224"/>
      <c r="M2163" s="224"/>
      <c r="N2163" s="224"/>
      <c r="O2163" s="224"/>
      <c r="P2163" s="224"/>
      <c r="Q2163" s="224"/>
      <c r="R2163" s="224"/>
      <c r="S2163" s="224"/>
      <c r="T2163" s="224"/>
      <c r="U2163" s="224"/>
      <c r="V2163" s="224"/>
    </row>
    <row r="2164" spans="1:22" x14ac:dyDescent="0.3">
      <c r="A2164" s="222"/>
      <c r="B2164" s="235"/>
      <c r="C2164" s="227"/>
      <c r="D2164" s="344"/>
      <c r="E2164" s="235"/>
      <c r="F2164" s="235"/>
      <c r="G2164" s="227"/>
      <c r="H2164" s="227"/>
      <c r="I2164" s="350"/>
      <c r="J2164" s="227"/>
      <c r="K2164" s="227"/>
      <c r="L2164" s="224"/>
      <c r="M2164" s="224"/>
      <c r="N2164" s="224"/>
      <c r="O2164" s="224"/>
      <c r="P2164" s="224"/>
      <c r="Q2164" s="224"/>
      <c r="R2164" s="224"/>
      <c r="S2164" s="224"/>
      <c r="T2164" s="224"/>
      <c r="U2164" s="224"/>
      <c r="V2164" s="224"/>
    </row>
    <row r="2165" spans="1:22" x14ac:dyDescent="0.3">
      <c r="A2165" s="222"/>
      <c r="B2165" s="235"/>
      <c r="C2165" s="227"/>
      <c r="D2165" s="344"/>
      <c r="E2165" s="235"/>
      <c r="F2165" s="235"/>
      <c r="G2165" s="227"/>
      <c r="H2165" s="227"/>
      <c r="I2165" s="350"/>
      <c r="J2165" s="227"/>
      <c r="K2165" s="227"/>
      <c r="L2165" s="224"/>
      <c r="M2165" s="224"/>
      <c r="N2165" s="224"/>
      <c r="O2165" s="224"/>
      <c r="P2165" s="224"/>
      <c r="Q2165" s="224"/>
      <c r="R2165" s="224"/>
      <c r="S2165" s="224"/>
      <c r="T2165" s="224"/>
      <c r="U2165" s="224"/>
      <c r="V2165" s="224"/>
    </row>
    <row r="2166" spans="1:22" x14ac:dyDescent="0.3">
      <c r="A2166" s="222"/>
      <c r="B2166" s="235"/>
      <c r="C2166" s="227"/>
      <c r="D2166" s="344"/>
      <c r="E2166" s="235"/>
      <c r="F2166" s="235"/>
      <c r="G2166" s="227"/>
      <c r="H2166" s="227"/>
      <c r="I2166" s="350"/>
      <c r="J2166" s="227"/>
      <c r="K2166" s="227"/>
      <c r="L2166" s="224"/>
      <c r="M2166" s="224"/>
      <c r="N2166" s="224"/>
      <c r="O2166" s="224"/>
      <c r="P2166" s="224"/>
      <c r="Q2166" s="224"/>
      <c r="R2166" s="224"/>
      <c r="S2166" s="224"/>
      <c r="T2166" s="224"/>
      <c r="U2166" s="224"/>
      <c r="V2166" s="224"/>
    </row>
    <row r="2167" spans="1:22" x14ac:dyDescent="0.3">
      <c r="A2167" s="222"/>
      <c r="B2167" s="235"/>
      <c r="C2167" s="227"/>
      <c r="D2167" s="344"/>
      <c r="E2167" s="235"/>
      <c r="F2167" s="235"/>
      <c r="G2167" s="227"/>
      <c r="H2167" s="227"/>
      <c r="I2167" s="350"/>
      <c r="J2167" s="227"/>
      <c r="K2167" s="227"/>
      <c r="L2167" s="224"/>
      <c r="M2167" s="224"/>
      <c r="N2167" s="224"/>
      <c r="O2167" s="224"/>
      <c r="P2167" s="224"/>
      <c r="Q2167" s="224"/>
      <c r="R2167" s="224"/>
      <c r="S2167" s="224"/>
      <c r="T2167" s="224"/>
      <c r="U2167" s="224"/>
      <c r="V2167" s="224"/>
    </row>
    <row r="2168" spans="1:22" x14ac:dyDescent="0.3">
      <c r="A2168" s="222"/>
      <c r="B2168" s="235"/>
      <c r="C2168" s="227"/>
      <c r="D2168" s="344"/>
      <c r="E2168" s="235"/>
      <c r="F2168" s="235"/>
      <c r="G2168" s="227"/>
      <c r="H2168" s="227"/>
      <c r="I2168" s="350"/>
      <c r="J2168" s="227"/>
      <c r="K2168" s="227"/>
      <c r="L2168" s="224"/>
      <c r="M2168" s="224"/>
      <c r="N2168" s="224"/>
      <c r="O2168" s="224"/>
      <c r="P2168" s="224"/>
      <c r="Q2168" s="224"/>
      <c r="R2168" s="224"/>
      <c r="S2168" s="224"/>
      <c r="T2168" s="224"/>
      <c r="U2168" s="224"/>
      <c r="V2168" s="224"/>
    </row>
    <row r="2169" spans="1:22" x14ac:dyDescent="0.3">
      <c r="A2169" s="222"/>
      <c r="B2169" s="235"/>
      <c r="C2169" s="227"/>
      <c r="D2169" s="344"/>
      <c r="E2169" s="235"/>
      <c r="F2169" s="235"/>
      <c r="G2169" s="227"/>
      <c r="H2169" s="227"/>
      <c r="I2169" s="350"/>
      <c r="J2169" s="227"/>
      <c r="K2169" s="227"/>
      <c r="L2169" s="224"/>
      <c r="M2169" s="224"/>
      <c r="N2169" s="224"/>
      <c r="O2169" s="224"/>
      <c r="P2169" s="224"/>
      <c r="Q2169" s="224"/>
      <c r="R2169" s="224"/>
      <c r="S2169" s="224"/>
      <c r="T2169" s="224"/>
      <c r="U2169" s="224"/>
      <c r="V2169" s="224"/>
    </row>
    <row r="2170" spans="1:22" x14ac:dyDescent="0.3">
      <c r="A2170" s="222"/>
      <c r="B2170" s="235"/>
      <c r="C2170" s="227"/>
      <c r="D2170" s="344"/>
      <c r="E2170" s="235"/>
      <c r="F2170" s="235"/>
      <c r="G2170" s="227"/>
      <c r="H2170" s="227"/>
      <c r="I2170" s="350"/>
      <c r="J2170" s="227"/>
      <c r="K2170" s="227"/>
      <c r="L2170" s="224"/>
      <c r="M2170" s="224"/>
      <c r="N2170" s="224"/>
      <c r="O2170" s="224"/>
      <c r="P2170" s="224"/>
      <c r="Q2170" s="224"/>
      <c r="R2170" s="224"/>
      <c r="S2170" s="224"/>
      <c r="T2170" s="224"/>
      <c r="U2170" s="224"/>
      <c r="V2170" s="224"/>
    </row>
    <row r="2171" spans="1:22" x14ac:dyDescent="0.3">
      <c r="A2171" s="222"/>
      <c r="B2171" s="235"/>
      <c r="C2171" s="227"/>
      <c r="D2171" s="344"/>
      <c r="E2171" s="235"/>
      <c r="F2171" s="235"/>
      <c r="G2171" s="227"/>
      <c r="H2171" s="227"/>
      <c r="I2171" s="350"/>
      <c r="J2171" s="227"/>
      <c r="K2171" s="227"/>
      <c r="L2171" s="224"/>
      <c r="M2171" s="224"/>
      <c r="N2171" s="224"/>
      <c r="O2171" s="224"/>
      <c r="P2171" s="224"/>
      <c r="Q2171" s="224"/>
      <c r="R2171" s="224"/>
      <c r="S2171" s="224"/>
      <c r="T2171" s="224"/>
      <c r="U2171" s="224"/>
      <c r="V2171" s="224"/>
    </row>
    <row r="2172" spans="1:22" x14ac:dyDescent="0.3">
      <c r="A2172" s="222"/>
      <c r="B2172" s="235"/>
      <c r="C2172" s="227"/>
      <c r="D2172" s="344"/>
      <c r="E2172" s="235"/>
      <c r="F2172" s="235"/>
      <c r="G2172" s="227"/>
      <c r="H2172" s="227"/>
      <c r="I2172" s="350"/>
      <c r="J2172" s="227"/>
      <c r="K2172" s="227"/>
      <c r="L2172" s="224"/>
      <c r="M2172" s="224"/>
      <c r="N2172" s="224"/>
      <c r="O2172" s="224"/>
      <c r="P2172" s="224"/>
      <c r="Q2172" s="224"/>
      <c r="R2172" s="224"/>
      <c r="S2172" s="224"/>
      <c r="T2172" s="224"/>
      <c r="U2172" s="224"/>
      <c r="V2172" s="224"/>
    </row>
    <row r="2173" spans="1:22" x14ac:dyDescent="0.3">
      <c r="A2173" s="222"/>
      <c r="B2173" s="235"/>
      <c r="C2173" s="227"/>
      <c r="D2173" s="344"/>
      <c r="E2173" s="235"/>
      <c r="F2173" s="235"/>
      <c r="G2173" s="227"/>
      <c r="H2173" s="227"/>
      <c r="I2173" s="350"/>
      <c r="J2173" s="227"/>
      <c r="K2173" s="227"/>
      <c r="L2173" s="224"/>
      <c r="M2173" s="224"/>
      <c r="N2173" s="224"/>
      <c r="O2173" s="224"/>
      <c r="P2173" s="224"/>
      <c r="Q2173" s="224"/>
      <c r="R2173" s="224"/>
      <c r="S2173" s="224"/>
      <c r="T2173" s="224"/>
      <c r="U2173" s="224"/>
      <c r="V2173" s="224"/>
    </row>
    <row r="2174" spans="1:22" x14ac:dyDescent="0.3">
      <c r="A2174" s="222"/>
      <c r="B2174" s="235"/>
      <c r="C2174" s="227"/>
      <c r="D2174" s="344"/>
      <c r="E2174" s="235"/>
      <c r="F2174" s="235"/>
      <c r="G2174" s="227"/>
      <c r="H2174" s="227"/>
      <c r="I2174" s="350"/>
      <c r="J2174" s="227"/>
      <c r="K2174" s="227"/>
      <c r="L2174" s="224"/>
      <c r="M2174" s="224"/>
      <c r="N2174" s="224"/>
      <c r="O2174" s="224"/>
      <c r="P2174" s="224"/>
      <c r="Q2174" s="224"/>
      <c r="R2174" s="224"/>
      <c r="S2174" s="224"/>
      <c r="T2174" s="224"/>
      <c r="U2174" s="224"/>
      <c r="V2174" s="224"/>
    </row>
    <row r="2175" spans="1:22" x14ac:dyDescent="0.3">
      <c r="A2175" s="222"/>
      <c r="B2175" s="235"/>
      <c r="C2175" s="227"/>
      <c r="D2175" s="344"/>
      <c r="E2175" s="235"/>
      <c r="F2175" s="235"/>
      <c r="G2175" s="227"/>
      <c r="H2175" s="227"/>
      <c r="I2175" s="350"/>
      <c r="J2175" s="227"/>
      <c r="K2175" s="227"/>
      <c r="L2175" s="224"/>
      <c r="M2175" s="224"/>
      <c r="N2175" s="224"/>
      <c r="O2175" s="224"/>
      <c r="P2175" s="224"/>
      <c r="Q2175" s="224"/>
      <c r="R2175" s="224"/>
      <c r="S2175" s="224"/>
      <c r="T2175" s="224"/>
      <c r="U2175" s="224"/>
      <c r="V2175" s="224"/>
    </row>
    <row r="2176" spans="1:22" x14ac:dyDescent="0.3">
      <c r="A2176" s="222"/>
      <c r="B2176" s="235"/>
      <c r="C2176" s="227"/>
      <c r="D2176" s="344"/>
      <c r="E2176" s="235"/>
      <c r="F2176" s="235"/>
      <c r="G2176" s="227"/>
      <c r="H2176" s="227"/>
      <c r="I2176" s="350"/>
      <c r="J2176" s="227"/>
      <c r="K2176" s="227"/>
      <c r="L2176" s="224"/>
      <c r="M2176" s="224"/>
      <c r="N2176" s="224"/>
      <c r="O2176" s="224"/>
      <c r="P2176" s="224"/>
      <c r="Q2176" s="224"/>
      <c r="R2176" s="224"/>
      <c r="S2176" s="224"/>
      <c r="T2176" s="224"/>
      <c r="U2176" s="224"/>
      <c r="V2176" s="224"/>
    </row>
    <row r="2177" spans="1:22" x14ac:dyDescent="0.3">
      <c r="A2177" s="222"/>
      <c r="B2177" s="235"/>
      <c r="C2177" s="227"/>
      <c r="D2177" s="344"/>
      <c r="E2177" s="235"/>
      <c r="F2177" s="235"/>
      <c r="G2177" s="227"/>
      <c r="H2177" s="227"/>
      <c r="I2177" s="350"/>
      <c r="J2177" s="227"/>
      <c r="K2177" s="227"/>
      <c r="L2177" s="224"/>
      <c r="M2177" s="224"/>
      <c r="N2177" s="224"/>
      <c r="O2177" s="224"/>
      <c r="P2177" s="224"/>
      <c r="Q2177" s="224"/>
      <c r="R2177" s="224"/>
      <c r="S2177" s="224"/>
      <c r="T2177" s="224"/>
      <c r="U2177" s="224"/>
      <c r="V2177" s="224"/>
    </row>
    <row r="2178" spans="1:22" x14ac:dyDescent="0.3">
      <c r="A2178" s="222"/>
      <c r="B2178" s="235"/>
      <c r="C2178" s="227"/>
      <c r="D2178" s="344"/>
      <c r="E2178" s="235"/>
      <c r="F2178" s="235"/>
      <c r="G2178" s="227"/>
      <c r="H2178" s="227"/>
      <c r="I2178" s="350"/>
      <c r="J2178" s="227"/>
      <c r="K2178" s="227"/>
      <c r="L2178" s="224"/>
      <c r="M2178" s="224"/>
      <c r="N2178" s="224"/>
      <c r="O2178" s="224"/>
      <c r="P2178" s="224"/>
      <c r="Q2178" s="224"/>
      <c r="R2178" s="224"/>
      <c r="S2178" s="224"/>
      <c r="T2178" s="224"/>
      <c r="U2178" s="224"/>
      <c r="V2178" s="224"/>
    </row>
    <row r="2179" spans="1:22" x14ac:dyDescent="0.3">
      <c r="A2179" s="222"/>
      <c r="B2179" s="235"/>
      <c r="C2179" s="227"/>
      <c r="D2179" s="344"/>
      <c r="E2179" s="235"/>
      <c r="F2179" s="235"/>
      <c r="G2179" s="227"/>
      <c r="H2179" s="227"/>
      <c r="I2179" s="350"/>
      <c r="J2179" s="227"/>
      <c r="K2179" s="227"/>
      <c r="L2179" s="224"/>
      <c r="M2179" s="224"/>
      <c r="N2179" s="224"/>
      <c r="O2179" s="224"/>
      <c r="P2179" s="224"/>
      <c r="Q2179" s="224"/>
      <c r="R2179" s="224"/>
      <c r="S2179" s="224"/>
      <c r="T2179" s="224"/>
      <c r="U2179" s="224"/>
      <c r="V2179" s="224"/>
    </row>
    <row r="2180" spans="1:22" x14ac:dyDescent="0.3">
      <c r="A2180" s="222"/>
      <c r="B2180" s="235"/>
      <c r="C2180" s="227"/>
      <c r="D2180" s="344"/>
      <c r="E2180" s="235"/>
      <c r="F2180" s="235"/>
      <c r="G2180" s="227"/>
      <c r="H2180" s="227"/>
      <c r="I2180" s="350"/>
      <c r="J2180" s="227"/>
      <c r="K2180" s="227"/>
      <c r="L2180" s="224"/>
      <c r="M2180" s="224"/>
      <c r="N2180" s="224"/>
      <c r="O2180" s="224"/>
      <c r="P2180" s="224"/>
      <c r="Q2180" s="224"/>
      <c r="R2180" s="224"/>
      <c r="S2180" s="224"/>
      <c r="T2180" s="224"/>
      <c r="U2180" s="224"/>
      <c r="V2180" s="224"/>
    </row>
    <row r="2181" spans="1:22" x14ac:dyDescent="0.3">
      <c r="A2181" s="222"/>
      <c r="B2181" s="235"/>
      <c r="C2181" s="227"/>
      <c r="D2181" s="344"/>
      <c r="E2181" s="235"/>
      <c r="F2181" s="235"/>
      <c r="G2181" s="227"/>
      <c r="H2181" s="227"/>
      <c r="I2181" s="350"/>
      <c r="J2181" s="227"/>
      <c r="K2181" s="227"/>
      <c r="L2181" s="224"/>
      <c r="M2181" s="224"/>
      <c r="N2181" s="224"/>
      <c r="O2181" s="224"/>
      <c r="P2181" s="224"/>
      <c r="Q2181" s="224"/>
      <c r="R2181" s="224"/>
      <c r="S2181" s="224"/>
      <c r="T2181" s="224"/>
      <c r="U2181" s="224"/>
      <c r="V2181" s="224"/>
    </row>
    <row r="2182" spans="1:22" x14ac:dyDescent="0.3">
      <c r="A2182" s="222"/>
      <c r="B2182" s="235"/>
      <c r="C2182" s="227"/>
      <c r="D2182" s="344"/>
      <c r="E2182" s="235"/>
      <c r="F2182" s="235"/>
      <c r="G2182" s="227"/>
      <c r="H2182" s="227"/>
      <c r="I2182" s="350"/>
      <c r="J2182" s="227"/>
      <c r="K2182" s="227"/>
      <c r="L2182" s="224"/>
      <c r="M2182" s="224"/>
      <c r="N2182" s="224"/>
      <c r="O2182" s="224"/>
      <c r="P2182" s="224"/>
      <c r="Q2182" s="224"/>
      <c r="R2182" s="224"/>
      <c r="S2182" s="224"/>
      <c r="T2182" s="224"/>
      <c r="U2182" s="224"/>
      <c r="V2182" s="224"/>
    </row>
    <row r="2183" spans="1:22" x14ac:dyDescent="0.3">
      <c r="A2183" s="222"/>
      <c r="B2183" s="235"/>
      <c r="C2183" s="227"/>
      <c r="D2183" s="344"/>
      <c r="E2183" s="235"/>
      <c r="F2183" s="235"/>
      <c r="G2183" s="227"/>
      <c r="H2183" s="227"/>
      <c r="I2183" s="350"/>
      <c r="J2183" s="227"/>
      <c r="K2183" s="227"/>
      <c r="L2183" s="224"/>
      <c r="M2183" s="224"/>
      <c r="N2183" s="224"/>
      <c r="O2183" s="224"/>
      <c r="P2183" s="224"/>
      <c r="Q2183" s="224"/>
      <c r="R2183" s="224"/>
      <c r="S2183" s="224"/>
      <c r="T2183" s="224"/>
      <c r="U2183" s="224"/>
      <c r="V2183" s="224"/>
    </row>
    <row r="2184" spans="1:22" x14ac:dyDescent="0.3">
      <c r="A2184" s="222"/>
      <c r="B2184" s="235"/>
      <c r="C2184" s="227"/>
      <c r="D2184" s="344"/>
      <c r="E2184" s="235"/>
      <c r="F2184" s="235"/>
      <c r="G2184" s="227"/>
      <c r="H2184" s="227"/>
      <c r="I2184" s="350"/>
      <c r="J2184" s="227"/>
      <c r="K2184" s="227"/>
      <c r="L2184" s="224"/>
      <c r="M2184" s="224"/>
      <c r="N2184" s="224"/>
      <c r="O2184" s="224"/>
      <c r="P2184" s="224"/>
      <c r="Q2184" s="224"/>
      <c r="R2184" s="224"/>
      <c r="S2184" s="224"/>
      <c r="T2184" s="224"/>
      <c r="U2184" s="224"/>
      <c r="V2184" s="224"/>
    </row>
    <row r="2185" spans="1:22" x14ac:dyDescent="0.3">
      <c r="A2185" s="222"/>
      <c r="B2185" s="235"/>
      <c r="C2185" s="227"/>
      <c r="D2185" s="344"/>
      <c r="E2185" s="235"/>
      <c r="F2185" s="235"/>
      <c r="G2185" s="227"/>
      <c r="H2185" s="227"/>
      <c r="I2185" s="350"/>
      <c r="J2185" s="227"/>
      <c r="K2185" s="227"/>
      <c r="L2185" s="224"/>
      <c r="M2185" s="224"/>
      <c r="N2185" s="224"/>
      <c r="O2185" s="224"/>
      <c r="P2185" s="224"/>
      <c r="Q2185" s="224"/>
      <c r="R2185" s="224"/>
      <c r="S2185" s="224"/>
      <c r="T2185" s="224"/>
      <c r="U2185" s="224"/>
      <c r="V2185" s="224"/>
    </row>
    <row r="2186" spans="1:22" x14ac:dyDescent="0.3">
      <c r="A2186" s="222"/>
      <c r="B2186" s="235"/>
      <c r="C2186" s="227"/>
      <c r="D2186" s="344"/>
      <c r="E2186" s="235"/>
      <c r="F2186" s="235"/>
      <c r="G2186" s="227"/>
      <c r="H2186" s="227"/>
      <c r="I2186" s="350"/>
      <c r="J2186" s="227"/>
      <c r="K2186" s="227"/>
      <c r="L2186" s="224"/>
      <c r="M2186" s="224"/>
      <c r="N2186" s="224"/>
      <c r="O2186" s="224"/>
      <c r="P2186" s="224"/>
      <c r="Q2186" s="224"/>
      <c r="R2186" s="224"/>
      <c r="S2186" s="224"/>
      <c r="T2186" s="224"/>
      <c r="U2186" s="224"/>
      <c r="V2186" s="224"/>
    </row>
    <row r="2187" spans="1:22" x14ac:dyDescent="0.3">
      <c r="A2187" s="222"/>
      <c r="B2187" s="235"/>
      <c r="C2187" s="227"/>
      <c r="D2187" s="344"/>
      <c r="E2187" s="235"/>
      <c r="F2187" s="235"/>
      <c r="G2187" s="227"/>
      <c r="H2187" s="227"/>
      <c r="I2187" s="350"/>
      <c r="J2187" s="227"/>
      <c r="K2187" s="227"/>
      <c r="L2187" s="224"/>
      <c r="M2187" s="224"/>
      <c r="N2187" s="224"/>
      <c r="O2187" s="224"/>
      <c r="P2187" s="224"/>
      <c r="Q2187" s="224"/>
      <c r="R2187" s="224"/>
      <c r="S2187" s="224"/>
      <c r="T2187" s="224"/>
      <c r="U2187" s="224"/>
      <c r="V2187" s="224"/>
    </row>
    <row r="2188" spans="1:22" x14ac:dyDescent="0.3">
      <c r="A2188" s="222"/>
      <c r="B2188" s="235"/>
      <c r="C2188" s="227"/>
      <c r="D2188" s="344"/>
      <c r="E2188" s="235"/>
      <c r="F2188" s="235"/>
      <c r="G2188" s="227"/>
      <c r="H2188" s="227"/>
      <c r="I2188" s="350"/>
      <c r="J2188" s="227"/>
      <c r="K2188" s="227"/>
      <c r="L2188" s="224"/>
      <c r="M2188" s="224"/>
      <c r="N2188" s="224"/>
      <c r="O2188" s="224"/>
      <c r="P2188" s="224"/>
      <c r="Q2188" s="224"/>
      <c r="R2188" s="224"/>
      <c r="S2188" s="224"/>
      <c r="T2188" s="224"/>
      <c r="U2188" s="224"/>
      <c r="V2188" s="224"/>
    </row>
    <row r="2189" spans="1:22" x14ac:dyDescent="0.3">
      <c r="A2189" s="222"/>
      <c r="B2189" s="235"/>
      <c r="C2189" s="227"/>
      <c r="D2189" s="344"/>
      <c r="E2189" s="235"/>
      <c r="F2189" s="235"/>
      <c r="G2189" s="227"/>
      <c r="H2189" s="227"/>
      <c r="I2189" s="350"/>
      <c r="J2189" s="227"/>
      <c r="K2189" s="227"/>
      <c r="L2189" s="224"/>
      <c r="M2189" s="224"/>
      <c r="N2189" s="224"/>
      <c r="O2189" s="224"/>
      <c r="P2189" s="224"/>
      <c r="Q2189" s="224"/>
      <c r="R2189" s="224"/>
      <c r="S2189" s="224"/>
      <c r="T2189" s="224"/>
      <c r="U2189" s="224"/>
      <c r="V2189" s="224"/>
    </row>
    <row r="2190" spans="1:22" x14ac:dyDescent="0.3">
      <c r="A2190" s="222"/>
      <c r="B2190" s="235"/>
      <c r="C2190" s="227"/>
      <c r="D2190" s="344"/>
      <c r="E2190" s="235"/>
      <c r="F2190" s="235"/>
      <c r="G2190" s="227"/>
      <c r="H2190" s="227"/>
      <c r="I2190" s="350"/>
      <c r="J2190" s="227"/>
      <c r="K2190" s="227"/>
      <c r="L2190" s="224"/>
      <c r="M2190" s="224"/>
      <c r="N2190" s="224"/>
      <c r="O2190" s="224"/>
      <c r="P2190" s="224"/>
      <c r="Q2190" s="224"/>
      <c r="R2190" s="224"/>
      <c r="S2190" s="224"/>
      <c r="T2190" s="224"/>
      <c r="U2190" s="224"/>
      <c r="V2190" s="224"/>
    </row>
    <row r="2191" spans="1:22" x14ac:dyDescent="0.3">
      <c r="A2191" s="222"/>
      <c r="B2191" s="235"/>
      <c r="C2191" s="227"/>
      <c r="D2191" s="344"/>
      <c r="E2191" s="235"/>
      <c r="F2191" s="235"/>
      <c r="G2191" s="227"/>
      <c r="H2191" s="227"/>
      <c r="I2191" s="350"/>
      <c r="J2191" s="227"/>
      <c r="K2191" s="227"/>
      <c r="L2191" s="224"/>
      <c r="M2191" s="224"/>
      <c r="N2191" s="224"/>
      <c r="O2191" s="224"/>
      <c r="P2191" s="224"/>
      <c r="Q2191" s="224"/>
      <c r="R2191" s="224"/>
      <c r="S2191" s="224"/>
      <c r="T2191" s="224"/>
      <c r="U2191" s="224"/>
      <c r="V2191" s="224"/>
    </row>
    <row r="2192" spans="1:22" x14ac:dyDescent="0.3">
      <c r="A2192" s="222"/>
      <c r="B2192" s="235"/>
      <c r="C2192" s="227"/>
      <c r="D2192" s="344"/>
      <c r="E2192" s="235"/>
      <c r="F2192" s="235"/>
      <c r="G2192" s="227"/>
      <c r="H2192" s="227"/>
      <c r="I2192" s="350"/>
      <c r="J2192" s="227"/>
      <c r="K2192" s="227"/>
      <c r="L2192" s="224"/>
      <c r="M2192" s="224"/>
      <c r="N2192" s="224"/>
      <c r="O2192" s="224"/>
      <c r="P2192" s="224"/>
      <c r="Q2192" s="224"/>
      <c r="R2192" s="224"/>
      <c r="S2192" s="224"/>
      <c r="T2192" s="224"/>
      <c r="U2192" s="224"/>
      <c r="V2192" s="224"/>
    </row>
    <row r="2193" spans="1:22" x14ac:dyDescent="0.3">
      <c r="A2193" s="222"/>
      <c r="B2193" s="235"/>
      <c r="C2193" s="227"/>
      <c r="D2193" s="344"/>
      <c r="E2193" s="235"/>
      <c r="F2193" s="235"/>
      <c r="G2193" s="227"/>
      <c r="H2193" s="227"/>
      <c r="I2193" s="350"/>
      <c r="J2193" s="227"/>
      <c r="K2193" s="227"/>
      <c r="L2193" s="224"/>
      <c r="M2193" s="224"/>
      <c r="N2193" s="224"/>
      <c r="O2193" s="224"/>
      <c r="P2193" s="224"/>
      <c r="Q2193" s="224"/>
      <c r="R2193" s="224"/>
      <c r="S2193" s="224"/>
      <c r="T2193" s="224"/>
      <c r="U2193" s="224"/>
      <c r="V2193" s="224"/>
    </row>
    <row r="2194" spans="1:22" x14ac:dyDescent="0.3">
      <c r="A2194" s="222"/>
      <c r="B2194" s="235"/>
      <c r="C2194" s="227"/>
      <c r="D2194" s="344"/>
      <c r="E2194" s="235"/>
      <c r="F2194" s="235"/>
      <c r="G2194" s="227"/>
      <c r="H2194" s="227"/>
      <c r="I2194" s="350"/>
      <c r="J2194" s="227"/>
      <c r="K2194" s="227"/>
      <c r="L2194" s="224"/>
      <c r="M2194" s="224"/>
      <c r="N2194" s="224"/>
      <c r="O2194" s="224"/>
      <c r="P2194" s="224"/>
      <c r="Q2194" s="224"/>
      <c r="R2194" s="224"/>
      <c r="S2194" s="224"/>
      <c r="T2194" s="224"/>
      <c r="U2194" s="224"/>
      <c r="V2194" s="224"/>
    </row>
    <row r="2195" spans="1:22" x14ac:dyDescent="0.3">
      <c r="A2195" s="222"/>
      <c r="B2195" s="235"/>
      <c r="C2195" s="227"/>
      <c r="D2195" s="344"/>
      <c r="E2195" s="235"/>
      <c r="F2195" s="235"/>
      <c r="G2195" s="227"/>
      <c r="H2195" s="227"/>
      <c r="I2195" s="350"/>
      <c r="J2195" s="227"/>
      <c r="K2195" s="227"/>
      <c r="L2195" s="224"/>
      <c r="M2195" s="224"/>
      <c r="N2195" s="224"/>
      <c r="O2195" s="224"/>
      <c r="P2195" s="224"/>
      <c r="Q2195" s="224"/>
      <c r="R2195" s="224"/>
      <c r="S2195" s="224"/>
      <c r="T2195" s="224"/>
      <c r="U2195" s="224"/>
      <c r="V2195" s="224"/>
    </row>
    <row r="2196" spans="1:22" x14ac:dyDescent="0.3">
      <c r="A2196" s="222"/>
      <c r="B2196" s="235"/>
      <c r="C2196" s="227"/>
      <c r="D2196" s="344"/>
      <c r="E2196" s="235"/>
      <c r="F2196" s="235"/>
      <c r="G2196" s="227"/>
      <c r="H2196" s="227"/>
      <c r="I2196" s="350"/>
      <c r="J2196" s="227"/>
      <c r="K2196" s="227"/>
      <c r="L2196" s="224"/>
      <c r="M2196" s="224"/>
      <c r="N2196" s="224"/>
      <c r="O2196" s="224"/>
      <c r="P2196" s="224"/>
      <c r="Q2196" s="224"/>
      <c r="R2196" s="224"/>
      <c r="S2196" s="224"/>
      <c r="T2196" s="224"/>
      <c r="U2196" s="224"/>
      <c r="V2196" s="224"/>
    </row>
    <row r="2197" spans="1:22" x14ac:dyDescent="0.3">
      <c r="A2197" s="222"/>
      <c r="B2197" s="235"/>
      <c r="C2197" s="227"/>
      <c r="D2197" s="344"/>
      <c r="E2197" s="235"/>
      <c r="F2197" s="235"/>
      <c r="G2197" s="227"/>
      <c r="H2197" s="227"/>
      <c r="I2197" s="350"/>
      <c r="J2197" s="227"/>
      <c r="K2197" s="227"/>
      <c r="L2197" s="224"/>
      <c r="M2197" s="224"/>
      <c r="N2197" s="224"/>
      <c r="O2197" s="224"/>
      <c r="P2197" s="224"/>
      <c r="Q2197" s="224"/>
      <c r="R2197" s="224"/>
      <c r="S2197" s="224"/>
      <c r="T2197" s="224"/>
      <c r="U2197" s="224"/>
      <c r="V2197" s="224"/>
    </row>
    <row r="2198" spans="1:22" x14ac:dyDescent="0.3">
      <c r="A2198" s="222"/>
      <c r="B2198" s="235"/>
      <c r="C2198" s="227"/>
      <c r="D2198" s="344"/>
      <c r="E2198" s="235"/>
      <c r="F2198" s="235"/>
      <c r="G2198" s="227"/>
      <c r="H2198" s="227"/>
      <c r="I2198" s="350"/>
      <c r="J2198" s="227"/>
      <c r="K2198" s="227"/>
      <c r="L2198" s="224"/>
      <c r="M2198" s="224"/>
      <c r="N2198" s="224"/>
      <c r="O2198" s="224"/>
      <c r="P2198" s="224"/>
      <c r="Q2198" s="224"/>
      <c r="R2198" s="224"/>
      <c r="S2198" s="224"/>
      <c r="T2198" s="224"/>
      <c r="U2198" s="224"/>
      <c r="V2198" s="224"/>
    </row>
    <row r="2199" spans="1:22" x14ac:dyDescent="0.3">
      <c r="A2199" s="222"/>
      <c r="B2199" s="235"/>
      <c r="C2199" s="227"/>
      <c r="D2199" s="344"/>
      <c r="E2199" s="235"/>
      <c r="F2199" s="235"/>
      <c r="G2199" s="227"/>
      <c r="H2199" s="227"/>
      <c r="I2199" s="350"/>
      <c r="J2199" s="227"/>
      <c r="K2199" s="227"/>
      <c r="L2199" s="224"/>
      <c r="M2199" s="224"/>
      <c r="N2199" s="224"/>
      <c r="O2199" s="224"/>
      <c r="P2199" s="224"/>
      <c r="Q2199" s="224"/>
      <c r="R2199" s="224"/>
      <c r="S2199" s="224"/>
      <c r="T2199" s="224"/>
      <c r="U2199" s="224"/>
      <c r="V2199" s="224"/>
    </row>
    <row r="2200" spans="1:22" x14ac:dyDescent="0.3">
      <c r="A2200" s="222"/>
      <c r="B2200" s="235"/>
      <c r="C2200" s="227"/>
      <c r="D2200" s="344"/>
      <c r="E2200" s="235"/>
      <c r="F2200" s="235"/>
      <c r="G2200" s="227"/>
      <c r="H2200" s="227"/>
      <c r="I2200" s="350"/>
      <c r="J2200" s="227"/>
      <c r="K2200" s="227"/>
      <c r="L2200" s="224"/>
      <c r="M2200" s="224"/>
      <c r="N2200" s="224"/>
      <c r="O2200" s="224"/>
      <c r="P2200" s="224"/>
      <c r="Q2200" s="224"/>
      <c r="R2200" s="224"/>
      <c r="S2200" s="224"/>
      <c r="T2200" s="224"/>
      <c r="U2200" s="224"/>
      <c r="V2200" s="224"/>
    </row>
    <row r="2201" spans="1:22" x14ac:dyDescent="0.3">
      <c r="A2201" s="222"/>
      <c r="B2201" s="235"/>
      <c r="C2201" s="227"/>
      <c r="D2201" s="344"/>
      <c r="E2201" s="235"/>
      <c r="F2201" s="235"/>
      <c r="G2201" s="227"/>
      <c r="H2201" s="227"/>
      <c r="I2201" s="350"/>
      <c r="J2201" s="227"/>
      <c r="K2201" s="227"/>
      <c r="L2201" s="224"/>
      <c r="M2201" s="224"/>
      <c r="N2201" s="224"/>
      <c r="O2201" s="224"/>
      <c r="P2201" s="224"/>
      <c r="Q2201" s="224"/>
      <c r="R2201" s="224"/>
      <c r="S2201" s="224"/>
      <c r="T2201" s="224"/>
      <c r="U2201" s="224"/>
      <c r="V2201" s="224"/>
    </row>
    <row r="2202" spans="1:22" x14ac:dyDescent="0.3">
      <c r="A2202" s="222"/>
      <c r="B2202" s="235"/>
      <c r="C2202" s="227"/>
      <c r="D2202" s="344"/>
      <c r="E2202" s="235"/>
      <c r="F2202" s="235"/>
      <c r="G2202" s="227"/>
      <c r="H2202" s="227"/>
      <c r="I2202" s="350"/>
      <c r="J2202" s="227"/>
      <c r="K2202" s="227"/>
      <c r="L2202" s="224"/>
      <c r="M2202" s="224"/>
      <c r="N2202" s="224"/>
      <c r="O2202" s="224"/>
      <c r="P2202" s="224"/>
      <c r="Q2202" s="224"/>
      <c r="R2202" s="224"/>
      <c r="S2202" s="224"/>
      <c r="T2202" s="224"/>
      <c r="U2202" s="224"/>
      <c r="V2202" s="224"/>
    </row>
    <row r="2203" spans="1:22" x14ac:dyDescent="0.3">
      <c r="A2203" s="222"/>
      <c r="B2203" s="235"/>
      <c r="C2203" s="227"/>
      <c r="D2203" s="344"/>
      <c r="E2203" s="235"/>
      <c r="F2203" s="235"/>
      <c r="G2203" s="227"/>
      <c r="H2203" s="227"/>
      <c r="I2203" s="350"/>
      <c r="J2203" s="227"/>
      <c r="K2203" s="227"/>
      <c r="L2203" s="224"/>
      <c r="M2203" s="224"/>
      <c r="N2203" s="224"/>
      <c r="O2203" s="224"/>
      <c r="P2203" s="224"/>
      <c r="Q2203" s="224"/>
      <c r="R2203" s="224"/>
      <c r="S2203" s="224"/>
      <c r="T2203" s="224"/>
      <c r="U2203" s="224"/>
      <c r="V2203" s="224"/>
    </row>
    <row r="2204" spans="1:22" x14ac:dyDescent="0.3">
      <c r="A2204" s="222"/>
      <c r="B2204" s="235"/>
      <c r="C2204" s="227"/>
      <c r="D2204" s="344"/>
      <c r="E2204" s="235"/>
      <c r="F2204" s="235"/>
      <c r="G2204" s="227"/>
      <c r="H2204" s="227"/>
      <c r="I2204" s="350"/>
      <c r="J2204" s="227"/>
      <c r="K2204" s="227"/>
      <c r="L2204" s="224"/>
      <c r="M2204" s="224"/>
      <c r="N2204" s="224"/>
      <c r="O2204" s="224"/>
      <c r="P2204" s="224"/>
      <c r="Q2204" s="224"/>
      <c r="R2204" s="224"/>
      <c r="S2204" s="224"/>
      <c r="T2204" s="224"/>
      <c r="U2204" s="224"/>
      <c r="V2204" s="224"/>
    </row>
    <row r="2205" spans="1:22" x14ac:dyDescent="0.3">
      <c r="A2205" s="222"/>
      <c r="B2205" s="235"/>
      <c r="C2205" s="227"/>
      <c r="D2205" s="344"/>
      <c r="E2205" s="235"/>
      <c r="F2205" s="235"/>
      <c r="G2205" s="227"/>
      <c r="H2205" s="227"/>
      <c r="I2205" s="350"/>
      <c r="J2205" s="227"/>
      <c r="K2205" s="227"/>
      <c r="L2205" s="224"/>
      <c r="M2205" s="224"/>
      <c r="N2205" s="224"/>
      <c r="O2205" s="224"/>
      <c r="P2205" s="224"/>
      <c r="Q2205" s="224"/>
      <c r="R2205" s="224"/>
      <c r="S2205" s="224"/>
      <c r="T2205" s="224"/>
      <c r="U2205" s="224"/>
      <c r="V2205" s="224"/>
    </row>
    <row r="2206" spans="1:22" x14ac:dyDescent="0.3">
      <c r="A2206" s="222"/>
      <c r="B2206" s="235"/>
      <c r="C2206" s="227"/>
      <c r="D2206" s="344"/>
      <c r="E2206" s="235"/>
      <c r="F2206" s="235"/>
      <c r="G2206" s="227"/>
      <c r="H2206" s="227"/>
      <c r="I2206" s="350"/>
      <c r="J2206" s="227"/>
      <c r="K2206" s="227"/>
      <c r="L2206" s="224"/>
      <c r="M2206" s="224"/>
      <c r="N2206" s="224"/>
      <c r="O2206" s="224"/>
      <c r="P2206" s="224"/>
      <c r="Q2206" s="224"/>
      <c r="R2206" s="224"/>
      <c r="S2206" s="224"/>
      <c r="T2206" s="224"/>
      <c r="U2206" s="224"/>
      <c r="V2206" s="224"/>
    </row>
    <row r="2207" spans="1:22" x14ac:dyDescent="0.3">
      <c r="A2207" s="222"/>
      <c r="B2207" s="235"/>
      <c r="C2207" s="227"/>
      <c r="D2207" s="344"/>
      <c r="E2207" s="235"/>
      <c r="F2207" s="235"/>
      <c r="G2207" s="227"/>
      <c r="H2207" s="227"/>
      <c r="I2207" s="350"/>
      <c r="J2207" s="227"/>
      <c r="K2207" s="227"/>
      <c r="L2207" s="224"/>
      <c r="M2207" s="224"/>
      <c r="N2207" s="224"/>
      <c r="O2207" s="224"/>
      <c r="P2207" s="224"/>
      <c r="Q2207" s="224"/>
      <c r="R2207" s="224"/>
      <c r="S2207" s="224"/>
      <c r="T2207" s="224"/>
      <c r="U2207" s="224"/>
      <c r="V2207" s="224"/>
    </row>
    <row r="2208" spans="1:22" x14ac:dyDescent="0.3">
      <c r="A2208" s="222"/>
      <c r="B2208" s="235"/>
      <c r="C2208" s="227"/>
      <c r="D2208" s="344"/>
      <c r="E2208" s="235"/>
      <c r="F2208" s="235"/>
      <c r="G2208" s="227"/>
      <c r="H2208" s="227"/>
      <c r="I2208" s="350"/>
      <c r="J2208" s="227"/>
      <c r="K2208" s="227"/>
      <c r="L2208" s="224"/>
      <c r="M2208" s="224"/>
      <c r="N2208" s="224"/>
      <c r="O2208" s="224"/>
      <c r="P2208" s="224"/>
      <c r="Q2208" s="224"/>
      <c r="R2208" s="224"/>
      <c r="S2208" s="224"/>
      <c r="T2208" s="224"/>
      <c r="U2208" s="224"/>
      <c r="V2208" s="224"/>
    </row>
    <row r="2209" spans="1:22" x14ac:dyDescent="0.3">
      <c r="A2209" s="222"/>
      <c r="B2209" s="235"/>
      <c r="C2209" s="227"/>
      <c r="D2209" s="344"/>
      <c r="E2209" s="235"/>
      <c r="F2209" s="235"/>
      <c r="G2209" s="227"/>
      <c r="H2209" s="227"/>
      <c r="I2209" s="350"/>
      <c r="J2209" s="227"/>
      <c r="K2209" s="227"/>
      <c r="L2209" s="224"/>
      <c r="M2209" s="224"/>
      <c r="N2209" s="224"/>
      <c r="O2209" s="224"/>
      <c r="P2209" s="224"/>
      <c r="Q2209" s="224"/>
      <c r="R2209" s="224"/>
      <c r="S2209" s="224"/>
      <c r="T2209" s="224"/>
      <c r="U2209" s="224"/>
      <c r="V2209" s="224"/>
    </row>
    <row r="2210" spans="1:22" x14ac:dyDescent="0.3">
      <c r="A2210" s="222"/>
      <c r="B2210" s="235"/>
      <c r="C2210" s="227"/>
      <c r="D2210" s="344"/>
      <c r="E2210" s="235"/>
      <c r="F2210" s="235"/>
      <c r="G2210" s="227"/>
      <c r="H2210" s="227"/>
      <c r="I2210" s="350"/>
      <c r="J2210" s="227"/>
      <c r="K2210" s="227"/>
      <c r="L2210" s="224"/>
      <c r="M2210" s="224"/>
      <c r="N2210" s="224"/>
      <c r="O2210" s="224"/>
      <c r="P2210" s="224"/>
      <c r="Q2210" s="224"/>
      <c r="R2210" s="224"/>
      <c r="S2210" s="224"/>
      <c r="T2210" s="224"/>
      <c r="U2210" s="224"/>
      <c r="V2210" s="224"/>
    </row>
    <row r="2211" spans="1:22" x14ac:dyDescent="0.3">
      <c r="A2211" s="222"/>
      <c r="B2211" s="235"/>
      <c r="C2211" s="227"/>
      <c r="D2211" s="344"/>
      <c r="E2211" s="235"/>
      <c r="F2211" s="235"/>
      <c r="G2211" s="227"/>
      <c r="H2211" s="227"/>
      <c r="I2211" s="350"/>
      <c r="J2211" s="227"/>
      <c r="K2211" s="227"/>
      <c r="L2211" s="224"/>
      <c r="M2211" s="224"/>
      <c r="N2211" s="224"/>
      <c r="O2211" s="224"/>
      <c r="P2211" s="224"/>
      <c r="Q2211" s="224"/>
      <c r="R2211" s="224"/>
      <c r="S2211" s="224"/>
      <c r="T2211" s="224"/>
      <c r="U2211" s="224"/>
      <c r="V2211" s="224"/>
    </row>
    <row r="2212" spans="1:22" x14ac:dyDescent="0.3">
      <c r="A2212" s="222"/>
      <c r="B2212" s="235"/>
      <c r="C2212" s="227"/>
      <c r="D2212" s="344"/>
      <c r="E2212" s="235"/>
      <c r="F2212" s="235"/>
      <c r="G2212" s="227"/>
      <c r="H2212" s="227"/>
      <c r="I2212" s="350"/>
      <c r="J2212" s="227"/>
      <c r="K2212" s="227"/>
      <c r="L2212" s="224"/>
      <c r="M2212" s="224"/>
      <c r="N2212" s="224"/>
      <c r="O2212" s="224"/>
      <c r="P2212" s="224"/>
      <c r="Q2212" s="224"/>
      <c r="R2212" s="224"/>
      <c r="S2212" s="224"/>
      <c r="T2212" s="224"/>
      <c r="U2212" s="224"/>
      <c r="V2212" s="224"/>
    </row>
    <row r="2213" spans="1:22" x14ac:dyDescent="0.3">
      <c r="A2213" s="222"/>
      <c r="B2213" s="235"/>
      <c r="C2213" s="227"/>
      <c r="D2213" s="344"/>
      <c r="E2213" s="235"/>
      <c r="F2213" s="235"/>
      <c r="G2213" s="227"/>
      <c r="H2213" s="227"/>
      <c r="I2213" s="350"/>
      <c r="J2213" s="227"/>
      <c r="K2213" s="227"/>
      <c r="L2213" s="224"/>
      <c r="M2213" s="224"/>
      <c r="N2213" s="224"/>
      <c r="O2213" s="224"/>
      <c r="P2213" s="224"/>
      <c r="Q2213" s="224"/>
      <c r="R2213" s="224"/>
      <c r="S2213" s="224"/>
      <c r="T2213" s="224"/>
      <c r="U2213" s="224"/>
      <c r="V2213" s="224"/>
    </row>
    <row r="2214" spans="1:22" x14ac:dyDescent="0.3">
      <c r="A2214" s="222"/>
      <c r="B2214" s="235"/>
      <c r="C2214" s="227"/>
      <c r="D2214" s="344"/>
      <c r="E2214" s="235"/>
      <c r="F2214" s="235"/>
      <c r="G2214" s="227"/>
      <c r="H2214" s="227"/>
      <c r="I2214" s="350"/>
      <c r="J2214" s="227"/>
      <c r="K2214" s="227"/>
      <c r="L2214" s="224"/>
      <c r="M2214" s="224"/>
      <c r="N2214" s="224"/>
      <c r="O2214" s="224"/>
      <c r="P2214" s="224"/>
      <c r="Q2214" s="224"/>
      <c r="R2214" s="224"/>
      <c r="S2214" s="224"/>
      <c r="T2214" s="224"/>
      <c r="U2214" s="224"/>
      <c r="V2214" s="224"/>
    </row>
    <row r="2215" spans="1:22" x14ac:dyDescent="0.3">
      <c r="A2215" s="222"/>
      <c r="B2215" s="235"/>
      <c r="C2215" s="227"/>
      <c r="D2215" s="344"/>
      <c r="E2215" s="235"/>
      <c r="F2215" s="235"/>
      <c r="G2215" s="227"/>
      <c r="H2215" s="227"/>
      <c r="I2215" s="350"/>
      <c r="J2215" s="227"/>
      <c r="K2215" s="227"/>
      <c r="L2215" s="224"/>
      <c r="M2215" s="224"/>
      <c r="N2215" s="224"/>
      <c r="O2215" s="224"/>
      <c r="P2215" s="224"/>
      <c r="Q2215" s="224"/>
      <c r="R2215" s="224"/>
      <c r="S2215" s="224"/>
      <c r="T2215" s="224"/>
      <c r="U2215" s="224"/>
      <c r="V2215" s="224"/>
    </row>
    <row r="2216" spans="1:22" x14ac:dyDescent="0.3">
      <c r="A2216" s="222"/>
      <c r="B2216" s="235"/>
      <c r="C2216" s="227"/>
      <c r="D2216" s="344"/>
      <c r="E2216" s="235"/>
      <c r="F2216" s="235"/>
      <c r="G2216" s="227"/>
      <c r="H2216" s="227"/>
      <c r="I2216" s="350"/>
      <c r="J2216" s="227"/>
      <c r="K2216" s="227"/>
      <c r="L2216" s="224"/>
      <c r="M2216" s="224"/>
      <c r="N2216" s="224"/>
      <c r="O2216" s="224"/>
      <c r="P2216" s="224"/>
      <c r="Q2216" s="224"/>
      <c r="R2216" s="224"/>
      <c r="S2216" s="224"/>
      <c r="T2216" s="224"/>
      <c r="U2216" s="224"/>
      <c r="V2216" s="224"/>
    </row>
    <row r="2217" spans="1:22" x14ac:dyDescent="0.3">
      <c r="A2217" s="222"/>
      <c r="B2217" s="235"/>
      <c r="C2217" s="227"/>
      <c r="D2217" s="344"/>
      <c r="E2217" s="235"/>
      <c r="F2217" s="235"/>
      <c r="G2217" s="227"/>
      <c r="H2217" s="227"/>
      <c r="I2217" s="350"/>
      <c r="J2217" s="227"/>
      <c r="K2217" s="227"/>
      <c r="L2217" s="224"/>
      <c r="M2217" s="224"/>
      <c r="N2217" s="224"/>
      <c r="O2217" s="224"/>
      <c r="P2217" s="224"/>
      <c r="Q2217" s="224"/>
      <c r="R2217" s="224"/>
      <c r="S2217" s="224"/>
      <c r="T2217" s="224"/>
      <c r="U2217" s="224"/>
      <c r="V2217" s="224"/>
    </row>
    <row r="2218" spans="1:22" x14ac:dyDescent="0.3">
      <c r="A2218" s="222"/>
      <c r="B2218" s="235"/>
      <c r="C2218" s="227"/>
      <c r="D2218" s="344"/>
      <c r="E2218" s="235"/>
      <c r="F2218" s="235"/>
      <c r="G2218" s="227"/>
      <c r="H2218" s="227"/>
      <c r="I2218" s="350"/>
      <c r="J2218" s="227"/>
      <c r="K2218" s="227"/>
      <c r="L2218" s="224"/>
      <c r="M2218" s="224"/>
      <c r="N2218" s="224"/>
      <c r="O2218" s="224"/>
      <c r="P2218" s="224"/>
      <c r="Q2218" s="224"/>
      <c r="R2218" s="224"/>
      <c r="S2218" s="224"/>
      <c r="T2218" s="224"/>
      <c r="U2218" s="224"/>
      <c r="V2218" s="224"/>
    </row>
    <row r="2219" spans="1:22" x14ac:dyDescent="0.3">
      <c r="A2219" s="222"/>
      <c r="B2219" s="235"/>
      <c r="C2219" s="227"/>
      <c r="D2219" s="344"/>
      <c r="E2219" s="235"/>
      <c r="F2219" s="235"/>
      <c r="G2219" s="227"/>
      <c r="H2219" s="227"/>
      <c r="I2219" s="350"/>
      <c r="J2219" s="227"/>
      <c r="K2219" s="227"/>
      <c r="L2219" s="224"/>
      <c r="M2219" s="224"/>
      <c r="N2219" s="224"/>
      <c r="O2219" s="224"/>
      <c r="P2219" s="224"/>
      <c r="Q2219" s="224"/>
      <c r="R2219" s="224"/>
      <c r="S2219" s="224"/>
      <c r="T2219" s="224"/>
      <c r="U2219" s="224"/>
      <c r="V2219" s="224"/>
    </row>
    <row r="2220" spans="1:22" x14ac:dyDescent="0.3">
      <c r="A2220" s="222"/>
      <c r="B2220" s="235"/>
      <c r="C2220" s="227"/>
      <c r="D2220" s="344"/>
      <c r="E2220" s="235"/>
      <c r="F2220" s="235"/>
      <c r="G2220" s="227"/>
      <c r="H2220" s="227"/>
      <c r="I2220" s="350"/>
      <c r="J2220" s="227"/>
      <c r="K2220" s="227"/>
      <c r="L2220" s="224"/>
      <c r="M2220" s="224"/>
      <c r="N2220" s="224"/>
      <c r="O2220" s="224"/>
      <c r="P2220" s="224"/>
      <c r="Q2220" s="224"/>
      <c r="R2220" s="224"/>
      <c r="S2220" s="224"/>
      <c r="T2220" s="224"/>
      <c r="U2220" s="224"/>
      <c r="V2220" s="224"/>
    </row>
    <row r="2221" spans="1:22" x14ac:dyDescent="0.3">
      <c r="A2221" s="222"/>
      <c r="B2221" s="235"/>
      <c r="C2221" s="227"/>
      <c r="D2221" s="344"/>
      <c r="E2221" s="235"/>
      <c r="F2221" s="235"/>
      <c r="G2221" s="227"/>
      <c r="H2221" s="227"/>
      <c r="I2221" s="350"/>
      <c r="J2221" s="227"/>
      <c r="K2221" s="227"/>
      <c r="L2221" s="224"/>
      <c r="M2221" s="224"/>
      <c r="N2221" s="224"/>
      <c r="O2221" s="224"/>
      <c r="P2221" s="224"/>
      <c r="Q2221" s="224"/>
      <c r="R2221" s="224"/>
      <c r="S2221" s="224"/>
      <c r="T2221" s="224"/>
      <c r="U2221" s="224"/>
      <c r="V2221" s="224"/>
    </row>
    <row r="2222" spans="1:22" x14ac:dyDescent="0.3">
      <c r="A2222" s="222"/>
      <c r="B2222" s="235"/>
      <c r="C2222" s="227"/>
      <c r="D2222" s="344"/>
      <c r="E2222" s="235"/>
      <c r="F2222" s="235"/>
      <c r="G2222" s="227"/>
      <c r="H2222" s="227"/>
      <c r="I2222" s="350"/>
      <c r="J2222" s="227"/>
      <c r="K2222" s="227"/>
      <c r="L2222" s="224"/>
      <c r="M2222" s="224"/>
      <c r="N2222" s="224"/>
      <c r="O2222" s="224"/>
      <c r="P2222" s="224"/>
      <c r="Q2222" s="224"/>
      <c r="R2222" s="224"/>
      <c r="S2222" s="224"/>
      <c r="T2222" s="224"/>
      <c r="U2222" s="224"/>
      <c r="V2222" s="224"/>
    </row>
    <row r="2223" spans="1:22" x14ac:dyDescent="0.3">
      <c r="A2223" s="222"/>
      <c r="B2223" s="235"/>
      <c r="C2223" s="227"/>
      <c r="D2223" s="344"/>
      <c r="E2223" s="235"/>
      <c r="F2223" s="235"/>
      <c r="G2223" s="227"/>
      <c r="H2223" s="227"/>
      <c r="I2223" s="350"/>
      <c r="J2223" s="227"/>
      <c r="K2223" s="227"/>
      <c r="L2223" s="224"/>
      <c r="M2223" s="224"/>
      <c r="N2223" s="224"/>
      <c r="O2223" s="224"/>
      <c r="P2223" s="224"/>
      <c r="Q2223" s="224"/>
      <c r="R2223" s="224"/>
      <c r="S2223" s="224"/>
      <c r="T2223" s="224"/>
      <c r="U2223" s="224"/>
      <c r="V2223" s="224"/>
    </row>
    <row r="2224" spans="1:22" x14ac:dyDescent="0.3">
      <c r="A2224" s="222"/>
      <c r="B2224" s="235"/>
      <c r="C2224" s="227"/>
      <c r="D2224" s="344"/>
      <c r="E2224" s="235"/>
      <c r="F2224" s="235"/>
      <c r="G2224" s="227"/>
      <c r="H2224" s="227"/>
      <c r="I2224" s="350"/>
      <c r="J2224" s="227"/>
      <c r="K2224" s="227"/>
      <c r="L2224" s="224"/>
      <c r="M2224" s="224"/>
      <c r="N2224" s="224"/>
      <c r="O2224" s="224"/>
      <c r="P2224" s="224"/>
      <c r="Q2224" s="224"/>
      <c r="R2224" s="224"/>
      <c r="S2224" s="224"/>
      <c r="T2224" s="224"/>
      <c r="U2224" s="224"/>
      <c r="V2224" s="224"/>
    </row>
    <row r="2225" spans="1:22" x14ac:dyDescent="0.3">
      <c r="A2225" s="222"/>
      <c r="B2225" s="235"/>
      <c r="C2225" s="227"/>
      <c r="D2225" s="344"/>
      <c r="E2225" s="235"/>
      <c r="F2225" s="235"/>
      <c r="G2225" s="227"/>
      <c r="H2225" s="227"/>
      <c r="I2225" s="350"/>
      <c r="J2225" s="227"/>
      <c r="K2225" s="227"/>
      <c r="L2225" s="224"/>
      <c r="M2225" s="224"/>
      <c r="N2225" s="224"/>
      <c r="O2225" s="224"/>
      <c r="P2225" s="224"/>
      <c r="Q2225" s="224"/>
      <c r="R2225" s="224"/>
      <c r="S2225" s="224"/>
      <c r="T2225" s="224"/>
      <c r="U2225" s="224"/>
      <c r="V2225" s="224"/>
    </row>
    <row r="2226" spans="1:22" x14ac:dyDescent="0.3">
      <c r="A2226" s="222"/>
      <c r="B2226" s="235"/>
      <c r="C2226" s="227"/>
      <c r="D2226" s="344"/>
      <c r="E2226" s="235"/>
      <c r="F2226" s="235"/>
      <c r="G2226" s="227"/>
      <c r="H2226" s="227"/>
      <c r="I2226" s="350"/>
      <c r="J2226" s="227"/>
      <c r="K2226" s="227"/>
      <c r="L2226" s="224"/>
      <c r="M2226" s="224"/>
      <c r="N2226" s="224"/>
      <c r="O2226" s="224"/>
      <c r="P2226" s="224"/>
      <c r="Q2226" s="224"/>
      <c r="R2226" s="224"/>
      <c r="S2226" s="224"/>
      <c r="T2226" s="224"/>
      <c r="U2226" s="224"/>
      <c r="V2226" s="224"/>
    </row>
    <row r="2227" spans="1:22" x14ac:dyDescent="0.3">
      <c r="A2227" s="222"/>
      <c r="B2227" s="235"/>
      <c r="C2227" s="227"/>
      <c r="D2227" s="344"/>
      <c r="E2227" s="235"/>
      <c r="F2227" s="235"/>
      <c r="G2227" s="227"/>
      <c r="H2227" s="227"/>
      <c r="I2227" s="350"/>
      <c r="J2227" s="227"/>
      <c r="K2227" s="227"/>
      <c r="L2227" s="224"/>
      <c r="M2227" s="224"/>
      <c r="N2227" s="224"/>
      <c r="O2227" s="224"/>
      <c r="P2227" s="224"/>
      <c r="Q2227" s="224"/>
      <c r="R2227" s="224"/>
      <c r="S2227" s="224"/>
      <c r="T2227" s="224"/>
      <c r="U2227" s="224"/>
      <c r="V2227" s="224"/>
    </row>
    <row r="2228" spans="1:22" x14ac:dyDescent="0.3">
      <c r="A2228" s="222"/>
      <c r="B2228" s="235"/>
      <c r="C2228" s="227"/>
      <c r="D2228" s="344"/>
      <c r="E2228" s="235"/>
      <c r="F2228" s="235"/>
      <c r="G2228" s="227"/>
      <c r="H2228" s="227"/>
      <c r="I2228" s="350"/>
      <c r="J2228" s="227"/>
      <c r="K2228" s="227"/>
      <c r="L2228" s="224"/>
      <c r="M2228" s="224"/>
      <c r="N2228" s="224"/>
      <c r="O2228" s="224"/>
      <c r="P2228" s="224"/>
      <c r="Q2228" s="224"/>
      <c r="R2228" s="224"/>
      <c r="S2228" s="224"/>
      <c r="T2228" s="224"/>
      <c r="U2228" s="224"/>
      <c r="V2228" s="224"/>
    </row>
    <row r="2229" spans="1:22" x14ac:dyDescent="0.3">
      <c r="A2229" s="222"/>
      <c r="B2229" s="235"/>
      <c r="C2229" s="227"/>
      <c r="D2229" s="344"/>
      <c r="E2229" s="235"/>
      <c r="F2229" s="235"/>
      <c r="G2229" s="227"/>
      <c r="H2229" s="227"/>
      <c r="I2229" s="350"/>
      <c r="J2229" s="227"/>
      <c r="K2229" s="227"/>
      <c r="L2229" s="224"/>
      <c r="M2229" s="224"/>
      <c r="N2229" s="224"/>
      <c r="O2229" s="224"/>
      <c r="P2229" s="224"/>
      <c r="Q2229" s="224"/>
      <c r="R2229" s="224"/>
      <c r="S2229" s="224"/>
      <c r="T2229" s="224"/>
      <c r="U2229" s="224"/>
      <c r="V2229" s="224"/>
    </row>
    <row r="2230" spans="1:22" x14ac:dyDescent="0.3">
      <c r="A2230" s="222"/>
      <c r="B2230" s="235"/>
      <c r="C2230" s="227"/>
      <c r="D2230" s="344"/>
      <c r="E2230" s="235"/>
      <c r="F2230" s="235"/>
      <c r="G2230" s="227"/>
      <c r="H2230" s="227"/>
      <c r="I2230" s="350"/>
      <c r="J2230" s="227"/>
      <c r="K2230" s="227"/>
      <c r="L2230" s="224"/>
      <c r="M2230" s="224"/>
      <c r="N2230" s="224"/>
      <c r="O2230" s="224"/>
      <c r="P2230" s="224"/>
      <c r="Q2230" s="224"/>
      <c r="R2230" s="224"/>
      <c r="S2230" s="224"/>
      <c r="T2230" s="224"/>
      <c r="U2230" s="224"/>
      <c r="V2230" s="224"/>
    </row>
    <row r="2231" spans="1:22" x14ac:dyDescent="0.3">
      <c r="A2231" s="222"/>
      <c r="B2231" s="235"/>
      <c r="C2231" s="227"/>
      <c r="D2231" s="344"/>
      <c r="E2231" s="235"/>
      <c r="F2231" s="235"/>
      <c r="G2231" s="227"/>
      <c r="H2231" s="227"/>
      <c r="I2231" s="350"/>
      <c r="J2231" s="227"/>
      <c r="K2231" s="227"/>
      <c r="L2231" s="224"/>
      <c r="M2231" s="224"/>
      <c r="N2231" s="224"/>
      <c r="O2231" s="224"/>
      <c r="P2231" s="224"/>
      <c r="Q2231" s="224"/>
      <c r="R2231" s="224"/>
      <c r="S2231" s="224"/>
      <c r="T2231" s="224"/>
      <c r="U2231" s="224"/>
      <c r="V2231" s="224"/>
    </row>
    <row r="2232" spans="1:22" x14ac:dyDescent="0.3">
      <c r="A2232" s="222"/>
      <c r="B2232" s="235"/>
      <c r="C2232" s="227"/>
      <c r="D2232" s="344"/>
      <c r="E2232" s="235"/>
      <c r="F2232" s="235"/>
      <c r="G2232" s="227"/>
      <c r="H2232" s="227"/>
      <c r="I2232" s="350"/>
      <c r="J2232" s="227"/>
      <c r="K2232" s="227"/>
      <c r="L2232" s="224"/>
      <c r="M2232" s="224"/>
      <c r="N2232" s="224"/>
      <c r="O2232" s="224"/>
      <c r="P2232" s="224"/>
      <c r="Q2232" s="224"/>
      <c r="R2232" s="224"/>
      <c r="S2232" s="224"/>
      <c r="T2232" s="224"/>
      <c r="U2232" s="224"/>
      <c r="V2232" s="224"/>
    </row>
    <row r="2233" spans="1:22" x14ac:dyDescent="0.3">
      <c r="A2233" s="222"/>
      <c r="B2233" s="235"/>
      <c r="C2233" s="227"/>
      <c r="D2233" s="344"/>
      <c r="E2233" s="235"/>
      <c r="F2233" s="235"/>
      <c r="G2233" s="227"/>
      <c r="H2233" s="227"/>
      <c r="I2233" s="350"/>
      <c r="J2233" s="227"/>
      <c r="K2233" s="227"/>
      <c r="L2233" s="224"/>
      <c r="M2233" s="224"/>
      <c r="N2233" s="224"/>
      <c r="O2233" s="224"/>
      <c r="P2233" s="224"/>
      <c r="Q2233" s="224"/>
      <c r="R2233" s="224"/>
      <c r="S2233" s="224"/>
      <c r="T2233" s="224"/>
      <c r="U2233" s="224"/>
      <c r="V2233" s="224"/>
    </row>
    <row r="2234" spans="1:22" x14ac:dyDescent="0.3">
      <c r="A2234" s="222"/>
      <c r="B2234" s="235"/>
      <c r="C2234" s="227"/>
      <c r="D2234" s="344"/>
      <c r="E2234" s="235"/>
      <c r="F2234" s="235"/>
      <c r="G2234" s="227"/>
      <c r="H2234" s="227"/>
      <c r="I2234" s="350"/>
      <c r="J2234" s="227"/>
      <c r="K2234" s="227"/>
      <c r="L2234" s="224"/>
      <c r="M2234" s="224"/>
      <c r="N2234" s="224"/>
      <c r="O2234" s="224"/>
      <c r="P2234" s="224"/>
      <c r="Q2234" s="224"/>
      <c r="R2234" s="224"/>
      <c r="S2234" s="224"/>
      <c r="T2234" s="224"/>
      <c r="U2234" s="224"/>
      <c r="V2234" s="224"/>
    </row>
    <row r="2235" spans="1:22" x14ac:dyDescent="0.3">
      <c r="A2235" s="222"/>
      <c r="B2235" s="235"/>
      <c r="C2235" s="227"/>
      <c r="D2235" s="344"/>
      <c r="E2235" s="235"/>
      <c r="F2235" s="235"/>
      <c r="G2235" s="227"/>
      <c r="H2235" s="227"/>
      <c r="I2235" s="350"/>
      <c r="J2235" s="227"/>
      <c r="K2235" s="227"/>
      <c r="L2235" s="224"/>
      <c r="M2235" s="224"/>
      <c r="N2235" s="224"/>
      <c r="O2235" s="224"/>
      <c r="P2235" s="224"/>
      <c r="Q2235" s="224"/>
      <c r="R2235" s="224"/>
      <c r="S2235" s="224"/>
      <c r="T2235" s="224"/>
      <c r="U2235" s="224"/>
      <c r="V2235" s="224"/>
    </row>
    <row r="2236" spans="1:22" x14ac:dyDescent="0.3">
      <c r="A2236" s="222"/>
      <c r="B2236" s="235"/>
      <c r="C2236" s="227"/>
      <c r="D2236" s="344"/>
      <c r="E2236" s="235"/>
      <c r="F2236" s="235"/>
      <c r="G2236" s="227"/>
      <c r="H2236" s="227"/>
      <c r="I2236" s="350"/>
      <c r="J2236" s="227"/>
      <c r="K2236" s="227"/>
      <c r="L2236" s="224"/>
      <c r="M2236" s="224"/>
      <c r="N2236" s="224"/>
      <c r="O2236" s="224"/>
      <c r="P2236" s="224"/>
      <c r="Q2236" s="224"/>
      <c r="R2236" s="224"/>
      <c r="S2236" s="224"/>
      <c r="T2236" s="224"/>
      <c r="U2236" s="224"/>
      <c r="V2236" s="224"/>
    </row>
    <row r="2237" spans="1:22" x14ac:dyDescent="0.3">
      <c r="A2237" s="222"/>
      <c r="B2237" s="235"/>
      <c r="C2237" s="227"/>
      <c r="D2237" s="344"/>
      <c r="E2237" s="235"/>
      <c r="F2237" s="235"/>
      <c r="G2237" s="227"/>
      <c r="H2237" s="227"/>
      <c r="I2237" s="350"/>
      <c r="J2237" s="227"/>
      <c r="K2237" s="227"/>
      <c r="L2237" s="224"/>
      <c r="M2237" s="224"/>
      <c r="N2237" s="224"/>
      <c r="O2237" s="224"/>
      <c r="P2237" s="224"/>
      <c r="Q2237" s="224"/>
      <c r="R2237" s="224"/>
      <c r="S2237" s="224"/>
      <c r="T2237" s="224"/>
      <c r="U2237" s="224"/>
      <c r="V2237" s="224"/>
    </row>
    <row r="2238" spans="1:22" x14ac:dyDescent="0.3">
      <c r="A2238" s="222"/>
      <c r="B2238" s="235"/>
      <c r="C2238" s="227"/>
      <c r="D2238" s="344"/>
      <c r="E2238" s="235"/>
      <c r="F2238" s="235"/>
      <c r="G2238" s="227"/>
      <c r="H2238" s="227"/>
      <c r="I2238" s="350"/>
      <c r="J2238" s="227"/>
      <c r="K2238" s="227"/>
      <c r="L2238" s="224"/>
      <c r="M2238" s="224"/>
      <c r="N2238" s="224"/>
      <c r="O2238" s="224"/>
      <c r="P2238" s="224"/>
      <c r="Q2238" s="224"/>
      <c r="R2238" s="224"/>
      <c r="S2238" s="224"/>
      <c r="T2238" s="224"/>
      <c r="U2238" s="224"/>
      <c r="V2238" s="224"/>
    </row>
    <row r="2239" spans="1:22" x14ac:dyDescent="0.3">
      <c r="A2239" s="222"/>
      <c r="B2239" s="235"/>
      <c r="C2239" s="227"/>
      <c r="D2239" s="344"/>
      <c r="E2239" s="235"/>
      <c r="F2239" s="235"/>
      <c r="G2239" s="227"/>
      <c r="H2239" s="227"/>
      <c r="I2239" s="350"/>
      <c r="J2239" s="227"/>
      <c r="K2239" s="227"/>
      <c r="L2239" s="224"/>
      <c r="M2239" s="224"/>
      <c r="N2239" s="224"/>
      <c r="O2239" s="224"/>
      <c r="P2239" s="224"/>
      <c r="Q2239" s="224"/>
      <c r="R2239" s="224"/>
      <c r="S2239" s="224"/>
      <c r="T2239" s="224"/>
      <c r="U2239" s="224"/>
      <c r="V2239" s="224"/>
    </row>
    <row r="2240" spans="1:22" x14ac:dyDescent="0.3">
      <c r="A2240" s="222"/>
      <c r="B2240" s="235"/>
      <c r="C2240" s="227"/>
      <c r="D2240" s="344"/>
      <c r="E2240" s="235"/>
      <c r="F2240" s="235"/>
      <c r="G2240" s="227"/>
      <c r="H2240" s="227"/>
      <c r="I2240" s="350"/>
      <c r="J2240" s="227"/>
      <c r="K2240" s="227"/>
      <c r="L2240" s="224"/>
      <c r="M2240" s="224"/>
      <c r="N2240" s="224"/>
      <c r="O2240" s="224"/>
      <c r="P2240" s="224"/>
      <c r="Q2240" s="224"/>
      <c r="R2240" s="224"/>
      <c r="S2240" s="224"/>
      <c r="T2240" s="224"/>
      <c r="U2240" s="224"/>
      <c r="V2240" s="224"/>
    </row>
    <row r="2241" spans="1:22" x14ac:dyDescent="0.3">
      <c r="A2241" s="222"/>
      <c r="B2241" s="235"/>
      <c r="C2241" s="227"/>
      <c r="D2241" s="344"/>
      <c r="E2241" s="235"/>
      <c r="F2241" s="235"/>
      <c r="G2241" s="227"/>
      <c r="H2241" s="227"/>
      <c r="I2241" s="350"/>
      <c r="J2241" s="227"/>
      <c r="K2241" s="227"/>
      <c r="L2241" s="224"/>
      <c r="M2241" s="224"/>
      <c r="N2241" s="224"/>
      <c r="O2241" s="224"/>
      <c r="P2241" s="224"/>
      <c r="Q2241" s="224"/>
      <c r="R2241" s="224"/>
      <c r="S2241" s="224"/>
      <c r="T2241" s="224"/>
      <c r="U2241" s="224"/>
      <c r="V2241" s="224"/>
    </row>
    <row r="2242" spans="1:22" x14ac:dyDescent="0.3">
      <c r="A2242" s="222"/>
      <c r="B2242" s="235"/>
      <c r="C2242" s="227"/>
      <c r="D2242" s="344"/>
      <c r="E2242" s="235"/>
      <c r="F2242" s="235"/>
      <c r="G2242" s="227"/>
      <c r="H2242" s="227"/>
      <c r="I2242" s="350"/>
      <c r="J2242" s="227"/>
      <c r="K2242" s="227"/>
      <c r="L2242" s="224"/>
      <c r="M2242" s="224"/>
      <c r="N2242" s="224"/>
      <c r="O2242" s="224"/>
      <c r="P2242" s="224"/>
      <c r="Q2242" s="224"/>
      <c r="R2242" s="224"/>
      <c r="S2242" s="224"/>
      <c r="T2242" s="224"/>
      <c r="U2242" s="224"/>
      <c r="V2242" s="224"/>
    </row>
    <row r="2243" spans="1:22" x14ac:dyDescent="0.3">
      <c r="A2243" s="222"/>
      <c r="B2243" s="235"/>
      <c r="C2243" s="227"/>
      <c r="D2243" s="344"/>
      <c r="E2243" s="235"/>
      <c r="F2243" s="235"/>
      <c r="G2243" s="227"/>
      <c r="H2243" s="227"/>
      <c r="I2243" s="350"/>
      <c r="J2243" s="227"/>
      <c r="K2243" s="227"/>
      <c r="L2243" s="224"/>
      <c r="M2243" s="224"/>
      <c r="N2243" s="224"/>
      <c r="O2243" s="224"/>
      <c r="P2243" s="224"/>
      <c r="Q2243" s="224"/>
      <c r="R2243" s="224"/>
      <c r="S2243" s="224"/>
      <c r="T2243" s="224"/>
      <c r="U2243" s="224"/>
      <c r="V2243" s="224"/>
    </row>
    <row r="2244" spans="1:22" x14ac:dyDescent="0.3">
      <c r="A2244" s="222"/>
      <c r="B2244" s="235"/>
      <c r="C2244" s="227"/>
      <c r="D2244" s="344"/>
      <c r="E2244" s="235"/>
      <c r="F2244" s="235"/>
      <c r="G2244" s="227"/>
      <c r="H2244" s="227"/>
      <c r="I2244" s="350"/>
      <c r="J2244" s="227"/>
      <c r="K2244" s="227"/>
      <c r="L2244" s="224"/>
      <c r="M2244" s="224"/>
      <c r="N2244" s="224"/>
      <c r="O2244" s="224"/>
      <c r="P2244" s="224"/>
      <c r="Q2244" s="224"/>
      <c r="R2244" s="224"/>
      <c r="S2244" s="224"/>
      <c r="T2244" s="224"/>
      <c r="U2244" s="224"/>
      <c r="V2244" s="224"/>
    </row>
    <row r="2245" spans="1:22" x14ac:dyDescent="0.3">
      <c r="A2245" s="222"/>
      <c r="B2245" s="235"/>
      <c r="C2245" s="227"/>
      <c r="D2245" s="344"/>
      <c r="E2245" s="235"/>
      <c r="F2245" s="235"/>
      <c r="G2245" s="227"/>
      <c r="H2245" s="227"/>
      <c r="I2245" s="350"/>
      <c r="J2245" s="227"/>
      <c r="K2245" s="227"/>
      <c r="L2245" s="224"/>
      <c r="M2245" s="224"/>
      <c r="N2245" s="224"/>
      <c r="O2245" s="224"/>
      <c r="P2245" s="224"/>
      <c r="Q2245" s="224"/>
      <c r="R2245" s="224"/>
      <c r="S2245" s="224"/>
      <c r="T2245" s="224"/>
      <c r="U2245" s="224"/>
      <c r="V2245" s="224"/>
    </row>
    <row r="2246" spans="1:22" x14ac:dyDescent="0.3">
      <c r="A2246" s="222"/>
      <c r="B2246" s="235"/>
      <c r="C2246" s="227"/>
      <c r="D2246" s="344"/>
      <c r="E2246" s="235"/>
      <c r="F2246" s="235"/>
      <c r="G2246" s="227"/>
      <c r="H2246" s="227"/>
      <c r="I2246" s="350"/>
      <c r="J2246" s="227"/>
      <c r="K2246" s="227"/>
      <c r="L2246" s="224"/>
      <c r="M2246" s="224"/>
      <c r="N2246" s="224"/>
      <c r="O2246" s="224"/>
      <c r="P2246" s="224"/>
      <c r="Q2246" s="224"/>
      <c r="R2246" s="224"/>
      <c r="S2246" s="224"/>
      <c r="T2246" s="224"/>
      <c r="U2246" s="224"/>
      <c r="V2246" s="224"/>
    </row>
    <row r="2247" spans="1:22" x14ac:dyDescent="0.3">
      <c r="A2247" s="222"/>
      <c r="B2247" s="235"/>
      <c r="C2247" s="227"/>
      <c r="D2247" s="344"/>
      <c r="E2247" s="235"/>
      <c r="F2247" s="235"/>
      <c r="G2247" s="227"/>
      <c r="H2247" s="227"/>
      <c r="I2247" s="350"/>
      <c r="J2247" s="227"/>
      <c r="K2247" s="227"/>
      <c r="L2247" s="224"/>
      <c r="M2247" s="224"/>
      <c r="N2247" s="224"/>
      <c r="O2247" s="224"/>
      <c r="P2247" s="224"/>
      <c r="Q2247" s="224"/>
      <c r="R2247" s="224"/>
      <c r="S2247" s="224"/>
      <c r="T2247" s="224"/>
      <c r="U2247" s="224"/>
      <c r="V2247" s="224"/>
    </row>
    <row r="2248" spans="1:22" x14ac:dyDescent="0.3">
      <c r="A2248" s="222"/>
      <c r="B2248" s="235"/>
      <c r="C2248" s="227"/>
      <c r="D2248" s="344"/>
      <c r="E2248" s="235"/>
      <c r="F2248" s="235"/>
      <c r="G2248" s="227"/>
      <c r="H2248" s="227"/>
      <c r="I2248" s="350"/>
      <c r="J2248" s="227"/>
      <c r="K2248" s="227"/>
      <c r="L2248" s="224"/>
      <c r="M2248" s="224"/>
      <c r="N2248" s="224"/>
      <c r="O2248" s="224"/>
      <c r="P2248" s="224"/>
      <c r="Q2248" s="224"/>
      <c r="R2248" s="224"/>
      <c r="S2248" s="224"/>
      <c r="T2248" s="224"/>
      <c r="U2248" s="224"/>
      <c r="V2248" s="224"/>
    </row>
    <row r="2249" spans="1:22" x14ac:dyDescent="0.3">
      <c r="A2249" s="222"/>
      <c r="B2249" s="235"/>
      <c r="C2249" s="227"/>
      <c r="D2249" s="344"/>
      <c r="E2249" s="235"/>
      <c r="F2249" s="235"/>
      <c r="G2249" s="227"/>
      <c r="H2249" s="227"/>
      <c r="I2249" s="350"/>
      <c r="J2249" s="227"/>
      <c r="K2249" s="227"/>
      <c r="L2249" s="224"/>
      <c r="M2249" s="224"/>
      <c r="N2249" s="224"/>
      <c r="O2249" s="224"/>
      <c r="P2249" s="224"/>
      <c r="Q2249" s="224"/>
      <c r="R2249" s="224"/>
      <c r="S2249" s="224"/>
      <c r="T2249" s="224"/>
      <c r="U2249" s="224"/>
      <c r="V2249" s="224"/>
    </row>
    <row r="2250" spans="1:22" x14ac:dyDescent="0.3">
      <c r="A2250" s="222"/>
      <c r="B2250" s="235"/>
      <c r="C2250" s="227"/>
      <c r="D2250" s="344"/>
      <c r="E2250" s="235"/>
      <c r="F2250" s="235"/>
      <c r="G2250" s="227"/>
      <c r="H2250" s="227"/>
      <c r="I2250" s="350"/>
      <c r="J2250" s="227"/>
      <c r="K2250" s="227"/>
      <c r="L2250" s="224"/>
      <c r="M2250" s="224"/>
      <c r="N2250" s="224"/>
      <c r="O2250" s="224"/>
      <c r="P2250" s="224"/>
      <c r="Q2250" s="224"/>
      <c r="R2250" s="224"/>
      <c r="S2250" s="224"/>
      <c r="T2250" s="224"/>
      <c r="U2250" s="224"/>
      <c r="V2250" s="224"/>
    </row>
    <row r="2251" spans="1:22" x14ac:dyDescent="0.3">
      <c r="A2251" s="222"/>
      <c r="B2251" s="235"/>
      <c r="C2251" s="227"/>
      <c r="D2251" s="344"/>
      <c r="E2251" s="235"/>
      <c r="F2251" s="235"/>
      <c r="G2251" s="227"/>
      <c r="H2251" s="227"/>
      <c r="I2251" s="350"/>
      <c r="J2251" s="227"/>
      <c r="K2251" s="227"/>
      <c r="L2251" s="224"/>
      <c r="M2251" s="224"/>
      <c r="N2251" s="224"/>
      <c r="O2251" s="224"/>
      <c r="P2251" s="224"/>
      <c r="Q2251" s="224"/>
      <c r="R2251" s="224"/>
      <c r="S2251" s="224"/>
      <c r="T2251" s="224"/>
      <c r="U2251" s="224"/>
      <c r="V2251" s="224"/>
    </row>
    <row r="2252" spans="1:22" x14ac:dyDescent="0.3">
      <c r="A2252" s="222"/>
      <c r="B2252" s="235"/>
      <c r="C2252" s="227"/>
      <c r="D2252" s="344"/>
      <c r="E2252" s="235"/>
      <c r="F2252" s="235"/>
      <c r="G2252" s="227"/>
      <c r="H2252" s="227"/>
      <c r="I2252" s="350"/>
      <c r="J2252" s="227"/>
      <c r="K2252" s="227"/>
      <c r="L2252" s="224"/>
      <c r="M2252" s="224"/>
      <c r="N2252" s="224"/>
      <c r="O2252" s="224"/>
      <c r="P2252" s="224"/>
      <c r="Q2252" s="224"/>
      <c r="R2252" s="224"/>
      <c r="S2252" s="224"/>
      <c r="T2252" s="224"/>
      <c r="U2252" s="224"/>
      <c r="V2252" s="224"/>
    </row>
    <row r="2253" spans="1:22" x14ac:dyDescent="0.3">
      <c r="A2253" s="222"/>
      <c r="B2253" s="235"/>
      <c r="C2253" s="227"/>
      <c r="D2253" s="344"/>
      <c r="E2253" s="235"/>
      <c r="F2253" s="235"/>
      <c r="G2253" s="227"/>
      <c r="H2253" s="227"/>
      <c r="I2253" s="350"/>
      <c r="J2253" s="227"/>
      <c r="K2253" s="227"/>
      <c r="L2253" s="224"/>
      <c r="M2253" s="224"/>
      <c r="N2253" s="224"/>
      <c r="O2253" s="224"/>
      <c r="P2253" s="224"/>
      <c r="Q2253" s="224"/>
      <c r="R2253" s="224"/>
      <c r="S2253" s="224"/>
      <c r="T2253" s="224"/>
      <c r="U2253" s="224"/>
      <c r="V2253" s="224"/>
    </row>
    <row r="2254" spans="1:22" x14ac:dyDescent="0.3">
      <c r="A2254" s="222"/>
      <c r="B2254" s="235"/>
      <c r="C2254" s="227"/>
      <c r="D2254" s="344"/>
      <c r="E2254" s="235"/>
      <c r="F2254" s="235"/>
      <c r="G2254" s="227"/>
      <c r="H2254" s="227"/>
      <c r="I2254" s="350"/>
      <c r="J2254" s="227"/>
      <c r="K2254" s="227"/>
      <c r="L2254" s="224"/>
      <c r="M2254" s="224"/>
      <c r="N2254" s="224"/>
      <c r="O2254" s="224"/>
      <c r="P2254" s="224"/>
      <c r="Q2254" s="224"/>
      <c r="R2254" s="224"/>
      <c r="S2254" s="224"/>
      <c r="T2254" s="224"/>
      <c r="U2254" s="224"/>
      <c r="V2254" s="224"/>
    </row>
    <row r="2255" spans="1:22" x14ac:dyDescent="0.3">
      <c r="A2255" s="222"/>
      <c r="B2255" s="235"/>
      <c r="C2255" s="227"/>
      <c r="D2255" s="344"/>
      <c r="E2255" s="235"/>
      <c r="F2255" s="235"/>
      <c r="G2255" s="227"/>
      <c r="H2255" s="227"/>
      <c r="I2255" s="350"/>
      <c r="J2255" s="227"/>
      <c r="K2255" s="227"/>
      <c r="L2255" s="224"/>
      <c r="M2255" s="224"/>
      <c r="N2255" s="224"/>
      <c r="O2255" s="224"/>
      <c r="P2255" s="224"/>
      <c r="Q2255" s="224"/>
      <c r="R2255" s="224"/>
      <c r="S2255" s="224"/>
      <c r="T2255" s="224"/>
      <c r="U2255" s="224"/>
      <c r="V2255" s="224"/>
    </row>
    <row r="2256" spans="1:22" x14ac:dyDescent="0.3">
      <c r="A2256" s="222"/>
      <c r="B2256" s="235"/>
      <c r="C2256" s="227"/>
      <c r="D2256" s="344"/>
      <c r="E2256" s="235"/>
      <c r="F2256" s="235"/>
      <c r="G2256" s="227"/>
      <c r="H2256" s="227"/>
      <c r="I2256" s="350"/>
      <c r="J2256" s="227"/>
      <c r="K2256" s="227"/>
      <c r="L2256" s="224"/>
      <c r="M2256" s="224"/>
      <c r="N2256" s="224"/>
      <c r="O2256" s="224"/>
      <c r="P2256" s="224"/>
      <c r="Q2256" s="224"/>
      <c r="R2256" s="224"/>
      <c r="S2256" s="224"/>
      <c r="T2256" s="224"/>
      <c r="U2256" s="224"/>
      <c r="V2256" s="224"/>
    </row>
    <row r="2257" spans="1:22" x14ac:dyDescent="0.3">
      <c r="A2257" s="222"/>
      <c r="B2257" s="235"/>
      <c r="C2257" s="227"/>
      <c r="D2257" s="344"/>
      <c r="E2257" s="235"/>
      <c r="F2257" s="235"/>
      <c r="G2257" s="227"/>
      <c r="H2257" s="227"/>
      <c r="I2257" s="350"/>
      <c r="J2257" s="227"/>
      <c r="K2257" s="227"/>
      <c r="L2257" s="224"/>
      <c r="M2257" s="224"/>
      <c r="N2257" s="224"/>
      <c r="O2257" s="224"/>
      <c r="P2257" s="224"/>
      <c r="Q2257" s="224"/>
      <c r="R2257" s="224"/>
      <c r="S2257" s="224"/>
      <c r="T2257" s="224"/>
      <c r="U2257" s="224"/>
      <c r="V2257" s="224"/>
    </row>
    <row r="2258" spans="1:22" x14ac:dyDescent="0.3">
      <c r="A2258" s="222"/>
      <c r="B2258" s="235"/>
      <c r="C2258" s="227"/>
      <c r="D2258" s="344"/>
      <c r="E2258" s="235"/>
      <c r="F2258" s="235"/>
      <c r="G2258" s="227"/>
      <c r="H2258" s="227"/>
      <c r="I2258" s="350"/>
      <c r="J2258" s="227"/>
      <c r="K2258" s="227"/>
      <c r="L2258" s="224"/>
      <c r="M2258" s="224"/>
      <c r="N2258" s="224"/>
      <c r="O2258" s="224"/>
      <c r="P2258" s="224"/>
      <c r="Q2258" s="224"/>
      <c r="R2258" s="224"/>
      <c r="S2258" s="224"/>
      <c r="T2258" s="224"/>
      <c r="U2258" s="224"/>
      <c r="V2258" s="224"/>
    </row>
    <row r="2259" spans="1:22" x14ac:dyDescent="0.3">
      <c r="A2259" s="222"/>
      <c r="B2259" s="235"/>
      <c r="C2259" s="227"/>
      <c r="D2259" s="344"/>
      <c r="E2259" s="235"/>
      <c r="F2259" s="235"/>
      <c r="G2259" s="227"/>
      <c r="H2259" s="227"/>
      <c r="I2259" s="350"/>
      <c r="J2259" s="227"/>
      <c r="K2259" s="227"/>
      <c r="L2259" s="224"/>
      <c r="M2259" s="224"/>
      <c r="N2259" s="224"/>
      <c r="O2259" s="224"/>
      <c r="P2259" s="224"/>
      <c r="Q2259" s="224"/>
      <c r="R2259" s="224"/>
      <c r="S2259" s="224"/>
      <c r="T2259" s="224"/>
      <c r="U2259" s="224"/>
      <c r="V2259" s="224"/>
    </row>
    <row r="2260" spans="1:22" x14ac:dyDescent="0.3">
      <c r="A2260" s="222"/>
      <c r="B2260" s="235"/>
      <c r="C2260" s="227"/>
      <c r="D2260" s="344"/>
      <c r="E2260" s="235"/>
      <c r="F2260" s="235"/>
      <c r="G2260" s="227"/>
      <c r="H2260" s="227"/>
      <c r="I2260" s="350"/>
      <c r="J2260" s="227"/>
      <c r="K2260" s="227"/>
      <c r="L2260" s="224"/>
      <c r="M2260" s="224"/>
      <c r="N2260" s="224"/>
      <c r="O2260" s="224"/>
      <c r="P2260" s="224"/>
      <c r="Q2260" s="224"/>
      <c r="R2260" s="224"/>
      <c r="S2260" s="224"/>
      <c r="T2260" s="224"/>
      <c r="U2260" s="224"/>
      <c r="V2260" s="224"/>
    </row>
    <row r="2261" spans="1:22" x14ac:dyDescent="0.3">
      <c r="A2261" s="222"/>
      <c r="B2261" s="235"/>
      <c r="C2261" s="227"/>
      <c r="D2261" s="344"/>
      <c r="E2261" s="235"/>
      <c r="F2261" s="235"/>
      <c r="G2261" s="227"/>
      <c r="H2261" s="227"/>
      <c r="I2261" s="350"/>
      <c r="J2261" s="227"/>
      <c r="K2261" s="227"/>
      <c r="L2261" s="224"/>
      <c r="M2261" s="224"/>
      <c r="N2261" s="224"/>
      <c r="O2261" s="224"/>
      <c r="P2261" s="224"/>
      <c r="Q2261" s="224"/>
      <c r="R2261" s="224"/>
      <c r="S2261" s="224"/>
      <c r="T2261" s="224"/>
      <c r="U2261" s="224"/>
      <c r="V2261" s="224"/>
    </row>
    <row r="2262" spans="1:22" x14ac:dyDescent="0.3">
      <c r="A2262" s="222"/>
      <c r="B2262" s="235"/>
      <c r="C2262" s="227"/>
      <c r="D2262" s="344"/>
      <c r="E2262" s="235"/>
      <c r="F2262" s="235"/>
      <c r="G2262" s="227"/>
      <c r="H2262" s="227"/>
      <c r="I2262" s="350"/>
      <c r="J2262" s="227"/>
      <c r="K2262" s="227"/>
      <c r="L2262" s="224"/>
      <c r="M2262" s="224"/>
      <c r="N2262" s="224"/>
      <c r="O2262" s="224"/>
      <c r="P2262" s="224"/>
      <c r="Q2262" s="224"/>
      <c r="R2262" s="224"/>
      <c r="S2262" s="224"/>
      <c r="T2262" s="224"/>
      <c r="U2262" s="224"/>
      <c r="V2262" s="224"/>
    </row>
    <row r="2263" spans="1:22" x14ac:dyDescent="0.3">
      <c r="A2263" s="222"/>
      <c r="B2263" s="235"/>
      <c r="C2263" s="227"/>
      <c r="D2263" s="344"/>
      <c r="E2263" s="235"/>
      <c r="F2263" s="235"/>
      <c r="G2263" s="227"/>
      <c r="H2263" s="227"/>
      <c r="I2263" s="350"/>
      <c r="J2263" s="227"/>
      <c r="K2263" s="227"/>
      <c r="L2263" s="224"/>
      <c r="M2263" s="224"/>
      <c r="N2263" s="224"/>
      <c r="O2263" s="224"/>
      <c r="P2263" s="224"/>
      <c r="Q2263" s="224"/>
      <c r="R2263" s="224"/>
      <c r="S2263" s="224"/>
      <c r="T2263" s="224"/>
      <c r="U2263" s="224"/>
      <c r="V2263" s="224"/>
    </row>
    <row r="2264" spans="1:22" x14ac:dyDescent="0.3">
      <c r="A2264" s="222"/>
      <c r="B2264" s="235"/>
      <c r="C2264" s="227"/>
      <c r="D2264" s="344"/>
      <c r="E2264" s="235"/>
      <c r="F2264" s="235"/>
      <c r="G2264" s="227"/>
      <c r="H2264" s="227"/>
      <c r="I2264" s="350"/>
      <c r="J2264" s="227"/>
      <c r="K2264" s="227"/>
      <c r="L2264" s="224"/>
      <c r="M2264" s="224"/>
      <c r="N2264" s="224"/>
      <c r="O2264" s="224"/>
      <c r="P2264" s="224"/>
      <c r="Q2264" s="224"/>
      <c r="R2264" s="224"/>
      <c r="S2264" s="224"/>
      <c r="T2264" s="224"/>
      <c r="U2264" s="224"/>
      <c r="V2264" s="224"/>
    </row>
    <row r="2265" spans="1:22" x14ac:dyDescent="0.3">
      <c r="A2265" s="222"/>
      <c r="B2265" s="235"/>
      <c r="C2265" s="227"/>
      <c r="D2265" s="344"/>
      <c r="E2265" s="235"/>
      <c r="F2265" s="235"/>
      <c r="G2265" s="227"/>
      <c r="H2265" s="227"/>
      <c r="I2265" s="350"/>
      <c r="J2265" s="227"/>
      <c r="K2265" s="227"/>
      <c r="L2265" s="224"/>
      <c r="M2265" s="224"/>
      <c r="N2265" s="224"/>
      <c r="O2265" s="224"/>
      <c r="P2265" s="224"/>
      <c r="Q2265" s="224"/>
      <c r="R2265" s="224"/>
      <c r="S2265" s="224"/>
      <c r="T2265" s="224"/>
      <c r="U2265" s="224"/>
      <c r="V2265" s="224"/>
    </row>
    <row r="2266" spans="1:22" x14ac:dyDescent="0.3">
      <c r="A2266" s="222"/>
      <c r="B2266" s="235"/>
      <c r="C2266" s="227"/>
      <c r="D2266" s="344"/>
      <c r="E2266" s="235"/>
      <c r="F2266" s="235"/>
      <c r="G2266" s="227"/>
      <c r="H2266" s="227"/>
      <c r="I2266" s="350"/>
      <c r="J2266" s="227"/>
      <c r="K2266" s="227"/>
      <c r="L2266" s="224"/>
      <c r="M2266" s="224"/>
      <c r="N2266" s="224"/>
      <c r="O2266" s="224"/>
      <c r="P2266" s="224"/>
      <c r="Q2266" s="224"/>
      <c r="R2266" s="224"/>
      <c r="S2266" s="224"/>
      <c r="T2266" s="224"/>
      <c r="U2266" s="224"/>
      <c r="V2266" s="224"/>
    </row>
    <row r="2267" spans="1:22" x14ac:dyDescent="0.3">
      <c r="A2267" s="222"/>
      <c r="B2267" s="235"/>
      <c r="C2267" s="227"/>
      <c r="D2267" s="344"/>
      <c r="E2267" s="235"/>
      <c r="F2267" s="235"/>
      <c r="G2267" s="227"/>
      <c r="H2267" s="227"/>
      <c r="I2267" s="350"/>
      <c r="J2267" s="227"/>
      <c r="K2267" s="227"/>
      <c r="L2267" s="224"/>
      <c r="M2267" s="224"/>
      <c r="N2267" s="224"/>
      <c r="O2267" s="224"/>
      <c r="P2267" s="224"/>
      <c r="Q2267" s="224"/>
      <c r="R2267" s="224"/>
      <c r="S2267" s="224"/>
      <c r="T2267" s="224"/>
      <c r="U2267" s="224"/>
      <c r="V2267" s="224"/>
    </row>
    <row r="2268" spans="1:22" x14ac:dyDescent="0.3">
      <c r="A2268" s="222"/>
      <c r="B2268" s="235"/>
      <c r="C2268" s="227"/>
      <c r="D2268" s="344"/>
      <c r="E2268" s="235"/>
      <c r="F2268" s="235"/>
      <c r="G2268" s="227"/>
      <c r="H2268" s="227"/>
      <c r="I2268" s="350"/>
      <c r="J2268" s="227"/>
      <c r="K2268" s="227"/>
      <c r="L2268" s="224"/>
      <c r="M2268" s="224"/>
      <c r="N2268" s="224"/>
      <c r="O2268" s="224"/>
      <c r="P2268" s="224"/>
      <c r="Q2268" s="224"/>
      <c r="R2268" s="224"/>
      <c r="S2268" s="224"/>
      <c r="T2268" s="224"/>
      <c r="U2268" s="224"/>
      <c r="V2268" s="224"/>
    </row>
    <row r="2269" spans="1:22" x14ac:dyDescent="0.3">
      <c r="A2269" s="222"/>
      <c r="B2269" s="235"/>
      <c r="C2269" s="227"/>
      <c r="D2269" s="344"/>
      <c r="E2269" s="235"/>
      <c r="F2269" s="235"/>
      <c r="G2269" s="227"/>
      <c r="H2269" s="227"/>
      <c r="I2269" s="350"/>
      <c r="J2269" s="227"/>
      <c r="K2269" s="227"/>
      <c r="L2269" s="224"/>
      <c r="M2269" s="224"/>
      <c r="N2269" s="224"/>
      <c r="O2269" s="224"/>
      <c r="P2269" s="224"/>
      <c r="Q2269" s="224"/>
      <c r="R2269" s="224"/>
      <c r="S2269" s="224"/>
      <c r="T2269" s="224"/>
      <c r="U2269" s="224"/>
      <c r="V2269" s="224"/>
    </row>
    <row r="2270" spans="1:22" x14ac:dyDescent="0.3">
      <c r="A2270" s="222"/>
      <c r="B2270" s="235"/>
      <c r="C2270" s="227"/>
      <c r="D2270" s="344"/>
      <c r="E2270" s="235"/>
      <c r="F2270" s="235"/>
      <c r="G2270" s="227"/>
      <c r="H2270" s="227"/>
      <c r="I2270" s="350"/>
      <c r="J2270" s="227"/>
      <c r="K2270" s="227"/>
      <c r="L2270" s="224"/>
      <c r="M2270" s="224"/>
      <c r="N2270" s="224"/>
      <c r="O2270" s="224"/>
      <c r="P2270" s="224"/>
      <c r="Q2270" s="224"/>
      <c r="R2270" s="224"/>
      <c r="S2270" s="224"/>
      <c r="T2270" s="224"/>
      <c r="U2270" s="224"/>
      <c r="V2270" s="224"/>
    </row>
    <row r="2271" spans="1:22" x14ac:dyDescent="0.3">
      <c r="A2271" s="222"/>
      <c r="B2271" s="235"/>
      <c r="C2271" s="227"/>
      <c r="D2271" s="344"/>
      <c r="E2271" s="235"/>
      <c r="F2271" s="235"/>
      <c r="G2271" s="227"/>
      <c r="H2271" s="227"/>
      <c r="I2271" s="350"/>
      <c r="J2271" s="227"/>
      <c r="K2271" s="227"/>
      <c r="L2271" s="224"/>
      <c r="M2271" s="224"/>
      <c r="N2271" s="224"/>
      <c r="O2271" s="224"/>
      <c r="P2271" s="224"/>
      <c r="Q2271" s="224"/>
      <c r="R2271" s="224"/>
      <c r="S2271" s="224"/>
      <c r="T2271" s="224"/>
      <c r="U2271" s="224"/>
      <c r="V2271" s="224"/>
    </row>
    <row r="2272" spans="1:22" x14ac:dyDescent="0.3">
      <c r="A2272" s="222"/>
      <c r="B2272" s="235"/>
      <c r="C2272" s="227"/>
      <c r="D2272" s="344"/>
      <c r="E2272" s="235"/>
      <c r="F2272" s="235"/>
      <c r="G2272" s="227"/>
      <c r="H2272" s="227"/>
      <c r="I2272" s="350"/>
      <c r="J2272" s="227"/>
      <c r="K2272" s="227"/>
      <c r="L2272" s="224"/>
      <c r="M2272" s="224"/>
      <c r="N2272" s="224"/>
      <c r="O2272" s="224"/>
      <c r="P2272" s="224"/>
      <c r="Q2272" s="224"/>
      <c r="R2272" s="224"/>
      <c r="S2272" s="224"/>
      <c r="T2272" s="224"/>
      <c r="U2272" s="224"/>
      <c r="V2272" s="224"/>
    </row>
    <row r="2273" spans="1:22" x14ac:dyDescent="0.3">
      <c r="A2273" s="222"/>
      <c r="B2273" s="235"/>
      <c r="C2273" s="227"/>
      <c r="D2273" s="344"/>
      <c r="E2273" s="235"/>
      <c r="F2273" s="235"/>
      <c r="G2273" s="227"/>
      <c r="H2273" s="227"/>
      <c r="I2273" s="350"/>
      <c r="J2273" s="227"/>
      <c r="K2273" s="227"/>
      <c r="L2273" s="224"/>
      <c r="M2273" s="224"/>
      <c r="N2273" s="224"/>
      <c r="O2273" s="224"/>
      <c r="P2273" s="224"/>
      <c r="Q2273" s="224"/>
      <c r="R2273" s="224"/>
      <c r="S2273" s="224"/>
      <c r="T2273" s="224"/>
      <c r="U2273" s="224"/>
      <c r="V2273" s="224"/>
    </row>
    <row r="2274" spans="1:22" x14ac:dyDescent="0.3">
      <c r="A2274" s="222"/>
      <c r="B2274" s="235"/>
      <c r="C2274" s="227"/>
      <c r="D2274" s="344"/>
      <c r="E2274" s="235"/>
      <c r="F2274" s="235"/>
      <c r="G2274" s="227"/>
      <c r="H2274" s="227"/>
      <c r="I2274" s="350"/>
      <c r="J2274" s="227"/>
      <c r="K2274" s="227"/>
      <c r="L2274" s="224"/>
      <c r="M2274" s="224"/>
      <c r="N2274" s="224"/>
      <c r="O2274" s="224"/>
      <c r="P2274" s="224"/>
      <c r="Q2274" s="224"/>
      <c r="R2274" s="224"/>
      <c r="S2274" s="224"/>
      <c r="T2274" s="224"/>
      <c r="U2274" s="224"/>
      <c r="V2274" s="224"/>
    </row>
    <row r="2275" spans="1:22" x14ac:dyDescent="0.3">
      <c r="A2275" s="222"/>
      <c r="B2275" s="235"/>
      <c r="C2275" s="227"/>
      <c r="D2275" s="344"/>
      <c r="E2275" s="235"/>
      <c r="F2275" s="235"/>
      <c r="G2275" s="227"/>
      <c r="H2275" s="227"/>
      <c r="I2275" s="350"/>
      <c r="J2275" s="227"/>
      <c r="K2275" s="227"/>
      <c r="L2275" s="224"/>
      <c r="M2275" s="224"/>
      <c r="N2275" s="224"/>
      <c r="O2275" s="224"/>
      <c r="P2275" s="224"/>
      <c r="Q2275" s="224"/>
      <c r="R2275" s="224"/>
      <c r="S2275" s="224"/>
      <c r="T2275" s="224"/>
      <c r="U2275" s="224"/>
      <c r="V2275" s="224"/>
    </row>
    <row r="2276" spans="1:22" x14ac:dyDescent="0.3">
      <c r="A2276" s="222"/>
      <c r="B2276" s="235"/>
      <c r="C2276" s="227"/>
      <c r="D2276" s="344"/>
      <c r="E2276" s="235"/>
      <c r="F2276" s="235"/>
      <c r="G2276" s="227"/>
      <c r="H2276" s="227"/>
      <c r="I2276" s="350"/>
      <c r="J2276" s="227"/>
      <c r="K2276" s="227"/>
      <c r="L2276" s="224"/>
      <c r="M2276" s="224"/>
      <c r="N2276" s="224"/>
      <c r="O2276" s="224"/>
      <c r="P2276" s="224"/>
      <c r="Q2276" s="224"/>
      <c r="R2276" s="224"/>
      <c r="S2276" s="224"/>
      <c r="T2276" s="224"/>
      <c r="U2276" s="224"/>
      <c r="V2276" s="224"/>
    </row>
    <row r="2277" spans="1:22" x14ac:dyDescent="0.3">
      <c r="A2277" s="222"/>
      <c r="B2277" s="235"/>
      <c r="C2277" s="227"/>
      <c r="D2277" s="344"/>
      <c r="E2277" s="235"/>
      <c r="F2277" s="235"/>
      <c r="G2277" s="227"/>
      <c r="H2277" s="227"/>
      <c r="I2277" s="350"/>
      <c r="J2277" s="227"/>
      <c r="K2277" s="227"/>
      <c r="L2277" s="224"/>
      <c r="M2277" s="224"/>
      <c r="N2277" s="224"/>
      <c r="O2277" s="224"/>
      <c r="P2277" s="224"/>
      <c r="Q2277" s="224"/>
      <c r="R2277" s="224"/>
      <c r="S2277" s="224"/>
      <c r="T2277" s="224"/>
      <c r="U2277" s="224"/>
      <c r="V2277" s="224"/>
    </row>
    <row r="2278" spans="1:22" x14ac:dyDescent="0.3">
      <c r="A2278" s="222"/>
      <c r="B2278" s="235"/>
      <c r="C2278" s="227"/>
      <c r="D2278" s="344"/>
      <c r="E2278" s="235"/>
      <c r="F2278" s="235"/>
      <c r="G2278" s="227"/>
      <c r="H2278" s="227"/>
      <c r="I2278" s="350"/>
      <c r="J2278" s="227"/>
      <c r="K2278" s="227"/>
      <c r="L2278" s="224"/>
      <c r="M2278" s="224"/>
      <c r="N2278" s="224"/>
      <c r="O2278" s="224"/>
      <c r="P2278" s="224"/>
      <c r="Q2278" s="224"/>
      <c r="R2278" s="224"/>
      <c r="S2278" s="224"/>
      <c r="T2278" s="224"/>
      <c r="U2278" s="224"/>
      <c r="V2278" s="224"/>
    </row>
    <row r="2279" spans="1:22" x14ac:dyDescent="0.3">
      <c r="A2279" s="222"/>
      <c r="B2279" s="235"/>
      <c r="C2279" s="227"/>
      <c r="D2279" s="344"/>
      <c r="E2279" s="235"/>
      <c r="F2279" s="235"/>
      <c r="G2279" s="227"/>
      <c r="H2279" s="227"/>
      <c r="I2279" s="350"/>
      <c r="J2279" s="227"/>
      <c r="K2279" s="227"/>
      <c r="L2279" s="224"/>
      <c r="M2279" s="224"/>
      <c r="N2279" s="224"/>
      <c r="O2279" s="224"/>
      <c r="P2279" s="224"/>
      <c r="Q2279" s="224"/>
      <c r="R2279" s="224"/>
      <c r="S2279" s="224"/>
      <c r="T2279" s="224"/>
      <c r="U2279" s="224"/>
      <c r="V2279" s="224"/>
    </row>
    <row r="2280" spans="1:22" x14ac:dyDescent="0.3">
      <c r="A2280" s="222"/>
      <c r="B2280" s="235"/>
      <c r="C2280" s="227"/>
      <c r="D2280" s="344"/>
      <c r="E2280" s="235"/>
      <c r="F2280" s="235"/>
      <c r="G2280" s="227"/>
      <c r="H2280" s="227"/>
      <c r="I2280" s="350"/>
      <c r="J2280" s="227"/>
      <c r="K2280" s="227"/>
      <c r="L2280" s="224"/>
      <c r="M2280" s="224"/>
      <c r="N2280" s="224"/>
      <c r="O2280" s="224"/>
      <c r="P2280" s="224"/>
      <c r="Q2280" s="224"/>
      <c r="R2280" s="224"/>
      <c r="S2280" s="224"/>
      <c r="T2280" s="224"/>
      <c r="U2280" s="224"/>
      <c r="V2280" s="224"/>
    </row>
    <row r="2281" spans="1:22" x14ac:dyDescent="0.3">
      <c r="A2281" s="222"/>
      <c r="B2281" s="235"/>
      <c r="C2281" s="227"/>
      <c r="D2281" s="344"/>
      <c r="E2281" s="235"/>
      <c r="F2281" s="235"/>
      <c r="G2281" s="227"/>
      <c r="H2281" s="227"/>
      <c r="I2281" s="350"/>
      <c r="J2281" s="227"/>
      <c r="K2281" s="227"/>
      <c r="L2281" s="224"/>
      <c r="M2281" s="224"/>
      <c r="N2281" s="224"/>
      <c r="O2281" s="224"/>
      <c r="P2281" s="224"/>
      <c r="Q2281" s="224"/>
      <c r="R2281" s="224"/>
      <c r="S2281" s="224"/>
      <c r="T2281" s="224"/>
      <c r="U2281" s="224"/>
      <c r="V2281" s="224"/>
    </row>
    <row r="2282" spans="1:22" x14ac:dyDescent="0.3">
      <c r="A2282" s="222"/>
      <c r="B2282" s="235"/>
      <c r="C2282" s="227"/>
      <c r="D2282" s="344"/>
      <c r="E2282" s="235"/>
      <c r="F2282" s="235"/>
      <c r="G2282" s="227"/>
      <c r="H2282" s="227"/>
      <c r="I2282" s="350"/>
      <c r="J2282" s="227"/>
      <c r="K2282" s="227"/>
      <c r="L2282" s="224"/>
      <c r="M2282" s="224"/>
      <c r="N2282" s="224"/>
      <c r="O2282" s="224"/>
      <c r="P2282" s="224"/>
      <c r="Q2282" s="224"/>
      <c r="R2282" s="224"/>
      <c r="S2282" s="224"/>
      <c r="T2282" s="224"/>
      <c r="U2282" s="224"/>
      <c r="V2282" s="224"/>
    </row>
    <row r="2283" spans="1:22" x14ac:dyDescent="0.3">
      <c r="A2283" s="222"/>
      <c r="B2283" s="235"/>
      <c r="C2283" s="227"/>
      <c r="D2283" s="344"/>
      <c r="E2283" s="235"/>
      <c r="F2283" s="235"/>
      <c r="G2283" s="227"/>
      <c r="H2283" s="227"/>
      <c r="I2283" s="350"/>
      <c r="J2283" s="227"/>
      <c r="K2283" s="227"/>
      <c r="L2283" s="224"/>
      <c r="M2283" s="224"/>
      <c r="N2283" s="224"/>
      <c r="O2283" s="224"/>
      <c r="P2283" s="224"/>
      <c r="Q2283" s="224"/>
      <c r="R2283" s="224"/>
      <c r="S2283" s="224"/>
      <c r="T2283" s="224"/>
      <c r="U2283" s="224"/>
      <c r="V2283" s="224"/>
    </row>
    <row r="2284" spans="1:22" x14ac:dyDescent="0.3">
      <c r="A2284" s="222"/>
      <c r="B2284" s="235"/>
      <c r="C2284" s="227"/>
      <c r="D2284" s="344"/>
      <c r="E2284" s="235"/>
      <c r="F2284" s="235"/>
      <c r="G2284" s="227"/>
      <c r="H2284" s="227"/>
      <c r="I2284" s="350"/>
      <c r="J2284" s="227"/>
      <c r="K2284" s="227"/>
      <c r="L2284" s="224"/>
      <c r="M2284" s="224"/>
      <c r="N2284" s="224"/>
      <c r="O2284" s="224"/>
      <c r="P2284" s="224"/>
      <c r="Q2284" s="224"/>
      <c r="R2284" s="224"/>
      <c r="S2284" s="224"/>
      <c r="T2284" s="224"/>
      <c r="U2284" s="224"/>
      <c r="V2284" s="224"/>
    </row>
    <row r="2285" spans="1:22" x14ac:dyDescent="0.3">
      <c r="A2285" s="222"/>
      <c r="B2285" s="235"/>
      <c r="C2285" s="227"/>
      <c r="D2285" s="344"/>
      <c r="E2285" s="235"/>
      <c r="F2285" s="235"/>
      <c r="G2285" s="227"/>
      <c r="H2285" s="227"/>
      <c r="I2285" s="350"/>
      <c r="J2285" s="227"/>
      <c r="K2285" s="227"/>
      <c r="L2285" s="224"/>
      <c r="M2285" s="224"/>
      <c r="N2285" s="224"/>
      <c r="O2285" s="224"/>
      <c r="P2285" s="224"/>
      <c r="Q2285" s="224"/>
      <c r="R2285" s="224"/>
      <c r="S2285" s="224"/>
      <c r="T2285" s="224"/>
      <c r="U2285" s="224"/>
      <c r="V2285" s="224"/>
    </row>
    <row r="2286" spans="1:22" x14ac:dyDescent="0.3">
      <c r="A2286" s="222"/>
      <c r="B2286" s="235"/>
      <c r="C2286" s="227"/>
      <c r="D2286" s="344"/>
      <c r="E2286" s="235"/>
      <c r="F2286" s="235"/>
      <c r="G2286" s="227"/>
      <c r="H2286" s="227"/>
      <c r="I2286" s="350"/>
      <c r="J2286" s="227"/>
      <c r="K2286" s="227"/>
      <c r="L2286" s="224"/>
      <c r="M2286" s="224"/>
      <c r="N2286" s="224"/>
      <c r="O2286" s="224"/>
      <c r="P2286" s="224"/>
      <c r="Q2286" s="224"/>
      <c r="R2286" s="224"/>
      <c r="S2286" s="224"/>
      <c r="T2286" s="224"/>
      <c r="U2286" s="224"/>
      <c r="V2286" s="224"/>
    </row>
    <row r="2287" spans="1:22" x14ac:dyDescent="0.3">
      <c r="A2287" s="222"/>
      <c r="B2287" s="235"/>
      <c r="C2287" s="227"/>
      <c r="D2287" s="344"/>
      <c r="E2287" s="235"/>
      <c r="F2287" s="235"/>
      <c r="G2287" s="227"/>
      <c r="H2287" s="227"/>
      <c r="I2287" s="350"/>
      <c r="J2287" s="227"/>
      <c r="K2287" s="227"/>
      <c r="L2287" s="224"/>
      <c r="M2287" s="224"/>
      <c r="N2287" s="224"/>
      <c r="O2287" s="224"/>
      <c r="P2287" s="224"/>
      <c r="Q2287" s="224"/>
      <c r="R2287" s="224"/>
      <c r="S2287" s="224"/>
      <c r="T2287" s="224"/>
      <c r="U2287" s="224"/>
      <c r="V2287" s="224"/>
    </row>
    <row r="2288" spans="1:22" x14ac:dyDescent="0.3">
      <c r="A2288" s="222"/>
      <c r="B2288" s="235"/>
      <c r="C2288" s="227"/>
      <c r="D2288" s="344"/>
      <c r="E2288" s="235"/>
      <c r="F2288" s="235"/>
      <c r="G2288" s="227"/>
      <c r="H2288" s="227"/>
      <c r="I2288" s="350"/>
      <c r="J2288" s="227"/>
      <c r="K2288" s="227"/>
      <c r="L2288" s="224"/>
      <c r="M2288" s="224"/>
      <c r="N2288" s="224"/>
      <c r="O2288" s="224"/>
      <c r="P2288" s="224"/>
      <c r="Q2288" s="224"/>
      <c r="R2288" s="224"/>
      <c r="S2288" s="224"/>
      <c r="T2288" s="224"/>
      <c r="U2288" s="224"/>
      <c r="V2288" s="224"/>
    </row>
    <row r="2289" spans="1:22" x14ac:dyDescent="0.3">
      <c r="A2289" s="222"/>
      <c r="B2289" s="235"/>
      <c r="C2289" s="227"/>
      <c r="D2289" s="344"/>
      <c r="E2289" s="235"/>
      <c r="F2289" s="235"/>
      <c r="G2289" s="227"/>
      <c r="H2289" s="227"/>
      <c r="I2289" s="350"/>
      <c r="J2289" s="227"/>
      <c r="K2289" s="227"/>
      <c r="L2289" s="224"/>
      <c r="M2289" s="224"/>
      <c r="N2289" s="224"/>
      <c r="O2289" s="224"/>
      <c r="P2289" s="224"/>
      <c r="Q2289" s="224"/>
      <c r="R2289" s="224"/>
      <c r="S2289" s="224"/>
      <c r="T2289" s="224"/>
      <c r="U2289" s="224"/>
      <c r="V2289" s="224"/>
    </row>
    <row r="2290" spans="1:22" x14ac:dyDescent="0.3">
      <c r="A2290" s="222"/>
      <c r="B2290" s="235"/>
      <c r="C2290" s="227"/>
      <c r="D2290" s="344"/>
      <c r="E2290" s="235"/>
      <c r="F2290" s="235"/>
      <c r="G2290" s="227"/>
      <c r="H2290" s="227"/>
      <c r="I2290" s="350"/>
      <c r="J2290" s="227"/>
      <c r="K2290" s="227"/>
      <c r="L2290" s="224"/>
      <c r="M2290" s="224"/>
      <c r="N2290" s="224"/>
      <c r="O2290" s="224"/>
      <c r="P2290" s="224"/>
      <c r="Q2290" s="224"/>
      <c r="R2290" s="224"/>
      <c r="S2290" s="224"/>
      <c r="T2290" s="224"/>
      <c r="U2290" s="224"/>
      <c r="V2290" s="224"/>
    </row>
    <row r="2291" spans="1:22" x14ac:dyDescent="0.3">
      <c r="A2291" s="222"/>
      <c r="B2291" s="235"/>
      <c r="C2291" s="227"/>
      <c r="D2291" s="344"/>
      <c r="E2291" s="235"/>
      <c r="F2291" s="235"/>
      <c r="G2291" s="227"/>
      <c r="H2291" s="227"/>
      <c r="I2291" s="350"/>
      <c r="J2291" s="227"/>
      <c r="K2291" s="227"/>
      <c r="L2291" s="224"/>
      <c r="M2291" s="224"/>
      <c r="N2291" s="224"/>
      <c r="O2291" s="224"/>
      <c r="P2291" s="224"/>
      <c r="Q2291" s="224"/>
      <c r="R2291" s="224"/>
      <c r="S2291" s="224"/>
      <c r="T2291" s="224"/>
      <c r="U2291" s="224"/>
      <c r="V2291" s="224"/>
    </row>
    <row r="2292" spans="1:22" x14ac:dyDescent="0.3">
      <c r="A2292" s="222"/>
      <c r="B2292" s="235"/>
      <c r="C2292" s="227"/>
      <c r="D2292" s="344"/>
      <c r="E2292" s="235"/>
      <c r="F2292" s="235"/>
      <c r="G2292" s="227"/>
      <c r="H2292" s="227"/>
      <c r="I2292" s="350"/>
      <c r="J2292" s="227"/>
      <c r="K2292" s="227"/>
      <c r="L2292" s="224"/>
      <c r="M2292" s="224"/>
      <c r="N2292" s="224"/>
      <c r="O2292" s="224"/>
      <c r="P2292" s="224"/>
      <c r="Q2292" s="224"/>
      <c r="R2292" s="224"/>
      <c r="S2292" s="224"/>
      <c r="T2292" s="224"/>
      <c r="U2292" s="224"/>
      <c r="V2292" s="224"/>
    </row>
    <row r="2293" spans="1:22" x14ac:dyDescent="0.3">
      <c r="A2293" s="222"/>
      <c r="B2293" s="235"/>
      <c r="C2293" s="227"/>
      <c r="D2293" s="344"/>
      <c r="E2293" s="235"/>
      <c r="F2293" s="235"/>
      <c r="G2293" s="227"/>
      <c r="H2293" s="227"/>
      <c r="I2293" s="350"/>
      <c r="J2293" s="227"/>
      <c r="K2293" s="227"/>
      <c r="L2293" s="224"/>
      <c r="M2293" s="224"/>
      <c r="N2293" s="224"/>
      <c r="O2293" s="224"/>
      <c r="P2293" s="224"/>
      <c r="Q2293" s="224"/>
      <c r="R2293" s="224"/>
      <c r="S2293" s="224"/>
      <c r="T2293" s="224"/>
      <c r="U2293" s="224"/>
      <c r="V2293" s="224"/>
    </row>
    <row r="2294" spans="1:22" x14ac:dyDescent="0.3">
      <c r="A2294" s="222"/>
      <c r="B2294" s="235"/>
      <c r="C2294" s="227"/>
      <c r="D2294" s="344"/>
      <c r="E2294" s="235"/>
      <c r="F2294" s="235"/>
      <c r="G2294" s="227"/>
      <c r="H2294" s="227"/>
      <c r="I2294" s="350"/>
      <c r="J2294" s="227"/>
      <c r="K2294" s="227"/>
      <c r="L2294" s="224"/>
      <c r="M2294" s="224"/>
      <c r="N2294" s="224"/>
      <c r="O2294" s="224"/>
      <c r="P2294" s="224"/>
      <c r="Q2294" s="224"/>
      <c r="R2294" s="224"/>
      <c r="S2294" s="224"/>
      <c r="T2294" s="224"/>
      <c r="U2294" s="224"/>
      <c r="V2294" s="224"/>
    </row>
    <row r="2295" spans="1:22" x14ac:dyDescent="0.3">
      <c r="A2295" s="222"/>
      <c r="B2295" s="235"/>
      <c r="C2295" s="227"/>
      <c r="D2295" s="344"/>
      <c r="E2295" s="235"/>
      <c r="F2295" s="235"/>
      <c r="G2295" s="227"/>
      <c r="H2295" s="227"/>
      <c r="I2295" s="350"/>
      <c r="J2295" s="227"/>
      <c r="K2295" s="227"/>
      <c r="L2295" s="224"/>
      <c r="M2295" s="224"/>
      <c r="N2295" s="224"/>
      <c r="O2295" s="224"/>
      <c r="P2295" s="224"/>
      <c r="Q2295" s="224"/>
      <c r="R2295" s="224"/>
      <c r="S2295" s="224"/>
      <c r="T2295" s="224"/>
      <c r="U2295" s="224"/>
      <c r="V2295" s="224"/>
    </row>
    <row r="2296" spans="1:22" x14ac:dyDescent="0.3">
      <c r="A2296" s="222"/>
      <c r="B2296" s="235"/>
      <c r="C2296" s="227"/>
      <c r="D2296" s="344"/>
      <c r="E2296" s="235"/>
      <c r="F2296" s="235"/>
      <c r="G2296" s="227"/>
      <c r="H2296" s="227"/>
      <c r="I2296" s="350"/>
      <c r="J2296" s="227"/>
      <c r="K2296" s="227"/>
      <c r="L2296" s="224"/>
      <c r="M2296" s="224"/>
      <c r="N2296" s="224"/>
      <c r="O2296" s="224"/>
      <c r="P2296" s="224"/>
      <c r="Q2296" s="224"/>
      <c r="R2296" s="224"/>
      <c r="S2296" s="224"/>
      <c r="T2296" s="224"/>
      <c r="U2296" s="224"/>
      <c r="V2296" s="224"/>
    </row>
    <row r="2297" spans="1:22" x14ac:dyDescent="0.3">
      <c r="A2297" s="222"/>
      <c r="B2297" s="235"/>
      <c r="C2297" s="227"/>
      <c r="D2297" s="344"/>
      <c r="E2297" s="235"/>
      <c r="F2297" s="235"/>
      <c r="G2297" s="227"/>
      <c r="H2297" s="227"/>
      <c r="I2297" s="350"/>
      <c r="J2297" s="227"/>
      <c r="K2297" s="227"/>
      <c r="L2297" s="224"/>
      <c r="M2297" s="224"/>
      <c r="N2297" s="224"/>
      <c r="O2297" s="224"/>
      <c r="P2297" s="224"/>
      <c r="Q2297" s="224"/>
      <c r="R2297" s="224"/>
      <c r="S2297" s="224"/>
      <c r="T2297" s="224"/>
      <c r="U2297" s="224"/>
      <c r="V2297" s="224"/>
    </row>
    <row r="2298" spans="1:22" x14ac:dyDescent="0.3">
      <c r="A2298" s="222"/>
      <c r="B2298" s="235"/>
      <c r="C2298" s="227"/>
      <c r="D2298" s="344"/>
      <c r="E2298" s="235"/>
      <c r="F2298" s="235"/>
      <c r="G2298" s="227"/>
      <c r="H2298" s="227"/>
      <c r="I2298" s="350"/>
      <c r="J2298" s="227"/>
      <c r="K2298" s="227"/>
      <c r="L2298" s="224"/>
      <c r="M2298" s="224"/>
      <c r="N2298" s="224"/>
      <c r="O2298" s="224"/>
      <c r="P2298" s="224"/>
      <c r="Q2298" s="224"/>
      <c r="R2298" s="224"/>
      <c r="S2298" s="224"/>
      <c r="T2298" s="224"/>
      <c r="U2298" s="224"/>
      <c r="V2298" s="224"/>
    </row>
    <row r="2299" spans="1:22" x14ac:dyDescent="0.3">
      <c r="A2299" s="222"/>
      <c r="B2299" s="235"/>
      <c r="C2299" s="227"/>
      <c r="D2299" s="344"/>
      <c r="E2299" s="235"/>
      <c r="F2299" s="235"/>
      <c r="G2299" s="227"/>
      <c r="H2299" s="227"/>
      <c r="I2299" s="350"/>
      <c r="J2299" s="227"/>
      <c r="K2299" s="227"/>
      <c r="L2299" s="224"/>
      <c r="M2299" s="224"/>
      <c r="N2299" s="224"/>
      <c r="O2299" s="224"/>
      <c r="P2299" s="224"/>
      <c r="Q2299" s="224"/>
      <c r="R2299" s="224"/>
      <c r="S2299" s="224"/>
      <c r="T2299" s="224"/>
      <c r="U2299" s="224"/>
      <c r="V2299" s="224"/>
    </row>
    <row r="2300" spans="1:22" x14ac:dyDescent="0.3">
      <c r="A2300" s="222"/>
      <c r="B2300" s="235"/>
      <c r="C2300" s="227"/>
      <c r="D2300" s="344"/>
      <c r="E2300" s="235"/>
      <c r="F2300" s="235"/>
      <c r="G2300" s="227"/>
      <c r="H2300" s="227"/>
      <c r="I2300" s="350"/>
      <c r="J2300" s="227"/>
      <c r="K2300" s="227"/>
      <c r="L2300" s="224"/>
      <c r="M2300" s="224"/>
      <c r="N2300" s="224"/>
      <c r="O2300" s="224"/>
      <c r="P2300" s="224"/>
      <c r="Q2300" s="224"/>
      <c r="R2300" s="224"/>
      <c r="S2300" s="224"/>
      <c r="T2300" s="224"/>
      <c r="U2300" s="224"/>
      <c r="V2300" s="224"/>
    </row>
    <row r="2301" spans="1:22" x14ac:dyDescent="0.3">
      <c r="A2301" s="222"/>
      <c r="B2301" s="235"/>
      <c r="C2301" s="227"/>
      <c r="D2301" s="344"/>
      <c r="E2301" s="235"/>
      <c r="F2301" s="235"/>
      <c r="G2301" s="227"/>
      <c r="H2301" s="227"/>
      <c r="I2301" s="350"/>
      <c r="J2301" s="227"/>
      <c r="K2301" s="227"/>
      <c r="L2301" s="224"/>
      <c r="M2301" s="224"/>
      <c r="N2301" s="224"/>
      <c r="O2301" s="224"/>
      <c r="P2301" s="224"/>
      <c r="Q2301" s="224"/>
      <c r="R2301" s="224"/>
      <c r="S2301" s="224"/>
      <c r="T2301" s="224"/>
      <c r="U2301" s="224"/>
      <c r="V2301" s="224"/>
    </row>
    <row r="2302" spans="1:22" x14ac:dyDescent="0.3">
      <c r="A2302" s="222"/>
      <c r="B2302" s="235"/>
      <c r="C2302" s="227"/>
      <c r="D2302" s="344"/>
      <c r="E2302" s="235"/>
      <c r="F2302" s="235"/>
      <c r="G2302" s="227"/>
      <c r="H2302" s="227"/>
      <c r="I2302" s="350"/>
      <c r="J2302" s="227"/>
      <c r="K2302" s="227"/>
      <c r="L2302" s="224"/>
      <c r="M2302" s="224"/>
      <c r="N2302" s="224"/>
      <c r="O2302" s="224"/>
      <c r="P2302" s="224"/>
      <c r="Q2302" s="224"/>
      <c r="R2302" s="224"/>
      <c r="S2302" s="224"/>
      <c r="T2302" s="224"/>
      <c r="U2302" s="224"/>
      <c r="V2302" s="224"/>
    </row>
    <row r="2303" spans="1:22" x14ac:dyDescent="0.3">
      <c r="A2303" s="222"/>
      <c r="B2303" s="235"/>
      <c r="C2303" s="227"/>
      <c r="D2303" s="344"/>
      <c r="E2303" s="235"/>
      <c r="F2303" s="235"/>
      <c r="G2303" s="227"/>
      <c r="H2303" s="227"/>
      <c r="I2303" s="350"/>
      <c r="J2303" s="227"/>
      <c r="K2303" s="227"/>
      <c r="L2303" s="224"/>
      <c r="M2303" s="224"/>
      <c r="N2303" s="224"/>
      <c r="O2303" s="224"/>
      <c r="P2303" s="224"/>
      <c r="Q2303" s="224"/>
      <c r="R2303" s="224"/>
      <c r="S2303" s="224"/>
      <c r="T2303" s="224"/>
      <c r="U2303" s="224"/>
      <c r="V2303" s="224"/>
    </row>
    <row r="2304" spans="1:22" x14ac:dyDescent="0.3">
      <c r="A2304" s="222"/>
      <c r="B2304" s="235"/>
      <c r="C2304" s="227"/>
      <c r="D2304" s="344"/>
      <c r="E2304" s="235"/>
      <c r="F2304" s="235"/>
      <c r="G2304" s="227"/>
      <c r="H2304" s="227"/>
      <c r="I2304" s="350"/>
      <c r="J2304" s="227"/>
      <c r="K2304" s="227"/>
      <c r="L2304" s="224"/>
      <c r="M2304" s="224"/>
      <c r="N2304" s="224"/>
      <c r="O2304" s="224"/>
      <c r="P2304" s="224"/>
      <c r="Q2304" s="224"/>
      <c r="R2304" s="224"/>
      <c r="S2304" s="224"/>
      <c r="T2304" s="224"/>
      <c r="U2304" s="224"/>
      <c r="V2304" s="224"/>
    </row>
    <row r="2305" spans="1:22" x14ac:dyDescent="0.3">
      <c r="A2305" s="222"/>
      <c r="B2305" s="235"/>
      <c r="C2305" s="227"/>
      <c r="D2305" s="344"/>
      <c r="E2305" s="235"/>
      <c r="F2305" s="235"/>
      <c r="G2305" s="227"/>
      <c r="H2305" s="227"/>
      <c r="I2305" s="350"/>
      <c r="J2305" s="227"/>
      <c r="K2305" s="227"/>
      <c r="L2305" s="224"/>
      <c r="M2305" s="224"/>
      <c r="N2305" s="224"/>
      <c r="O2305" s="224"/>
      <c r="P2305" s="224"/>
      <c r="Q2305" s="224"/>
      <c r="R2305" s="224"/>
      <c r="S2305" s="224"/>
      <c r="T2305" s="224"/>
      <c r="U2305" s="224"/>
      <c r="V2305" s="224"/>
    </row>
    <row r="2306" spans="1:22" x14ac:dyDescent="0.3">
      <c r="A2306" s="222"/>
      <c r="B2306" s="235"/>
      <c r="C2306" s="227"/>
      <c r="D2306" s="344"/>
      <c r="E2306" s="235"/>
      <c r="F2306" s="235"/>
      <c r="G2306" s="227"/>
      <c r="H2306" s="227"/>
      <c r="I2306" s="350"/>
      <c r="J2306" s="227"/>
      <c r="K2306" s="227"/>
      <c r="L2306" s="224"/>
      <c r="M2306" s="224"/>
      <c r="N2306" s="224"/>
      <c r="O2306" s="224"/>
      <c r="P2306" s="224"/>
      <c r="Q2306" s="224"/>
      <c r="R2306" s="224"/>
      <c r="S2306" s="224"/>
      <c r="T2306" s="224"/>
      <c r="U2306" s="224"/>
      <c r="V2306" s="224"/>
    </row>
    <row r="2307" spans="1:22" x14ac:dyDescent="0.3">
      <c r="A2307" s="222"/>
      <c r="B2307" s="235"/>
      <c r="C2307" s="227"/>
      <c r="D2307" s="344"/>
      <c r="E2307" s="235"/>
      <c r="F2307" s="235"/>
      <c r="G2307" s="227"/>
      <c r="H2307" s="227"/>
      <c r="I2307" s="350"/>
      <c r="J2307" s="227"/>
      <c r="K2307" s="227"/>
      <c r="L2307" s="224"/>
      <c r="M2307" s="224"/>
      <c r="N2307" s="224"/>
      <c r="O2307" s="224"/>
      <c r="P2307" s="224"/>
      <c r="Q2307" s="224"/>
      <c r="R2307" s="224"/>
      <c r="S2307" s="224"/>
      <c r="T2307" s="224"/>
      <c r="U2307" s="224"/>
      <c r="V2307" s="224"/>
    </row>
    <row r="2308" spans="1:22" x14ac:dyDescent="0.3">
      <c r="A2308" s="222"/>
      <c r="B2308" s="235"/>
      <c r="C2308" s="227"/>
      <c r="D2308" s="344"/>
      <c r="E2308" s="235"/>
      <c r="F2308" s="235"/>
      <c r="G2308" s="227"/>
      <c r="H2308" s="227"/>
      <c r="I2308" s="350"/>
      <c r="J2308" s="227"/>
      <c r="K2308" s="227"/>
      <c r="L2308" s="224"/>
      <c r="M2308" s="224"/>
      <c r="N2308" s="224"/>
      <c r="O2308" s="224"/>
      <c r="P2308" s="224"/>
      <c r="Q2308" s="224"/>
      <c r="R2308" s="224"/>
      <c r="S2308" s="224"/>
      <c r="T2308" s="224"/>
      <c r="U2308" s="224"/>
      <c r="V2308" s="224"/>
    </row>
    <row r="2309" spans="1:22" x14ac:dyDescent="0.3">
      <c r="A2309" s="222"/>
      <c r="B2309" s="235"/>
      <c r="C2309" s="227"/>
      <c r="D2309" s="344"/>
      <c r="E2309" s="235"/>
      <c r="F2309" s="235"/>
      <c r="G2309" s="227"/>
      <c r="H2309" s="227"/>
      <c r="I2309" s="350"/>
      <c r="J2309" s="227"/>
      <c r="K2309" s="227"/>
      <c r="L2309" s="224"/>
      <c r="M2309" s="224"/>
      <c r="N2309" s="224"/>
      <c r="O2309" s="224"/>
      <c r="P2309" s="224"/>
      <c r="Q2309" s="224"/>
      <c r="R2309" s="224"/>
      <c r="S2309" s="224"/>
      <c r="T2309" s="224"/>
      <c r="U2309" s="224"/>
      <c r="V2309" s="224"/>
    </row>
    <row r="2310" spans="1:22" x14ac:dyDescent="0.3">
      <c r="A2310" s="222"/>
      <c r="B2310" s="235"/>
      <c r="C2310" s="227"/>
      <c r="D2310" s="344"/>
      <c r="E2310" s="235"/>
      <c r="F2310" s="235"/>
      <c r="G2310" s="227"/>
      <c r="H2310" s="227"/>
      <c r="I2310" s="350"/>
      <c r="J2310" s="227"/>
      <c r="K2310" s="227"/>
      <c r="L2310" s="224"/>
      <c r="M2310" s="224"/>
      <c r="N2310" s="224"/>
      <c r="O2310" s="224"/>
      <c r="P2310" s="224"/>
      <c r="Q2310" s="224"/>
      <c r="R2310" s="224"/>
      <c r="S2310" s="224"/>
      <c r="T2310" s="224"/>
      <c r="U2310" s="224"/>
      <c r="V2310" s="224"/>
    </row>
    <row r="2311" spans="1:22" x14ac:dyDescent="0.3">
      <c r="A2311" s="222"/>
      <c r="B2311" s="235"/>
      <c r="C2311" s="227"/>
      <c r="D2311" s="344"/>
      <c r="E2311" s="235"/>
      <c r="F2311" s="235"/>
      <c r="G2311" s="227"/>
      <c r="H2311" s="227"/>
      <c r="I2311" s="350"/>
      <c r="J2311" s="227"/>
      <c r="K2311" s="227"/>
      <c r="L2311" s="224"/>
      <c r="M2311" s="224"/>
      <c r="N2311" s="224"/>
      <c r="O2311" s="224"/>
      <c r="P2311" s="224"/>
      <c r="Q2311" s="224"/>
      <c r="R2311" s="224"/>
      <c r="S2311" s="224"/>
      <c r="T2311" s="224"/>
      <c r="U2311" s="224"/>
      <c r="V2311" s="224"/>
    </row>
    <row r="2312" spans="1:22" x14ac:dyDescent="0.3">
      <c r="A2312" s="222"/>
      <c r="B2312" s="235"/>
      <c r="C2312" s="227"/>
      <c r="D2312" s="344"/>
      <c r="E2312" s="235"/>
      <c r="F2312" s="235"/>
      <c r="G2312" s="227"/>
      <c r="H2312" s="227"/>
      <c r="I2312" s="350"/>
      <c r="J2312" s="227"/>
      <c r="K2312" s="227"/>
      <c r="L2312" s="224"/>
      <c r="M2312" s="224"/>
      <c r="N2312" s="224"/>
      <c r="O2312" s="224"/>
      <c r="P2312" s="224"/>
      <c r="Q2312" s="224"/>
      <c r="R2312" s="224"/>
      <c r="S2312" s="224"/>
      <c r="T2312" s="224"/>
      <c r="U2312" s="224"/>
      <c r="V2312" s="224"/>
    </row>
    <row r="2313" spans="1:22" x14ac:dyDescent="0.3">
      <c r="A2313" s="222"/>
      <c r="B2313" s="235"/>
      <c r="C2313" s="227"/>
      <c r="D2313" s="344"/>
      <c r="E2313" s="235"/>
      <c r="F2313" s="235"/>
      <c r="G2313" s="227"/>
      <c r="H2313" s="227"/>
      <c r="I2313" s="350"/>
      <c r="J2313" s="227"/>
      <c r="K2313" s="227"/>
      <c r="L2313" s="224"/>
      <c r="M2313" s="224"/>
      <c r="N2313" s="224"/>
      <c r="O2313" s="224"/>
      <c r="P2313" s="224"/>
      <c r="Q2313" s="224"/>
      <c r="R2313" s="224"/>
      <c r="S2313" s="224"/>
      <c r="T2313" s="224"/>
      <c r="U2313" s="224"/>
      <c r="V2313" s="224"/>
    </row>
    <row r="2314" spans="1:22" x14ac:dyDescent="0.3">
      <c r="A2314" s="222"/>
      <c r="B2314" s="235"/>
      <c r="C2314" s="227"/>
      <c r="D2314" s="344"/>
      <c r="E2314" s="235"/>
      <c r="F2314" s="235"/>
      <c r="G2314" s="227"/>
      <c r="H2314" s="227"/>
      <c r="I2314" s="350"/>
      <c r="J2314" s="227"/>
      <c r="K2314" s="227"/>
      <c r="L2314" s="224"/>
      <c r="M2314" s="224"/>
      <c r="N2314" s="224"/>
      <c r="O2314" s="224"/>
      <c r="P2314" s="224"/>
      <c r="Q2314" s="224"/>
      <c r="R2314" s="224"/>
      <c r="S2314" s="224"/>
      <c r="T2314" s="224"/>
      <c r="U2314" s="224"/>
      <c r="V2314" s="224"/>
    </row>
    <row r="2315" spans="1:22" x14ac:dyDescent="0.3">
      <c r="A2315" s="222"/>
      <c r="B2315" s="235"/>
      <c r="C2315" s="227"/>
      <c r="D2315" s="344"/>
      <c r="E2315" s="235"/>
      <c r="F2315" s="235"/>
      <c r="G2315" s="227"/>
      <c r="H2315" s="227"/>
      <c r="I2315" s="350"/>
      <c r="J2315" s="227"/>
      <c r="K2315" s="227"/>
      <c r="L2315" s="224"/>
      <c r="M2315" s="224"/>
      <c r="N2315" s="224"/>
      <c r="O2315" s="224"/>
      <c r="P2315" s="224"/>
      <c r="Q2315" s="224"/>
      <c r="R2315" s="224"/>
      <c r="S2315" s="224"/>
      <c r="T2315" s="224"/>
      <c r="U2315" s="224"/>
      <c r="V2315" s="224"/>
    </row>
    <row r="2316" spans="1:22" x14ac:dyDescent="0.3">
      <c r="A2316" s="222"/>
      <c r="B2316" s="235"/>
      <c r="C2316" s="227"/>
      <c r="D2316" s="344"/>
      <c r="E2316" s="235"/>
      <c r="F2316" s="235"/>
      <c r="G2316" s="227"/>
      <c r="H2316" s="227"/>
      <c r="I2316" s="350"/>
      <c r="J2316" s="227"/>
      <c r="K2316" s="227"/>
      <c r="L2316" s="224"/>
      <c r="M2316" s="224"/>
      <c r="N2316" s="224"/>
      <c r="O2316" s="224"/>
      <c r="P2316" s="224"/>
      <c r="Q2316" s="224"/>
      <c r="R2316" s="224"/>
      <c r="S2316" s="224"/>
      <c r="T2316" s="224"/>
      <c r="U2316" s="224"/>
      <c r="V2316" s="224"/>
    </row>
    <row r="2317" spans="1:22" x14ac:dyDescent="0.3">
      <c r="A2317" s="222"/>
      <c r="B2317" s="235"/>
      <c r="C2317" s="227"/>
      <c r="D2317" s="344"/>
      <c r="E2317" s="235"/>
      <c r="F2317" s="235"/>
      <c r="G2317" s="227"/>
      <c r="H2317" s="227"/>
      <c r="I2317" s="350"/>
      <c r="J2317" s="227"/>
      <c r="K2317" s="227"/>
      <c r="L2317" s="224"/>
      <c r="M2317" s="224"/>
      <c r="N2317" s="224"/>
      <c r="O2317" s="224"/>
      <c r="P2317" s="224"/>
      <c r="Q2317" s="224"/>
      <c r="R2317" s="224"/>
      <c r="S2317" s="224"/>
      <c r="T2317" s="224"/>
      <c r="U2317" s="224"/>
      <c r="V2317" s="224"/>
    </row>
    <row r="2318" spans="1:22" x14ac:dyDescent="0.3">
      <c r="A2318" s="222"/>
      <c r="B2318" s="235"/>
      <c r="C2318" s="227"/>
      <c r="D2318" s="344"/>
      <c r="E2318" s="235"/>
      <c r="F2318" s="235"/>
      <c r="G2318" s="227"/>
      <c r="H2318" s="227"/>
      <c r="I2318" s="350"/>
      <c r="J2318" s="227"/>
      <c r="K2318" s="227"/>
      <c r="L2318" s="224"/>
      <c r="M2318" s="224"/>
      <c r="N2318" s="224"/>
      <c r="O2318" s="224"/>
      <c r="P2318" s="224"/>
      <c r="Q2318" s="224"/>
      <c r="R2318" s="224"/>
      <c r="S2318" s="224"/>
      <c r="T2318" s="224"/>
      <c r="U2318" s="224"/>
      <c r="V2318" s="224"/>
    </row>
    <row r="2319" spans="1:22" x14ac:dyDescent="0.3">
      <c r="A2319" s="222"/>
      <c r="B2319" s="235"/>
      <c r="C2319" s="227"/>
      <c r="D2319" s="344"/>
      <c r="E2319" s="235"/>
      <c r="F2319" s="235"/>
      <c r="G2319" s="227"/>
      <c r="H2319" s="227"/>
      <c r="I2319" s="350"/>
      <c r="J2319" s="227"/>
      <c r="K2319" s="227"/>
      <c r="L2319" s="224"/>
      <c r="M2319" s="224"/>
      <c r="N2319" s="224"/>
      <c r="O2319" s="224"/>
      <c r="P2319" s="224"/>
      <c r="Q2319" s="224"/>
      <c r="R2319" s="224"/>
      <c r="S2319" s="224"/>
      <c r="T2319" s="224"/>
      <c r="U2319" s="224"/>
      <c r="V2319" s="224"/>
    </row>
    <row r="2320" spans="1:22" x14ac:dyDescent="0.3">
      <c r="A2320" s="222"/>
      <c r="B2320" s="235"/>
      <c r="C2320" s="227"/>
      <c r="D2320" s="344"/>
      <c r="E2320" s="235"/>
      <c r="F2320" s="235"/>
      <c r="G2320" s="227"/>
      <c r="H2320" s="227"/>
      <c r="I2320" s="350"/>
      <c r="J2320" s="227"/>
      <c r="K2320" s="227"/>
      <c r="L2320" s="224"/>
      <c r="M2320" s="224"/>
      <c r="N2320" s="224"/>
      <c r="O2320" s="224"/>
      <c r="P2320" s="224"/>
      <c r="Q2320" s="224"/>
      <c r="R2320" s="224"/>
      <c r="S2320" s="224"/>
      <c r="T2320" s="224"/>
      <c r="U2320" s="224"/>
      <c r="V2320" s="224"/>
    </row>
    <row r="2321" spans="1:22" x14ac:dyDescent="0.3">
      <c r="A2321" s="222"/>
      <c r="B2321" s="235"/>
      <c r="C2321" s="227"/>
      <c r="D2321" s="344"/>
      <c r="E2321" s="235"/>
      <c r="F2321" s="235"/>
      <c r="G2321" s="227"/>
      <c r="H2321" s="227"/>
      <c r="I2321" s="350"/>
      <c r="J2321" s="227"/>
      <c r="K2321" s="227"/>
      <c r="L2321" s="224"/>
      <c r="M2321" s="224"/>
      <c r="N2321" s="224"/>
      <c r="O2321" s="224"/>
      <c r="P2321" s="224"/>
      <c r="Q2321" s="224"/>
      <c r="R2321" s="224"/>
      <c r="S2321" s="224"/>
      <c r="T2321" s="224"/>
      <c r="U2321" s="224"/>
      <c r="V2321" s="224"/>
    </row>
    <row r="2322" spans="1:22" x14ac:dyDescent="0.3">
      <c r="A2322" s="222"/>
      <c r="B2322" s="235"/>
      <c r="C2322" s="227"/>
      <c r="D2322" s="344"/>
      <c r="E2322" s="235"/>
      <c r="F2322" s="235"/>
      <c r="G2322" s="227"/>
      <c r="H2322" s="227"/>
      <c r="I2322" s="350"/>
      <c r="J2322" s="227"/>
      <c r="K2322" s="227"/>
      <c r="L2322" s="224"/>
      <c r="M2322" s="224"/>
      <c r="N2322" s="224"/>
      <c r="O2322" s="224"/>
      <c r="P2322" s="224"/>
      <c r="Q2322" s="224"/>
      <c r="R2322" s="224"/>
      <c r="S2322" s="224"/>
      <c r="T2322" s="224"/>
      <c r="U2322" s="224"/>
      <c r="V2322" s="224"/>
    </row>
    <row r="2323" spans="1:22" x14ac:dyDescent="0.3">
      <c r="A2323" s="222"/>
      <c r="B2323" s="235"/>
      <c r="C2323" s="227"/>
      <c r="D2323" s="344"/>
      <c r="E2323" s="235"/>
      <c r="F2323" s="235"/>
      <c r="G2323" s="227"/>
      <c r="H2323" s="227"/>
      <c r="I2323" s="350"/>
      <c r="J2323" s="227"/>
      <c r="K2323" s="227"/>
      <c r="L2323" s="224"/>
      <c r="M2323" s="224"/>
      <c r="N2323" s="224"/>
      <c r="O2323" s="224"/>
      <c r="P2323" s="224"/>
      <c r="Q2323" s="224"/>
      <c r="R2323" s="224"/>
      <c r="S2323" s="224"/>
      <c r="T2323" s="224"/>
      <c r="U2323" s="224"/>
      <c r="V2323" s="224"/>
    </row>
    <row r="2324" spans="1:22" x14ac:dyDescent="0.3">
      <c r="A2324" s="222"/>
      <c r="B2324" s="235"/>
      <c r="C2324" s="227"/>
      <c r="D2324" s="344"/>
      <c r="E2324" s="235"/>
      <c r="F2324" s="235"/>
      <c r="G2324" s="227"/>
      <c r="H2324" s="227"/>
      <c r="I2324" s="350"/>
      <c r="J2324" s="227"/>
      <c r="K2324" s="227"/>
      <c r="L2324" s="224"/>
      <c r="M2324" s="224"/>
      <c r="N2324" s="224"/>
      <c r="O2324" s="224"/>
      <c r="P2324" s="224"/>
      <c r="Q2324" s="224"/>
      <c r="R2324" s="224"/>
      <c r="S2324" s="224"/>
      <c r="T2324" s="224"/>
      <c r="U2324" s="224"/>
      <c r="V2324" s="224"/>
    </row>
    <row r="2325" spans="1:22" x14ac:dyDescent="0.3">
      <c r="A2325" s="222"/>
      <c r="B2325" s="235"/>
      <c r="C2325" s="227"/>
      <c r="D2325" s="344"/>
      <c r="E2325" s="235"/>
      <c r="F2325" s="235"/>
      <c r="G2325" s="227"/>
      <c r="H2325" s="227"/>
      <c r="I2325" s="350"/>
      <c r="J2325" s="227"/>
      <c r="K2325" s="227"/>
      <c r="L2325" s="224"/>
      <c r="M2325" s="224"/>
      <c r="N2325" s="224"/>
      <c r="O2325" s="224"/>
      <c r="P2325" s="224"/>
      <c r="Q2325" s="224"/>
      <c r="R2325" s="224"/>
      <c r="S2325" s="224"/>
      <c r="T2325" s="224"/>
      <c r="U2325" s="224"/>
      <c r="V2325" s="224"/>
    </row>
    <row r="2326" spans="1:22" x14ac:dyDescent="0.3">
      <c r="A2326" s="222"/>
      <c r="B2326" s="235"/>
      <c r="C2326" s="227"/>
      <c r="D2326" s="344"/>
      <c r="E2326" s="235"/>
      <c r="F2326" s="235"/>
      <c r="G2326" s="227"/>
      <c r="H2326" s="227"/>
      <c r="I2326" s="350"/>
      <c r="J2326" s="227"/>
      <c r="K2326" s="227"/>
      <c r="L2326" s="224"/>
      <c r="M2326" s="224"/>
      <c r="N2326" s="224"/>
      <c r="O2326" s="224"/>
      <c r="P2326" s="224"/>
      <c r="Q2326" s="224"/>
      <c r="R2326" s="224"/>
      <c r="S2326" s="224"/>
      <c r="T2326" s="224"/>
      <c r="U2326" s="224"/>
      <c r="V2326" s="224"/>
    </row>
    <row r="2327" spans="1:22" x14ac:dyDescent="0.3">
      <c r="A2327" s="222"/>
      <c r="B2327" s="235"/>
      <c r="C2327" s="227"/>
      <c r="D2327" s="344"/>
      <c r="E2327" s="235"/>
      <c r="F2327" s="235"/>
      <c r="G2327" s="227"/>
      <c r="H2327" s="227"/>
      <c r="I2327" s="350"/>
      <c r="J2327" s="227"/>
      <c r="K2327" s="227"/>
      <c r="L2327" s="224"/>
      <c r="M2327" s="224"/>
      <c r="N2327" s="224"/>
      <c r="O2327" s="224"/>
      <c r="P2327" s="224"/>
      <c r="Q2327" s="224"/>
      <c r="R2327" s="224"/>
      <c r="S2327" s="224"/>
      <c r="T2327" s="224"/>
      <c r="U2327" s="224"/>
      <c r="V2327" s="224"/>
    </row>
    <row r="2328" spans="1:22" x14ac:dyDescent="0.3">
      <c r="A2328" s="222"/>
      <c r="B2328" s="235"/>
      <c r="C2328" s="227"/>
      <c r="D2328" s="344"/>
      <c r="E2328" s="235"/>
      <c r="F2328" s="235"/>
      <c r="G2328" s="227"/>
      <c r="H2328" s="227"/>
      <c r="I2328" s="350"/>
      <c r="J2328" s="227"/>
      <c r="K2328" s="227"/>
      <c r="L2328" s="224"/>
      <c r="M2328" s="224"/>
      <c r="N2328" s="224"/>
      <c r="O2328" s="224"/>
      <c r="P2328" s="224"/>
      <c r="Q2328" s="224"/>
      <c r="R2328" s="224"/>
      <c r="S2328" s="224"/>
      <c r="T2328" s="224"/>
      <c r="U2328" s="224"/>
      <c r="V2328" s="224"/>
    </row>
    <row r="2329" spans="1:22" x14ac:dyDescent="0.3">
      <c r="A2329" s="222"/>
      <c r="B2329" s="235"/>
      <c r="C2329" s="227"/>
      <c r="D2329" s="344"/>
      <c r="E2329" s="235"/>
      <c r="F2329" s="235"/>
      <c r="G2329" s="227"/>
      <c r="H2329" s="227"/>
      <c r="I2329" s="350"/>
      <c r="J2329" s="227"/>
      <c r="K2329" s="227"/>
      <c r="L2329" s="224"/>
      <c r="M2329" s="224"/>
      <c r="N2329" s="224"/>
      <c r="O2329" s="224"/>
      <c r="P2329" s="224"/>
      <c r="Q2329" s="224"/>
      <c r="R2329" s="224"/>
      <c r="S2329" s="224"/>
      <c r="T2329" s="224"/>
      <c r="U2329" s="224"/>
      <c r="V2329" s="224"/>
    </row>
    <row r="2330" spans="1:22" x14ac:dyDescent="0.3">
      <c r="A2330" s="222"/>
      <c r="B2330" s="235"/>
      <c r="C2330" s="227"/>
      <c r="D2330" s="344"/>
      <c r="E2330" s="235"/>
      <c r="F2330" s="235"/>
      <c r="G2330" s="227"/>
      <c r="H2330" s="227"/>
      <c r="I2330" s="350"/>
      <c r="J2330" s="227"/>
      <c r="K2330" s="227"/>
      <c r="L2330" s="224"/>
      <c r="M2330" s="224"/>
      <c r="N2330" s="224"/>
      <c r="O2330" s="224"/>
      <c r="P2330" s="224"/>
      <c r="Q2330" s="224"/>
      <c r="R2330" s="224"/>
      <c r="S2330" s="224"/>
      <c r="T2330" s="224"/>
      <c r="U2330" s="224"/>
      <c r="V2330" s="224"/>
    </row>
    <row r="2331" spans="1:22" x14ac:dyDescent="0.3">
      <c r="A2331" s="222"/>
      <c r="B2331" s="235"/>
      <c r="C2331" s="227"/>
      <c r="D2331" s="344"/>
      <c r="E2331" s="235"/>
      <c r="F2331" s="235"/>
      <c r="G2331" s="227"/>
      <c r="H2331" s="227"/>
      <c r="I2331" s="350"/>
      <c r="J2331" s="227"/>
      <c r="K2331" s="227"/>
      <c r="L2331" s="224"/>
      <c r="M2331" s="224"/>
      <c r="N2331" s="224"/>
      <c r="O2331" s="224"/>
      <c r="P2331" s="224"/>
      <c r="Q2331" s="224"/>
      <c r="R2331" s="224"/>
      <c r="S2331" s="224"/>
      <c r="T2331" s="224"/>
      <c r="U2331" s="224"/>
      <c r="V2331" s="224"/>
    </row>
    <row r="2332" spans="1:22" x14ac:dyDescent="0.3">
      <c r="A2332" s="222"/>
      <c r="B2332" s="235"/>
      <c r="C2332" s="227"/>
      <c r="D2332" s="344"/>
      <c r="E2332" s="235"/>
      <c r="F2332" s="235"/>
      <c r="G2332" s="227"/>
      <c r="H2332" s="227"/>
      <c r="I2332" s="350"/>
      <c r="J2332" s="227"/>
      <c r="K2332" s="227"/>
      <c r="L2332" s="224"/>
      <c r="M2332" s="224"/>
      <c r="N2332" s="224"/>
      <c r="O2332" s="224"/>
      <c r="P2332" s="224"/>
      <c r="Q2332" s="224"/>
      <c r="R2332" s="224"/>
      <c r="S2332" s="224"/>
      <c r="T2332" s="224"/>
      <c r="U2332" s="224"/>
      <c r="V2332" s="224"/>
    </row>
    <row r="2333" spans="1:22" x14ac:dyDescent="0.3">
      <c r="A2333" s="222"/>
      <c r="B2333" s="235"/>
      <c r="C2333" s="227"/>
      <c r="D2333" s="344"/>
      <c r="E2333" s="235"/>
      <c r="F2333" s="235"/>
      <c r="G2333" s="227"/>
      <c r="H2333" s="227"/>
      <c r="I2333" s="350"/>
      <c r="J2333" s="227"/>
      <c r="K2333" s="227"/>
      <c r="L2333" s="224"/>
      <c r="M2333" s="224"/>
      <c r="N2333" s="224"/>
      <c r="O2333" s="224"/>
      <c r="P2333" s="224"/>
      <c r="Q2333" s="224"/>
      <c r="R2333" s="224"/>
      <c r="S2333" s="224"/>
      <c r="T2333" s="224"/>
      <c r="U2333" s="224"/>
      <c r="V2333" s="224"/>
    </row>
    <row r="2334" spans="1:22" x14ac:dyDescent="0.3">
      <c r="A2334" s="222"/>
      <c r="B2334" s="235"/>
      <c r="C2334" s="227"/>
      <c r="D2334" s="344"/>
      <c r="E2334" s="235"/>
      <c r="F2334" s="235"/>
      <c r="G2334" s="227"/>
      <c r="H2334" s="227"/>
      <c r="I2334" s="350"/>
      <c r="J2334" s="227"/>
      <c r="K2334" s="227"/>
      <c r="L2334" s="224"/>
      <c r="M2334" s="224"/>
      <c r="N2334" s="224"/>
      <c r="O2334" s="224"/>
      <c r="P2334" s="224"/>
      <c r="Q2334" s="224"/>
      <c r="R2334" s="224"/>
      <c r="S2334" s="224"/>
      <c r="T2334" s="224"/>
      <c r="U2334" s="224"/>
      <c r="V2334" s="224"/>
    </row>
    <row r="2335" spans="1:22" x14ac:dyDescent="0.3">
      <c r="A2335" s="222"/>
      <c r="B2335" s="235"/>
      <c r="C2335" s="227"/>
      <c r="D2335" s="344"/>
      <c r="E2335" s="235"/>
      <c r="F2335" s="235"/>
      <c r="G2335" s="227"/>
      <c r="H2335" s="227"/>
      <c r="I2335" s="350"/>
      <c r="J2335" s="227"/>
      <c r="K2335" s="227"/>
      <c r="L2335" s="224"/>
      <c r="M2335" s="224"/>
      <c r="N2335" s="224"/>
      <c r="O2335" s="224"/>
      <c r="P2335" s="224"/>
      <c r="Q2335" s="224"/>
      <c r="R2335" s="224"/>
      <c r="S2335" s="224"/>
      <c r="T2335" s="224"/>
      <c r="U2335" s="224"/>
      <c r="V2335" s="224"/>
    </row>
    <row r="2336" spans="1:22" x14ac:dyDescent="0.3">
      <c r="A2336" s="222"/>
      <c r="B2336" s="235"/>
      <c r="C2336" s="227"/>
      <c r="D2336" s="344"/>
      <c r="E2336" s="235"/>
      <c r="F2336" s="235"/>
      <c r="G2336" s="227"/>
      <c r="H2336" s="227"/>
      <c r="I2336" s="350"/>
      <c r="J2336" s="227"/>
      <c r="K2336" s="227"/>
      <c r="L2336" s="224"/>
      <c r="M2336" s="224"/>
      <c r="N2336" s="224"/>
      <c r="O2336" s="224"/>
      <c r="P2336" s="224"/>
      <c r="Q2336" s="224"/>
      <c r="R2336" s="224"/>
      <c r="S2336" s="224"/>
      <c r="T2336" s="224"/>
      <c r="U2336" s="224"/>
      <c r="V2336" s="224"/>
    </row>
    <row r="2337" spans="1:22" x14ac:dyDescent="0.3">
      <c r="A2337" s="222"/>
      <c r="B2337" s="235"/>
      <c r="C2337" s="227"/>
      <c r="D2337" s="344"/>
      <c r="E2337" s="235"/>
      <c r="F2337" s="235"/>
      <c r="G2337" s="227"/>
      <c r="H2337" s="227"/>
      <c r="I2337" s="350"/>
      <c r="J2337" s="227"/>
      <c r="K2337" s="227"/>
      <c r="L2337" s="224"/>
      <c r="M2337" s="224"/>
      <c r="N2337" s="224"/>
      <c r="O2337" s="224"/>
      <c r="P2337" s="224"/>
      <c r="Q2337" s="224"/>
      <c r="R2337" s="224"/>
      <c r="S2337" s="224"/>
      <c r="T2337" s="224"/>
      <c r="U2337" s="224"/>
      <c r="V2337" s="224"/>
    </row>
    <row r="2338" spans="1:22" x14ac:dyDescent="0.3">
      <c r="A2338" s="222"/>
      <c r="B2338" s="235"/>
      <c r="C2338" s="227"/>
      <c r="D2338" s="344"/>
      <c r="E2338" s="235"/>
      <c r="F2338" s="235"/>
      <c r="G2338" s="227"/>
      <c r="H2338" s="227"/>
      <c r="I2338" s="350"/>
      <c r="J2338" s="227"/>
      <c r="K2338" s="227"/>
      <c r="L2338" s="224"/>
      <c r="M2338" s="224"/>
      <c r="N2338" s="224"/>
      <c r="O2338" s="224"/>
      <c r="P2338" s="224"/>
      <c r="Q2338" s="224"/>
      <c r="R2338" s="224"/>
      <c r="S2338" s="224"/>
      <c r="T2338" s="224"/>
      <c r="U2338" s="224"/>
      <c r="V2338" s="224"/>
    </row>
    <row r="2339" spans="1:22" x14ac:dyDescent="0.3">
      <c r="A2339" s="222"/>
      <c r="B2339" s="235"/>
      <c r="C2339" s="227"/>
      <c r="D2339" s="344"/>
      <c r="E2339" s="235"/>
      <c r="F2339" s="235"/>
      <c r="G2339" s="227"/>
      <c r="H2339" s="227"/>
      <c r="I2339" s="350"/>
      <c r="J2339" s="227"/>
      <c r="K2339" s="227"/>
      <c r="L2339" s="224"/>
      <c r="M2339" s="224"/>
      <c r="N2339" s="224"/>
      <c r="O2339" s="224"/>
      <c r="P2339" s="224"/>
      <c r="Q2339" s="224"/>
      <c r="R2339" s="224"/>
      <c r="S2339" s="224"/>
      <c r="T2339" s="224"/>
      <c r="U2339" s="224"/>
      <c r="V2339" s="224"/>
    </row>
    <row r="2340" spans="1:22" x14ac:dyDescent="0.3">
      <c r="A2340" s="222"/>
      <c r="B2340" s="235"/>
      <c r="C2340" s="227"/>
      <c r="D2340" s="344"/>
      <c r="E2340" s="235"/>
      <c r="F2340" s="235"/>
      <c r="G2340" s="227"/>
      <c r="H2340" s="227"/>
      <c r="I2340" s="350"/>
      <c r="J2340" s="227"/>
      <c r="K2340" s="227"/>
      <c r="L2340" s="224"/>
      <c r="M2340" s="224"/>
      <c r="N2340" s="224"/>
      <c r="O2340" s="224"/>
      <c r="P2340" s="224"/>
      <c r="Q2340" s="224"/>
      <c r="R2340" s="224"/>
      <c r="S2340" s="224"/>
      <c r="T2340" s="224"/>
      <c r="U2340" s="224"/>
      <c r="V2340" s="224"/>
    </row>
    <row r="2341" spans="1:22" x14ac:dyDescent="0.3">
      <c r="A2341" s="222"/>
      <c r="B2341" s="235"/>
      <c r="C2341" s="227"/>
      <c r="D2341" s="344"/>
      <c r="E2341" s="235"/>
      <c r="F2341" s="235"/>
      <c r="G2341" s="227"/>
      <c r="H2341" s="227"/>
      <c r="I2341" s="350"/>
      <c r="J2341" s="227"/>
      <c r="K2341" s="227"/>
      <c r="L2341" s="224"/>
      <c r="M2341" s="224"/>
      <c r="N2341" s="224"/>
      <c r="O2341" s="224"/>
      <c r="P2341" s="224"/>
      <c r="Q2341" s="224"/>
      <c r="R2341" s="224"/>
      <c r="S2341" s="224"/>
      <c r="T2341" s="224"/>
      <c r="U2341" s="224"/>
      <c r="V2341" s="224"/>
    </row>
    <row r="2342" spans="1:22" x14ac:dyDescent="0.3">
      <c r="A2342" s="222"/>
      <c r="B2342" s="235"/>
      <c r="C2342" s="227"/>
      <c r="D2342" s="344"/>
      <c r="E2342" s="235"/>
      <c r="F2342" s="235"/>
      <c r="G2342" s="227"/>
      <c r="H2342" s="227"/>
      <c r="I2342" s="350"/>
      <c r="J2342" s="227"/>
      <c r="K2342" s="227"/>
      <c r="L2342" s="224"/>
      <c r="M2342" s="224"/>
      <c r="N2342" s="224"/>
      <c r="O2342" s="224"/>
      <c r="P2342" s="224"/>
      <c r="Q2342" s="224"/>
      <c r="R2342" s="224"/>
      <c r="S2342" s="224"/>
      <c r="T2342" s="224"/>
      <c r="U2342" s="224"/>
      <c r="V2342" s="224"/>
    </row>
    <row r="2343" spans="1:22" x14ac:dyDescent="0.3">
      <c r="A2343" s="222"/>
      <c r="B2343" s="235"/>
      <c r="C2343" s="227"/>
      <c r="D2343" s="344"/>
      <c r="E2343" s="235"/>
      <c r="F2343" s="235"/>
      <c r="G2343" s="227"/>
      <c r="H2343" s="227"/>
      <c r="I2343" s="350"/>
      <c r="J2343" s="227"/>
      <c r="K2343" s="227"/>
      <c r="L2343" s="224"/>
      <c r="M2343" s="224"/>
      <c r="N2343" s="224"/>
      <c r="O2343" s="224"/>
      <c r="P2343" s="224"/>
      <c r="Q2343" s="224"/>
      <c r="R2343" s="224"/>
      <c r="S2343" s="224"/>
      <c r="T2343" s="224"/>
      <c r="U2343" s="224"/>
      <c r="V2343" s="224"/>
    </row>
    <row r="2344" spans="1:22" x14ac:dyDescent="0.3">
      <c r="A2344" s="222"/>
      <c r="B2344" s="235"/>
      <c r="C2344" s="227"/>
      <c r="D2344" s="344"/>
      <c r="E2344" s="235"/>
      <c r="F2344" s="235"/>
      <c r="G2344" s="227"/>
      <c r="H2344" s="227"/>
      <c r="I2344" s="350"/>
      <c r="J2344" s="227"/>
      <c r="K2344" s="227"/>
      <c r="L2344" s="224"/>
      <c r="M2344" s="224"/>
      <c r="N2344" s="224"/>
      <c r="O2344" s="224"/>
      <c r="P2344" s="224"/>
      <c r="Q2344" s="224"/>
      <c r="R2344" s="224"/>
      <c r="S2344" s="224"/>
      <c r="T2344" s="224"/>
      <c r="U2344" s="224"/>
      <c r="V2344" s="224"/>
    </row>
    <row r="2345" spans="1:22" x14ac:dyDescent="0.3">
      <c r="A2345" s="222"/>
      <c r="B2345" s="235"/>
      <c r="C2345" s="227"/>
      <c r="D2345" s="344"/>
      <c r="E2345" s="235"/>
      <c r="F2345" s="235"/>
      <c r="G2345" s="227"/>
      <c r="H2345" s="227"/>
      <c r="I2345" s="350"/>
      <c r="J2345" s="227"/>
      <c r="K2345" s="227"/>
      <c r="L2345" s="224"/>
      <c r="M2345" s="224"/>
      <c r="N2345" s="224"/>
      <c r="O2345" s="224"/>
      <c r="P2345" s="224"/>
      <c r="Q2345" s="224"/>
      <c r="R2345" s="224"/>
      <c r="S2345" s="224"/>
      <c r="T2345" s="224"/>
      <c r="U2345" s="224"/>
      <c r="V2345" s="224"/>
    </row>
    <row r="2346" spans="1:22" x14ac:dyDescent="0.3">
      <c r="A2346" s="222"/>
      <c r="B2346" s="235"/>
      <c r="C2346" s="227"/>
      <c r="D2346" s="344"/>
      <c r="E2346" s="235"/>
      <c r="F2346" s="235"/>
      <c r="G2346" s="227"/>
      <c r="H2346" s="227"/>
      <c r="I2346" s="350"/>
      <c r="J2346" s="227"/>
      <c r="K2346" s="227"/>
      <c r="L2346" s="224"/>
      <c r="M2346" s="224"/>
      <c r="N2346" s="224"/>
      <c r="O2346" s="224"/>
      <c r="P2346" s="224"/>
      <c r="Q2346" s="224"/>
      <c r="R2346" s="224"/>
      <c r="S2346" s="224"/>
      <c r="T2346" s="224"/>
      <c r="U2346" s="224"/>
      <c r="V2346" s="224"/>
    </row>
    <row r="2347" spans="1:22" x14ac:dyDescent="0.3">
      <c r="A2347" s="222"/>
      <c r="B2347" s="235"/>
      <c r="C2347" s="227"/>
      <c r="D2347" s="344"/>
      <c r="E2347" s="235"/>
      <c r="F2347" s="235"/>
      <c r="G2347" s="227"/>
      <c r="H2347" s="227"/>
      <c r="I2347" s="350"/>
      <c r="J2347" s="227"/>
      <c r="K2347" s="227"/>
      <c r="L2347" s="224"/>
      <c r="M2347" s="224"/>
      <c r="N2347" s="224"/>
      <c r="O2347" s="224"/>
      <c r="P2347" s="224"/>
      <c r="Q2347" s="224"/>
      <c r="R2347" s="224"/>
      <c r="S2347" s="224"/>
      <c r="T2347" s="224"/>
      <c r="U2347" s="224"/>
      <c r="V2347" s="224"/>
    </row>
    <row r="2348" spans="1:22" x14ac:dyDescent="0.3">
      <c r="A2348" s="222"/>
      <c r="B2348" s="235"/>
      <c r="C2348" s="227"/>
      <c r="D2348" s="344"/>
      <c r="E2348" s="235"/>
      <c r="F2348" s="235"/>
      <c r="G2348" s="227"/>
      <c r="H2348" s="227"/>
      <c r="I2348" s="350"/>
      <c r="J2348" s="227"/>
      <c r="K2348" s="227"/>
      <c r="L2348" s="224"/>
      <c r="M2348" s="224"/>
      <c r="N2348" s="224"/>
      <c r="O2348" s="224"/>
      <c r="P2348" s="224"/>
      <c r="Q2348" s="224"/>
      <c r="R2348" s="224"/>
      <c r="S2348" s="224"/>
      <c r="T2348" s="224"/>
      <c r="U2348" s="224"/>
      <c r="V2348" s="224"/>
    </row>
    <row r="2349" spans="1:22" x14ac:dyDescent="0.3">
      <c r="A2349" s="222"/>
      <c r="B2349" s="235"/>
      <c r="C2349" s="227"/>
      <c r="D2349" s="344"/>
      <c r="E2349" s="235"/>
      <c r="F2349" s="235"/>
      <c r="G2349" s="227"/>
      <c r="H2349" s="227"/>
      <c r="I2349" s="350"/>
      <c r="J2349" s="227"/>
      <c r="K2349" s="227"/>
      <c r="L2349" s="224"/>
      <c r="M2349" s="224"/>
      <c r="N2349" s="224"/>
      <c r="O2349" s="224"/>
      <c r="P2349" s="224"/>
      <c r="Q2349" s="224"/>
      <c r="R2349" s="224"/>
      <c r="S2349" s="224"/>
      <c r="T2349" s="224"/>
      <c r="U2349" s="224"/>
      <c r="V2349" s="224"/>
    </row>
    <row r="2350" spans="1:22" x14ac:dyDescent="0.3">
      <c r="A2350" s="222"/>
      <c r="B2350" s="235"/>
      <c r="C2350" s="227"/>
      <c r="D2350" s="344"/>
      <c r="E2350" s="235"/>
      <c r="F2350" s="235"/>
      <c r="G2350" s="227"/>
      <c r="H2350" s="227"/>
      <c r="I2350" s="350"/>
      <c r="J2350" s="227"/>
      <c r="K2350" s="227"/>
      <c r="L2350" s="224"/>
      <c r="M2350" s="224"/>
      <c r="N2350" s="224"/>
      <c r="O2350" s="224"/>
      <c r="P2350" s="224"/>
      <c r="Q2350" s="224"/>
      <c r="R2350" s="224"/>
      <c r="S2350" s="224"/>
      <c r="T2350" s="224"/>
      <c r="U2350" s="224"/>
      <c r="V2350" s="224"/>
    </row>
    <row r="2351" spans="1:22" x14ac:dyDescent="0.3">
      <c r="A2351" s="222"/>
      <c r="B2351" s="235"/>
      <c r="C2351" s="227"/>
      <c r="D2351" s="344"/>
      <c r="E2351" s="235"/>
      <c r="F2351" s="235"/>
      <c r="G2351" s="227"/>
      <c r="H2351" s="227"/>
      <c r="I2351" s="350"/>
      <c r="J2351" s="227"/>
      <c r="K2351" s="227"/>
      <c r="L2351" s="224"/>
      <c r="M2351" s="224"/>
      <c r="N2351" s="224"/>
      <c r="O2351" s="224"/>
      <c r="P2351" s="224"/>
      <c r="Q2351" s="224"/>
      <c r="R2351" s="224"/>
      <c r="S2351" s="224"/>
      <c r="T2351" s="224"/>
      <c r="U2351" s="224"/>
      <c r="V2351" s="224"/>
    </row>
    <row r="2352" spans="1:22" x14ac:dyDescent="0.3">
      <c r="A2352" s="222"/>
      <c r="B2352" s="235"/>
      <c r="C2352" s="227"/>
      <c r="D2352" s="344"/>
      <c r="E2352" s="235"/>
      <c r="F2352" s="235"/>
      <c r="G2352" s="227"/>
      <c r="H2352" s="227"/>
      <c r="I2352" s="350"/>
      <c r="J2352" s="227"/>
      <c r="K2352" s="227"/>
      <c r="L2352" s="224"/>
      <c r="M2352" s="224"/>
      <c r="N2352" s="224"/>
      <c r="O2352" s="224"/>
      <c r="P2352" s="224"/>
      <c r="Q2352" s="224"/>
      <c r="R2352" s="224"/>
      <c r="S2352" s="224"/>
      <c r="T2352" s="224"/>
      <c r="U2352" s="224"/>
      <c r="V2352" s="224"/>
    </row>
    <row r="2353" spans="1:22" x14ac:dyDescent="0.3">
      <c r="A2353" s="222"/>
      <c r="B2353" s="235"/>
      <c r="C2353" s="227"/>
      <c r="D2353" s="344"/>
      <c r="E2353" s="235"/>
      <c r="F2353" s="235"/>
      <c r="G2353" s="227"/>
      <c r="H2353" s="227"/>
      <c r="I2353" s="350"/>
      <c r="J2353" s="227"/>
      <c r="K2353" s="227"/>
      <c r="L2353" s="224"/>
      <c r="M2353" s="224"/>
      <c r="N2353" s="224"/>
      <c r="O2353" s="224"/>
      <c r="P2353" s="224"/>
      <c r="Q2353" s="224"/>
      <c r="R2353" s="224"/>
      <c r="S2353" s="224"/>
      <c r="T2353" s="224"/>
      <c r="U2353" s="224"/>
      <c r="V2353" s="224"/>
    </row>
    <row r="2354" spans="1:22" x14ac:dyDescent="0.3">
      <c r="A2354" s="222"/>
      <c r="B2354" s="235"/>
      <c r="C2354" s="227"/>
      <c r="D2354" s="344"/>
      <c r="E2354" s="235"/>
      <c r="F2354" s="235"/>
      <c r="G2354" s="227"/>
      <c r="H2354" s="227"/>
      <c r="I2354" s="350"/>
      <c r="J2354" s="227"/>
      <c r="K2354" s="227"/>
      <c r="L2354" s="224"/>
      <c r="M2354" s="224"/>
      <c r="N2354" s="224"/>
      <c r="O2354" s="224"/>
      <c r="P2354" s="224"/>
      <c r="Q2354" s="224"/>
      <c r="R2354" s="224"/>
      <c r="S2354" s="224"/>
      <c r="T2354" s="224"/>
      <c r="U2354" s="224"/>
      <c r="V2354" s="224"/>
    </row>
    <row r="2355" spans="1:22" x14ac:dyDescent="0.3">
      <c r="A2355" s="222"/>
      <c r="B2355" s="235"/>
      <c r="C2355" s="227"/>
      <c r="D2355" s="344"/>
      <c r="E2355" s="235"/>
      <c r="F2355" s="235"/>
      <c r="G2355" s="227"/>
      <c r="H2355" s="227"/>
      <c r="I2355" s="350"/>
      <c r="J2355" s="227"/>
      <c r="K2355" s="227"/>
      <c r="L2355" s="224"/>
      <c r="M2355" s="224"/>
      <c r="N2355" s="224"/>
      <c r="O2355" s="224"/>
      <c r="P2355" s="224"/>
      <c r="Q2355" s="224"/>
      <c r="R2355" s="224"/>
      <c r="S2355" s="224"/>
      <c r="T2355" s="224"/>
      <c r="U2355" s="224"/>
      <c r="V2355" s="224"/>
    </row>
    <row r="2356" spans="1:22" x14ac:dyDescent="0.3">
      <c r="A2356" s="222"/>
      <c r="B2356" s="235"/>
      <c r="C2356" s="227"/>
      <c r="D2356" s="344"/>
      <c r="E2356" s="235"/>
      <c r="F2356" s="235"/>
      <c r="G2356" s="227"/>
      <c r="H2356" s="227"/>
      <c r="I2356" s="350"/>
      <c r="J2356" s="227"/>
      <c r="K2356" s="227"/>
      <c r="L2356" s="224"/>
      <c r="M2356" s="224"/>
      <c r="N2356" s="224"/>
      <c r="O2356" s="224"/>
      <c r="P2356" s="224"/>
      <c r="Q2356" s="224"/>
      <c r="R2356" s="224"/>
      <c r="S2356" s="224"/>
      <c r="T2356" s="224"/>
      <c r="U2356" s="224"/>
      <c r="V2356" s="224"/>
    </row>
    <row r="2357" spans="1:22" x14ac:dyDescent="0.3">
      <c r="A2357" s="222"/>
      <c r="B2357" s="235"/>
      <c r="C2357" s="227"/>
      <c r="D2357" s="344"/>
      <c r="E2357" s="235"/>
      <c r="F2357" s="235"/>
      <c r="G2357" s="227"/>
      <c r="H2357" s="227"/>
      <c r="I2357" s="350"/>
      <c r="J2357" s="227"/>
      <c r="K2357" s="227"/>
      <c r="L2357" s="224"/>
      <c r="M2357" s="224"/>
      <c r="N2357" s="224"/>
      <c r="O2357" s="224"/>
      <c r="P2357" s="224"/>
      <c r="Q2357" s="224"/>
      <c r="R2357" s="224"/>
      <c r="S2357" s="224"/>
      <c r="T2357" s="224"/>
      <c r="U2357" s="224"/>
      <c r="V2357" s="224"/>
    </row>
    <row r="2358" spans="1:22" x14ac:dyDescent="0.3">
      <c r="A2358" s="222"/>
      <c r="B2358" s="235"/>
      <c r="C2358" s="227"/>
      <c r="D2358" s="344"/>
      <c r="E2358" s="235"/>
      <c r="F2358" s="235"/>
      <c r="G2358" s="227"/>
      <c r="H2358" s="227"/>
      <c r="I2358" s="350"/>
      <c r="J2358" s="227"/>
      <c r="K2358" s="227"/>
      <c r="L2358" s="224"/>
      <c r="M2358" s="224"/>
      <c r="N2358" s="224"/>
      <c r="O2358" s="224"/>
      <c r="P2358" s="224"/>
      <c r="Q2358" s="224"/>
      <c r="R2358" s="224"/>
      <c r="S2358" s="224"/>
      <c r="T2358" s="224"/>
      <c r="U2358" s="224"/>
      <c r="V2358" s="224"/>
    </row>
    <row r="2359" spans="1:22" x14ac:dyDescent="0.3">
      <c r="A2359" s="222"/>
      <c r="B2359" s="235"/>
      <c r="C2359" s="227"/>
      <c r="D2359" s="344"/>
      <c r="E2359" s="235"/>
      <c r="F2359" s="235"/>
      <c r="G2359" s="227"/>
      <c r="H2359" s="227"/>
      <c r="I2359" s="350"/>
      <c r="J2359" s="227"/>
      <c r="K2359" s="227"/>
      <c r="L2359" s="224"/>
      <c r="M2359" s="224"/>
      <c r="N2359" s="224"/>
      <c r="O2359" s="224"/>
      <c r="P2359" s="224"/>
      <c r="Q2359" s="224"/>
      <c r="R2359" s="224"/>
      <c r="S2359" s="224"/>
      <c r="T2359" s="224"/>
      <c r="U2359" s="224"/>
      <c r="V2359" s="224"/>
    </row>
    <row r="2360" spans="1:22" x14ac:dyDescent="0.3">
      <c r="A2360" s="222"/>
      <c r="B2360" s="235"/>
      <c r="C2360" s="227"/>
      <c r="D2360" s="344"/>
      <c r="E2360" s="235"/>
      <c r="F2360" s="235"/>
      <c r="G2360" s="227"/>
      <c r="H2360" s="227"/>
      <c r="I2360" s="350"/>
      <c r="J2360" s="227"/>
      <c r="K2360" s="227"/>
      <c r="L2360" s="224"/>
      <c r="M2360" s="224"/>
      <c r="N2360" s="224"/>
      <c r="O2360" s="224"/>
      <c r="P2360" s="224"/>
      <c r="Q2360" s="224"/>
      <c r="R2360" s="224"/>
      <c r="S2360" s="224"/>
      <c r="T2360" s="224"/>
      <c r="U2360" s="224"/>
      <c r="V2360" s="224"/>
    </row>
    <row r="2361" spans="1:22" x14ac:dyDescent="0.3">
      <c r="A2361" s="222"/>
      <c r="B2361" s="235"/>
      <c r="C2361" s="227"/>
      <c r="D2361" s="344"/>
      <c r="E2361" s="235"/>
      <c r="F2361" s="235"/>
      <c r="G2361" s="227"/>
      <c r="H2361" s="227"/>
      <c r="I2361" s="350"/>
      <c r="J2361" s="227"/>
      <c r="K2361" s="227"/>
      <c r="L2361" s="224"/>
      <c r="M2361" s="224"/>
      <c r="N2361" s="224"/>
      <c r="O2361" s="224"/>
      <c r="P2361" s="224"/>
      <c r="Q2361" s="224"/>
      <c r="R2361" s="224"/>
      <c r="S2361" s="224"/>
      <c r="T2361" s="224"/>
      <c r="U2361" s="224"/>
      <c r="V2361" s="224"/>
    </row>
    <row r="2362" spans="1:22" x14ac:dyDescent="0.3">
      <c r="A2362" s="222"/>
      <c r="B2362" s="235"/>
      <c r="C2362" s="227"/>
      <c r="D2362" s="344"/>
      <c r="E2362" s="235"/>
      <c r="F2362" s="235"/>
      <c r="G2362" s="227"/>
      <c r="H2362" s="227"/>
      <c r="I2362" s="350"/>
      <c r="J2362" s="227"/>
      <c r="K2362" s="227"/>
      <c r="L2362" s="224"/>
      <c r="M2362" s="224"/>
      <c r="N2362" s="224"/>
      <c r="O2362" s="224"/>
      <c r="P2362" s="224"/>
      <c r="Q2362" s="224"/>
      <c r="R2362" s="224"/>
      <c r="S2362" s="224"/>
      <c r="T2362" s="224"/>
      <c r="U2362" s="224"/>
      <c r="V2362" s="224"/>
    </row>
    <row r="2363" spans="1:22" x14ac:dyDescent="0.3">
      <c r="A2363" s="222"/>
      <c r="B2363" s="235"/>
      <c r="C2363" s="227"/>
      <c r="D2363" s="344"/>
      <c r="E2363" s="235"/>
      <c r="F2363" s="235"/>
      <c r="G2363" s="227"/>
      <c r="H2363" s="227"/>
      <c r="I2363" s="350"/>
      <c r="J2363" s="227"/>
      <c r="K2363" s="227"/>
      <c r="L2363" s="224"/>
      <c r="M2363" s="224"/>
      <c r="N2363" s="224"/>
      <c r="O2363" s="224"/>
      <c r="P2363" s="224"/>
      <c r="Q2363" s="224"/>
      <c r="R2363" s="224"/>
      <c r="S2363" s="224"/>
      <c r="T2363" s="224"/>
      <c r="U2363" s="224"/>
      <c r="V2363" s="224"/>
    </row>
    <row r="2364" spans="1:22" x14ac:dyDescent="0.3">
      <c r="A2364" s="222"/>
      <c r="B2364" s="235"/>
      <c r="C2364" s="227"/>
      <c r="D2364" s="344"/>
      <c r="E2364" s="235"/>
      <c r="F2364" s="235"/>
      <c r="G2364" s="227"/>
      <c r="H2364" s="227"/>
      <c r="I2364" s="350"/>
      <c r="J2364" s="227"/>
      <c r="K2364" s="227"/>
      <c r="L2364" s="224"/>
      <c r="M2364" s="224"/>
      <c r="N2364" s="224"/>
      <c r="O2364" s="224"/>
      <c r="P2364" s="224"/>
      <c r="Q2364" s="224"/>
      <c r="R2364" s="224"/>
      <c r="S2364" s="224"/>
      <c r="T2364" s="224"/>
      <c r="U2364" s="224"/>
      <c r="V2364" s="224"/>
    </row>
    <row r="2365" spans="1:22" x14ac:dyDescent="0.3">
      <c r="A2365" s="222"/>
      <c r="B2365" s="235"/>
      <c r="C2365" s="227"/>
      <c r="D2365" s="344"/>
      <c r="E2365" s="235"/>
      <c r="F2365" s="235"/>
      <c r="G2365" s="227"/>
      <c r="H2365" s="227"/>
      <c r="I2365" s="350"/>
      <c r="J2365" s="227"/>
      <c r="K2365" s="227"/>
      <c r="L2365" s="224"/>
      <c r="M2365" s="224"/>
      <c r="N2365" s="224"/>
      <c r="O2365" s="224"/>
      <c r="P2365" s="224"/>
      <c r="Q2365" s="224"/>
      <c r="R2365" s="224"/>
      <c r="S2365" s="224"/>
      <c r="T2365" s="224"/>
      <c r="U2365" s="224"/>
      <c r="V2365" s="224"/>
    </row>
    <row r="2366" spans="1:22" x14ac:dyDescent="0.3">
      <c r="A2366" s="222"/>
      <c r="B2366" s="235"/>
      <c r="C2366" s="227"/>
      <c r="D2366" s="344"/>
      <c r="E2366" s="235"/>
      <c r="F2366" s="235"/>
      <c r="G2366" s="227"/>
      <c r="H2366" s="227"/>
      <c r="I2366" s="350"/>
      <c r="J2366" s="227"/>
      <c r="K2366" s="227"/>
      <c r="L2366" s="224"/>
      <c r="M2366" s="224"/>
      <c r="N2366" s="224"/>
      <c r="O2366" s="224"/>
      <c r="P2366" s="224"/>
      <c r="Q2366" s="224"/>
      <c r="R2366" s="224"/>
      <c r="S2366" s="224"/>
      <c r="T2366" s="224"/>
      <c r="U2366" s="224"/>
      <c r="V2366" s="224"/>
    </row>
    <row r="2367" spans="1:22" x14ac:dyDescent="0.3">
      <c r="A2367" s="222"/>
      <c r="B2367" s="235"/>
      <c r="C2367" s="227"/>
      <c r="D2367" s="344"/>
      <c r="E2367" s="235"/>
      <c r="F2367" s="235"/>
      <c r="G2367" s="227"/>
      <c r="H2367" s="227"/>
      <c r="I2367" s="350"/>
      <c r="J2367" s="227"/>
      <c r="K2367" s="227"/>
      <c r="L2367" s="224"/>
      <c r="M2367" s="224"/>
      <c r="N2367" s="224"/>
      <c r="O2367" s="224"/>
      <c r="P2367" s="224"/>
      <c r="Q2367" s="224"/>
      <c r="R2367" s="224"/>
      <c r="S2367" s="224"/>
      <c r="T2367" s="224"/>
      <c r="U2367" s="224"/>
      <c r="V2367" s="224"/>
    </row>
    <row r="2368" spans="1:22" x14ac:dyDescent="0.3">
      <c r="A2368" s="222"/>
      <c r="B2368" s="235"/>
      <c r="C2368" s="227"/>
      <c r="D2368" s="344"/>
      <c r="E2368" s="235"/>
      <c r="F2368" s="235"/>
      <c r="G2368" s="227"/>
      <c r="H2368" s="227"/>
      <c r="I2368" s="350"/>
      <c r="J2368" s="227"/>
      <c r="K2368" s="227"/>
      <c r="L2368" s="224"/>
      <c r="M2368" s="224"/>
      <c r="N2368" s="224"/>
      <c r="O2368" s="224"/>
      <c r="P2368" s="224"/>
      <c r="Q2368" s="224"/>
      <c r="R2368" s="224"/>
      <c r="S2368" s="224"/>
      <c r="T2368" s="224"/>
      <c r="U2368" s="224"/>
      <c r="V2368" s="224"/>
    </row>
    <row r="2369" spans="1:22" x14ac:dyDescent="0.3">
      <c r="A2369" s="222"/>
      <c r="B2369" s="235"/>
      <c r="C2369" s="227"/>
      <c r="D2369" s="344"/>
      <c r="E2369" s="235"/>
      <c r="F2369" s="235"/>
      <c r="G2369" s="227"/>
      <c r="H2369" s="227"/>
      <c r="I2369" s="350"/>
      <c r="J2369" s="227"/>
      <c r="K2369" s="227"/>
      <c r="L2369" s="224"/>
      <c r="M2369" s="224"/>
      <c r="N2369" s="224"/>
      <c r="O2369" s="224"/>
      <c r="P2369" s="224"/>
      <c r="Q2369" s="224"/>
      <c r="R2369" s="224"/>
      <c r="S2369" s="224"/>
      <c r="T2369" s="224"/>
      <c r="U2369" s="224"/>
      <c r="V2369" s="224"/>
    </row>
    <row r="2370" spans="1:22" x14ac:dyDescent="0.3">
      <c r="A2370" s="222"/>
      <c r="B2370" s="235"/>
      <c r="C2370" s="227"/>
      <c r="D2370" s="344"/>
      <c r="E2370" s="235"/>
      <c r="F2370" s="235"/>
      <c r="G2370" s="227"/>
      <c r="H2370" s="227"/>
      <c r="I2370" s="350"/>
      <c r="J2370" s="227"/>
      <c r="K2370" s="227"/>
      <c r="L2370" s="224"/>
      <c r="M2370" s="224"/>
      <c r="N2370" s="224"/>
      <c r="O2370" s="224"/>
      <c r="P2370" s="224"/>
      <c r="Q2370" s="224"/>
      <c r="R2370" s="224"/>
      <c r="S2370" s="224"/>
      <c r="T2370" s="224"/>
      <c r="U2370" s="224"/>
      <c r="V2370" s="224"/>
    </row>
    <row r="2371" spans="1:22" x14ac:dyDescent="0.3">
      <c r="A2371" s="222"/>
      <c r="B2371" s="235"/>
      <c r="C2371" s="227"/>
      <c r="D2371" s="344"/>
      <c r="E2371" s="235"/>
      <c r="F2371" s="235"/>
      <c r="G2371" s="227"/>
      <c r="H2371" s="227"/>
      <c r="I2371" s="350"/>
      <c r="J2371" s="227"/>
      <c r="K2371" s="227"/>
      <c r="L2371" s="224"/>
      <c r="M2371" s="224"/>
      <c r="N2371" s="224"/>
      <c r="O2371" s="224"/>
      <c r="P2371" s="224"/>
      <c r="Q2371" s="224"/>
      <c r="R2371" s="224"/>
      <c r="S2371" s="224"/>
      <c r="T2371" s="224"/>
      <c r="U2371" s="224"/>
      <c r="V2371" s="224"/>
    </row>
    <row r="2372" spans="1:22" x14ac:dyDescent="0.3">
      <c r="A2372" s="222"/>
      <c r="B2372" s="235"/>
      <c r="C2372" s="227"/>
      <c r="D2372" s="344"/>
      <c r="E2372" s="235"/>
      <c r="F2372" s="235"/>
      <c r="G2372" s="227"/>
      <c r="H2372" s="227"/>
      <c r="I2372" s="350"/>
      <c r="J2372" s="227"/>
      <c r="K2372" s="227"/>
      <c r="L2372" s="224"/>
      <c r="M2372" s="224"/>
      <c r="N2372" s="224"/>
      <c r="O2372" s="224"/>
      <c r="P2372" s="224"/>
      <c r="Q2372" s="224"/>
      <c r="R2372" s="224"/>
      <c r="S2372" s="224"/>
      <c r="T2372" s="224"/>
      <c r="U2372" s="224"/>
      <c r="V2372" s="224"/>
    </row>
    <row r="2373" spans="1:22" x14ac:dyDescent="0.3">
      <c r="A2373" s="222"/>
      <c r="B2373" s="235"/>
      <c r="C2373" s="227"/>
      <c r="D2373" s="344"/>
      <c r="E2373" s="235"/>
      <c r="F2373" s="235"/>
      <c r="G2373" s="227"/>
      <c r="H2373" s="227"/>
      <c r="I2373" s="350"/>
      <c r="J2373" s="227"/>
      <c r="K2373" s="227"/>
      <c r="L2373" s="224"/>
      <c r="M2373" s="224"/>
      <c r="N2373" s="224"/>
      <c r="O2373" s="224"/>
      <c r="P2373" s="224"/>
      <c r="Q2373" s="224"/>
      <c r="R2373" s="224"/>
      <c r="S2373" s="224"/>
      <c r="T2373" s="224"/>
      <c r="U2373" s="224"/>
      <c r="V2373" s="224"/>
    </row>
    <row r="2374" spans="1:22" x14ac:dyDescent="0.3">
      <c r="A2374" s="222"/>
      <c r="B2374" s="235"/>
      <c r="C2374" s="227"/>
      <c r="D2374" s="344"/>
      <c r="E2374" s="235"/>
      <c r="F2374" s="235"/>
      <c r="G2374" s="227"/>
      <c r="H2374" s="227"/>
      <c r="I2374" s="350"/>
      <c r="J2374" s="227"/>
      <c r="K2374" s="227"/>
      <c r="L2374" s="224"/>
      <c r="M2374" s="224"/>
      <c r="N2374" s="224"/>
      <c r="O2374" s="224"/>
      <c r="P2374" s="224"/>
      <c r="Q2374" s="224"/>
      <c r="R2374" s="224"/>
      <c r="S2374" s="224"/>
      <c r="T2374" s="224"/>
      <c r="U2374" s="224"/>
      <c r="V2374" s="224"/>
    </row>
    <row r="2375" spans="1:22" x14ac:dyDescent="0.3">
      <c r="A2375" s="222"/>
      <c r="B2375" s="235"/>
      <c r="C2375" s="227"/>
      <c r="D2375" s="344"/>
      <c r="E2375" s="235"/>
      <c r="F2375" s="235"/>
      <c r="G2375" s="227"/>
      <c r="H2375" s="227"/>
      <c r="I2375" s="350"/>
      <c r="J2375" s="227"/>
      <c r="K2375" s="227"/>
      <c r="L2375" s="224"/>
      <c r="M2375" s="224"/>
      <c r="N2375" s="224"/>
      <c r="O2375" s="224"/>
      <c r="P2375" s="224"/>
      <c r="Q2375" s="224"/>
      <c r="R2375" s="224"/>
      <c r="S2375" s="224"/>
      <c r="T2375" s="224"/>
      <c r="U2375" s="224"/>
      <c r="V2375" s="224"/>
    </row>
    <row r="2376" spans="1:22" x14ac:dyDescent="0.3">
      <c r="A2376" s="222"/>
      <c r="B2376" s="235"/>
      <c r="C2376" s="227"/>
      <c r="D2376" s="344"/>
      <c r="E2376" s="235"/>
      <c r="F2376" s="235"/>
      <c r="G2376" s="227"/>
      <c r="H2376" s="227"/>
      <c r="I2376" s="350"/>
      <c r="J2376" s="227"/>
      <c r="K2376" s="227"/>
      <c r="L2376" s="224"/>
      <c r="M2376" s="224"/>
      <c r="N2376" s="224"/>
      <c r="O2376" s="224"/>
      <c r="P2376" s="224"/>
      <c r="Q2376" s="224"/>
      <c r="R2376" s="224"/>
      <c r="S2376" s="224"/>
      <c r="T2376" s="224"/>
      <c r="U2376" s="224"/>
      <c r="V2376" s="224"/>
    </row>
    <row r="2377" spans="1:22" x14ac:dyDescent="0.3">
      <c r="A2377" s="222"/>
      <c r="B2377" s="235"/>
      <c r="C2377" s="227"/>
      <c r="D2377" s="344"/>
      <c r="E2377" s="235"/>
      <c r="F2377" s="235"/>
      <c r="G2377" s="227"/>
      <c r="H2377" s="227"/>
      <c r="I2377" s="350"/>
      <c r="J2377" s="227"/>
      <c r="K2377" s="227"/>
      <c r="L2377" s="224"/>
      <c r="M2377" s="224"/>
      <c r="N2377" s="224"/>
      <c r="O2377" s="224"/>
      <c r="P2377" s="224"/>
      <c r="Q2377" s="224"/>
      <c r="R2377" s="224"/>
      <c r="S2377" s="224"/>
      <c r="T2377" s="224"/>
      <c r="U2377" s="224"/>
      <c r="V2377" s="224"/>
    </row>
    <row r="2378" spans="1:22" x14ac:dyDescent="0.3">
      <c r="A2378" s="222"/>
      <c r="B2378" s="235"/>
      <c r="C2378" s="227"/>
      <c r="D2378" s="344"/>
      <c r="E2378" s="235"/>
      <c r="F2378" s="235"/>
      <c r="G2378" s="227"/>
      <c r="H2378" s="227"/>
      <c r="I2378" s="350"/>
      <c r="J2378" s="227"/>
      <c r="K2378" s="227"/>
      <c r="L2378" s="224"/>
      <c r="M2378" s="224"/>
      <c r="N2378" s="224"/>
      <c r="O2378" s="224"/>
      <c r="P2378" s="224"/>
      <c r="Q2378" s="224"/>
      <c r="R2378" s="224"/>
      <c r="S2378" s="224"/>
      <c r="T2378" s="224"/>
      <c r="U2378" s="224"/>
      <c r="V2378" s="224"/>
    </row>
    <row r="2379" spans="1:22" x14ac:dyDescent="0.3">
      <c r="A2379" s="222"/>
      <c r="B2379" s="235"/>
      <c r="C2379" s="227"/>
      <c r="D2379" s="344"/>
      <c r="E2379" s="235"/>
      <c r="F2379" s="235"/>
      <c r="G2379" s="227"/>
      <c r="H2379" s="227"/>
      <c r="I2379" s="350"/>
      <c r="J2379" s="227"/>
      <c r="K2379" s="227"/>
      <c r="L2379" s="224"/>
      <c r="M2379" s="224"/>
      <c r="N2379" s="224"/>
      <c r="O2379" s="224"/>
      <c r="P2379" s="224"/>
      <c r="Q2379" s="224"/>
      <c r="R2379" s="224"/>
      <c r="S2379" s="224"/>
      <c r="T2379" s="224"/>
      <c r="U2379" s="224"/>
      <c r="V2379" s="224"/>
    </row>
    <row r="2380" spans="1:22" x14ac:dyDescent="0.3">
      <c r="A2380" s="222"/>
      <c r="B2380" s="235"/>
      <c r="C2380" s="227"/>
      <c r="D2380" s="344"/>
      <c r="E2380" s="235"/>
      <c r="F2380" s="235"/>
      <c r="G2380" s="227"/>
      <c r="H2380" s="227"/>
      <c r="I2380" s="350"/>
      <c r="J2380" s="227"/>
      <c r="K2380" s="227"/>
      <c r="L2380" s="224"/>
      <c r="M2380" s="224"/>
      <c r="N2380" s="224"/>
      <c r="O2380" s="224"/>
      <c r="P2380" s="224"/>
      <c r="Q2380" s="224"/>
      <c r="R2380" s="224"/>
      <c r="S2380" s="224"/>
      <c r="T2380" s="224"/>
      <c r="U2380" s="224"/>
      <c r="V2380" s="224"/>
    </row>
    <row r="2381" spans="1:22" x14ac:dyDescent="0.3">
      <c r="A2381" s="222"/>
      <c r="B2381" s="235"/>
      <c r="C2381" s="227"/>
      <c r="D2381" s="344"/>
      <c r="E2381" s="235"/>
      <c r="F2381" s="235"/>
      <c r="G2381" s="227"/>
      <c r="H2381" s="227"/>
      <c r="I2381" s="350"/>
      <c r="J2381" s="227"/>
      <c r="K2381" s="227"/>
      <c r="L2381" s="224"/>
      <c r="M2381" s="224"/>
      <c r="N2381" s="224"/>
      <c r="O2381" s="224"/>
      <c r="P2381" s="224"/>
      <c r="Q2381" s="224"/>
      <c r="R2381" s="224"/>
      <c r="S2381" s="224"/>
      <c r="T2381" s="224"/>
      <c r="U2381" s="224"/>
      <c r="V2381" s="224"/>
    </row>
    <row r="2382" spans="1:22" x14ac:dyDescent="0.3">
      <c r="A2382" s="222"/>
      <c r="B2382" s="235"/>
      <c r="C2382" s="227"/>
      <c r="D2382" s="344"/>
      <c r="E2382" s="235"/>
      <c r="F2382" s="235"/>
      <c r="G2382" s="227"/>
      <c r="H2382" s="227"/>
      <c r="I2382" s="350"/>
      <c r="J2382" s="227"/>
      <c r="K2382" s="227"/>
      <c r="L2382" s="224"/>
      <c r="M2382" s="224"/>
      <c r="N2382" s="224"/>
      <c r="O2382" s="224"/>
      <c r="P2382" s="224"/>
      <c r="Q2382" s="224"/>
      <c r="R2382" s="224"/>
      <c r="S2382" s="224"/>
      <c r="T2382" s="224"/>
      <c r="U2382" s="224"/>
      <c r="V2382" s="224"/>
    </row>
    <row r="2383" spans="1:22" x14ac:dyDescent="0.3">
      <c r="A2383" s="222"/>
      <c r="B2383" s="235"/>
      <c r="C2383" s="227"/>
      <c r="D2383" s="344"/>
      <c r="E2383" s="235"/>
      <c r="F2383" s="235"/>
      <c r="G2383" s="227"/>
      <c r="H2383" s="227"/>
      <c r="I2383" s="350"/>
      <c r="J2383" s="227"/>
      <c r="K2383" s="227"/>
      <c r="L2383" s="224"/>
      <c r="M2383" s="224"/>
      <c r="N2383" s="224"/>
      <c r="O2383" s="224"/>
      <c r="P2383" s="224"/>
      <c r="Q2383" s="224"/>
      <c r="R2383" s="224"/>
      <c r="S2383" s="224"/>
      <c r="T2383" s="224"/>
      <c r="U2383" s="224"/>
      <c r="V2383" s="224"/>
    </row>
    <row r="2384" spans="1:22" x14ac:dyDescent="0.3">
      <c r="A2384" s="222"/>
      <c r="B2384" s="235"/>
      <c r="C2384" s="227"/>
      <c r="D2384" s="344"/>
      <c r="E2384" s="235"/>
      <c r="F2384" s="235"/>
      <c r="G2384" s="227"/>
      <c r="H2384" s="227"/>
      <c r="I2384" s="350"/>
      <c r="J2384" s="227"/>
      <c r="K2384" s="227"/>
      <c r="L2384" s="224"/>
      <c r="M2384" s="224"/>
      <c r="N2384" s="224"/>
      <c r="O2384" s="224"/>
      <c r="P2384" s="224"/>
      <c r="Q2384" s="224"/>
      <c r="R2384" s="224"/>
      <c r="S2384" s="224"/>
      <c r="T2384" s="224"/>
      <c r="U2384" s="224"/>
      <c r="V2384" s="224"/>
    </row>
    <row r="2385" spans="1:22" x14ac:dyDescent="0.3">
      <c r="A2385" s="222"/>
      <c r="B2385" s="235"/>
      <c r="C2385" s="227"/>
      <c r="D2385" s="344"/>
      <c r="E2385" s="235"/>
      <c r="F2385" s="235"/>
      <c r="G2385" s="227"/>
      <c r="H2385" s="227"/>
      <c r="I2385" s="350"/>
      <c r="J2385" s="227"/>
      <c r="K2385" s="227"/>
      <c r="L2385" s="224"/>
      <c r="M2385" s="224"/>
      <c r="N2385" s="224"/>
      <c r="O2385" s="224"/>
      <c r="P2385" s="224"/>
      <c r="Q2385" s="224"/>
      <c r="R2385" s="224"/>
      <c r="S2385" s="224"/>
      <c r="T2385" s="224"/>
      <c r="U2385" s="224"/>
      <c r="V2385" s="224"/>
    </row>
    <row r="2386" spans="1:22" x14ac:dyDescent="0.3">
      <c r="A2386" s="222"/>
      <c r="B2386" s="235"/>
      <c r="C2386" s="227"/>
      <c r="D2386" s="344"/>
      <c r="E2386" s="235"/>
      <c r="F2386" s="235"/>
      <c r="G2386" s="227"/>
      <c r="H2386" s="227"/>
      <c r="I2386" s="350"/>
      <c r="J2386" s="227"/>
      <c r="K2386" s="227"/>
      <c r="L2386" s="224"/>
      <c r="M2386" s="224"/>
      <c r="N2386" s="224"/>
      <c r="O2386" s="224"/>
      <c r="P2386" s="224"/>
      <c r="Q2386" s="224"/>
      <c r="R2386" s="224"/>
      <c r="S2386" s="224"/>
      <c r="T2386" s="224"/>
      <c r="U2386" s="224"/>
      <c r="V2386" s="224"/>
    </row>
    <row r="2387" spans="1:22" x14ac:dyDescent="0.3">
      <c r="A2387" s="222"/>
      <c r="B2387" s="235"/>
      <c r="C2387" s="227"/>
      <c r="D2387" s="344"/>
      <c r="E2387" s="235"/>
      <c r="F2387" s="235"/>
      <c r="G2387" s="227"/>
      <c r="H2387" s="227"/>
      <c r="I2387" s="350"/>
      <c r="J2387" s="227"/>
      <c r="K2387" s="227"/>
      <c r="L2387" s="224"/>
      <c r="M2387" s="224"/>
      <c r="N2387" s="224"/>
      <c r="O2387" s="224"/>
      <c r="P2387" s="224"/>
      <c r="Q2387" s="224"/>
      <c r="R2387" s="224"/>
      <c r="S2387" s="224"/>
      <c r="T2387" s="224"/>
      <c r="U2387" s="224"/>
      <c r="V2387" s="224"/>
    </row>
    <row r="2388" spans="1:22" x14ac:dyDescent="0.3">
      <c r="A2388" s="222"/>
      <c r="B2388" s="235"/>
      <c r="C2388" s="227"/>
      <c r="D2388" s="344"/>
      <c r="E2388" s="235"/>
      <c r="F2388" s="235"/>
      <c r="G2388" s="227"/>
      <c r="H2388" s="227"/>
      <c r="I2388" s="350"/>
      <c r="J2388" s="227"/>
      <c r="K2388" s="227"/>
      <c r="L2388" s="224"/>
      <c r="M2388" s="224"/>
      <c r="N2388" s="224"/>
      <c r="O2388" s="224"/>
      <c r="P2388" s="224"/>
      <c r="Q2388" s="224"/>
      <c r="R2388" s="224"/>
      <c r="S2388" s="224"/>
      <c r="T2388" s="224"/>
      <c r="U2388" s="224"/>
      <c r="V2388" s="224"/>
    </row>
    <row r="2389" spans="1:22" x14ac:dyDescent="0.3">
      <c r="A2389" s="222"/>
      <c r="B2389" s="235"/>
      <c r="C2389" s="227"/>
      <c r="D2389" s="344"/>
      <c r="E2389" s="235"/>
      <c r="F2389" s="235"/>
      <c r="G2389" s="227"/>
      <c r="H2389" s="227"/>
      <c r="I2389" s="350"/>
      <c r="J2389" s="227"/>
      <c r="K2389" s="227"/>
      <c r="L2389" s="224"/>
      <c r="M2389" s="224"/>
      <c r="N2389" s="224"/>
      <c r="O2389" s="224"/>
      <c r="P2389" s="224"/>
      <c r="Q2389" s="224"/>
      <c r="R2389" s="224"/>
      <c r="S2389" s="224"/>
      <c r="T2389" s="224"/>
      <c r="U2389" s="224"/>
      <c r="V2389" s="224"/>
    </row>
    <row r="2390" spans="1:22" x14ac:dyDescent="0.3">
      <c r="A2390" s="222"/>
      <c r="B2390" s="235"/>
      <c r="C2390" s="227"/>
      <c r="D2390" s="344"/>
      <c r="E2390" s="235"/>
      <c r="F2390" s="235"/>
      <c r="G2390" s="227"/>
      <c r="H2390" s="227"/>
      <c r="I2390" s="350"/>
      <c r="J2390" s="227"/>
      <c r="K2390" s="227"/>
      <c r="L2390" s="224"/>
      <c r="M2390" s="224"/>
      <c r="N2390" s="224"/>
      <c r="O2390" s="224"/>
      <c r="P2390" s="224"/>
      <c r="Q2390" s="224"/>
      <c r="R2390" s="224"/>
      <c r="S2390" s="224"/>
      <c r="T2390" s="224"/>
      <c r="U2390" s="224"/>
      <c r="V2390" s="224"/>
    </row>
    <row r="2391" spans="1:22" x14ac:dyDescent="0.3">
      <c r="A2391" s="222"/>
      <c r="B2391" s="235"/>
      <c r="C2391" s="227"/>
      <c r="D2391" s="344"/>
      <c r="E2391" s="235"/>
      <c r="F2391" s="235"/>
      <c r="G2391" s="227"/>
      <c r="H2391" s="227"/>
      <c r="I2391" s="350"/>
      <c r="J2391" s="227"/>
      <c r="K2391" s="227"/>
      <c r="L2391" s="224"/>
      <c r="M2391" s="224"/>
      <c r="N2391" s="224"/>
      <c r="O2391" s="224"/>
      <c r="P2391" s="224"/>
      <c r="Q2391" s="224"/>
      <c r="R2391" s="224"/>
      <c r="S2391" s="224"/>
      <c r="T2391" s="224"/>
      <c r="U2391" s="224"/>
      <c r="V2391" s="224"/>
    </row>
    <row r="2392" spans="1:22" x14ac:dyDescent="0.3">
      <c r="A2392" s="222"/>
      <c r="B2392" s="235"/>
      <c r="C2392" s="227"/>
      <c r="D2392" s="344"/>
      <c r="E2392" s="235"/>
      <c r="F2392" s="235"/>
      <c r="G2392" s="227"/>
      <c r="H2392" s="227"/>
      <c r="I2392" s="350"/>
      <c r="J2392" s="227"/>
      <c r="K2392" s="227"/>
      <c r="L2392" s="224"/>
      <c r="M2392" s="224"/>
      <c r="N2392" s="224"/>
      <c r="O2392" s="224"/>
      <c r="P2392" s="224"/>
      <c r="Q2392" s="224"/>
      <c r="R2392" s="224"/>
      <c r="S2392" s="224"/>
      <c r="T2392" s="224"/>
      <c r="U2392" s="224"/>
      <c r="V2392" s="224"/>
    </row>
    <row r="2393" spans="1:22" x14ac:dyDescent="0.3">
      <c r="A2393" s="222"/>
      <c r="B2393" s="235"/>
      <c r="C2393" s="227"/>
      <c r="D2393" s="344"/>
      <c r="E2393" s="235"/>
      <c r="F2393" s="235"/>
      <c r="G2393" s="227"/>
      <c r="H2393" s="227"/>
      <c r="I2393" s="350"/>
      <c r="J2393" s="227"/>
      <c r="K2393" s="227"/>
      <c r="L2393" s="224"/>
      <c r="M2393" s="224"/>
      <c r="N2393" s="224"/>
      <c r="O2393" s="224"/>
      <c r="P2393" s="224"/>
      <c r="Q2393" s="224"/>
      <c r="R2393" s="224"/>
      <c r="S2393" s="224"/>
      <c r="T2393" s="224"/>
      <c r="U2393" s="224"/>
      <c r="V2393" s="224"/>
    </row>
    <row r="2394" spans="1:22" x14ac:dyDescent="0.3">
      <c r="A2394" s="222"/>
      <c r="B2394" s="235"/>
      <c r="C2394" s="227"/>
      <c r="D2394" s="344"/>
      <c r="E2394" s="235"/>
      <c r="F2394" s="235"/>
      <c r="G2394" s="227"/>
      <c r="H2394" s="227"/>
      <c r="I2394" s="350"/>
      <c r="J2394" s="227"/>
      <c r="K2394" s="227"/>
      <c r="L2394" s="224"/>
      <c r="M2394" s="224"/>
      <c r="N2394" s="224"/>
      <c r="O2394" s="224"/>
      <c r="P2394" s="224"/>
      <c r="Q2394" s="224"/>
      <c r="R2394" s="224"/>
      <c r="S2394" s="224"/>
      <c r="T2394" s="224"/>
      <c r="U2394" s="224"/>
      <c r="V2394" s="224"/>
    </row>
    <row r="2395" spans="1:22" x14ac:dyDescent="0.3">
      <c r="A2395" s="222"/>
      <c r="B2395" s="235"/>
      <c r="C2395" s="227"/>
      <c r="D2395" s="344"/>
      <c r="E2395" s="235"/>
      <c r="F2395" s="235"/>
      <c r="G2395" s="227"/>
      <c r="H2395" s="227"/>
      <c r="I2395" s="350"/>
      <c r="J2395" s="227"/>
      <c r="K2395" s="227"/>
      <c r="L2395" s="224"/>
      <c r="M2395" s="224"/>
      <c r="N2395" s="224"/>
      <c r="O2395" s="224"/>
      <c r="P2395" s="224"/>
      <c r="Q2395" s="224"/>
      <c r="R2395" s="224"/>
      <c r="S2395" s="224"/>
      <c r="T2395" s="224"/>
      <c r="U2395" s="224"/>
      <c r="V2395" s="224"/>
    </row>
    <row r="2396" spans="1:22" x14ac:dyDescent="0.3">
      <c r="A2396" s="222"/>
      <c r="B2396" s="235"/>
      <c r="C2396" s="227"/>
      <c r="D2396" s="344"/>
      <c r="E2396" s="235"/>
      <c r="F2396" s="235"/>
      <c r="G2396" s="227"/>
      <c r="H2396" s="227"/>
      <c r="I2396" s="350"/>
      <c r="J2396" s="227"/>
      <c r="K2396" s="227"/>
      <c r="L2396" s="224"/>
      <c r="M2396" s="224"/>
      <c r="N2396" s="224"/>
      <c r="O2396" s="224"/>
      <c r="P2396" s="224"/>
      <c r="Q2396" s="224"/>
      <c r="R2396" s="224"/>
      <c r="S2396" s="224"/>
      <c r="T2396" s="224"/>
      <c r="U2396" s="224"/>
      <c r="V2396" s="224"/>
    </row>
    <row r="2397" spans="1:22" x14ac:dyDescent="0.3">
      <c r="A2397" s="222"/>
      <c r="B2397" s="235"/>
      <c r="C2397" s="227"/>
      <c r="D2397" s="344"/>
      <c r="E2397" s="235"/>
      <c r="F2397" s="235"/>
      <c r="G2397" s="227"/>
      <c r="H2397" s="227"/>
      <c r="I2397" s="350"/>
      <c r="J2397" s="227"/>
      <c r="K2397" s="227"/>
      <c r="L2397" s="224"/>
      <c r="M2397" s="224"/>
      <c r="N2397" s="224"/>
      <c r="O2397" s="224"/>
      <c r="P2397" s="224"/>
      <c r="Q2397" s="224"/>
      <c r="R2397" s="224"/>
      <c r="S2397" s="224"/>
      <c r="T2397" s="224"/>
      <c r="U2397" s="224"/>
      <c r="V2397" s="224"/>
    </row>
    <row r="2398" spans="1:22" x14ac:dyDescent="0.3">
      <c r="A2398" s="222"/>
      <c r="B2398" s="235"/>
      <c r="C2398" s="227"/>
      <c r="D2398" s="344"/>
      <c r="E2398" s="235"/>
      <c r="F2398" s="235"/>
      <c r="G2398" s="227"/>
      <c r="H2398" s="227"/>
      <c r="I2398" s="350"/>
      <c r="J2398" s="227"/>
      <c r="K2398" s="227"/>
      <c r="L2398" s="224"/>
      <c r="M2398" s="224"/>
      <c r="N2398" s="224"/>
      <c r="O2398" s="224"/>
      <c r="P2398" s="224"/>
      <c r="Q2398" s="224"/>
      <c r="R2398" s="224"/>
      <c r="S2398" s="224"/>
      <c r="T2398" s="224"/>
      <c r="U2398" s="224"/>
      <c r="V2398" s="224"/>
    </row>
    <row r="2399" spans="1:22" x14ac:dyDescent="0.3">
      <c r="A2399" s="222"/>
      <c r="B2399" s="235"/>
      <c r="C2399" s="227"/>
      <c r="D2399" s="344"/>
      <c r="E2399" s="235"/>
      <c r="F2399" s="235"/>
      <c r="G2399" s="227"/>
      <c r="H2399" s="227"/>
      <c r="I2399" s="350"/>
      <c r="J2399" s="227"/>
      <c r="K2399" s="227"/>
      <c r="L2399" s="224"/>
      <c r="M2399" s="224"/>
      <c r="N2399" s="224"/>
      <c r="O2399" s="224"/>
      <c r="P2399" s="224"/>
      <c r="Q2399" s="224"/>
      <c r="R2399" s="224"/>
      <c r="S2399" s="224"/>
      <c r="T2399" s="224"/>
      <c r="U2399" s="224"/>
      <c r="V2399" s="224"/>
    </row>
    <row r="2400" spans="1:22" x14ac:dyDescent="0.3">
      <c r="A2400" s="222"/>
      <c r="B2400" s="235"/>
      <c r="C2400" s="227"/>
      <c r="D2400" s="344"/>
      <c r="E2400" s="235"/>
      <c r="F2400" s="235"/>
      <c r="G2400" s="227"/>
      <c r="H2400" s="227"/>
      <c r="I2400" s="350"/>
      <c r="J2400" s="227"/>
      <c r="K2400" s="227"/>
      <c r="L2400" s="224"/>
      <c r="M2400" s="224"/>
      <c r="N2400" s="224"/>
      <c r="O2400" s="224"/>
      <c r="P2400" s="224"/>
      <c r="Q2400" s="224"/>
      <c r="R2400" s="224"/>
      <c r="S2400" s="224"/>
      <c r="T2400" s="224"/>
      <c r="U2400" s="224"/>
      <c r="V2400" s="224"/>
    </row>
    <row r="2401" spans="1:22" x14ac:dyDescent="0.3">
      <c r="A2401" s="222"/>
      <c r="B2401" s="235"/>
      <c r="C2401" s="227"/>
      <c r="D2401" s="344"/>
      <c r="E2401" s="235"/>
      <c r="F2401" s="235"/>
      <c r="G2401" s="227"/>
      <c r="H2401" s="227"/>
      <c r="I2401" s="350"/>
      <c r="J2401" s="227"/>
      <c r="K2401" s="227"/>
      <c r="L2401" s="224"/>
      <c r="M2401" s="224"/>
      <c r="N2401" s="224"/>
      <c r="O2401" s="224"/>
      <c r="P2401" s="224"/>
      <c r="Q2401" s="224"/>
      <c r="R2401" s="224"/>
      <c r="S2401" s="224"/>
      <c r="T2401" s="224"/>
      <c r="U2401" s="224"/>
      <c r="V2401" s="224"/>
    </row>
    <row r="2402" spans="1:22" x14ac:dyDescent="0.3">
      <c r="A2402" s="222"/>
      <c r="B2402" s="235"/>
      <c r="C2402" s="227"/>
      <c r="D2402" s="344"/>
      <c r="E2402" s="235"/>
      <c r="F2402" s="235"/>
      <c r="G2402" s="227"/>
      <c r="H2402" s="227"/>
      <c r="I2402" s="350"/>
      <c r="J2402" s="227"/>
      <c r="K2402" s="227"/>
      <c r="L2402" s="224"/>
      <c r="M2402" s="224"/>
      <c r="N2402" s="224"/>
      <c r="O2402" s="224"/>
      <c r="P2402" s="224"/>
      <c r="Q2402" s="224"/>
      <c r="R2402" s="224"/>
      <c r="S2402" s="224"/>
      <c r="T2402" s="224"/>
      <c r="U2402" s="224"/>
      <c r="V2402" s="224"/>
    </row>
    <row r="2403" spans="1:22" x14ac:dyDescent="0.3">
      <c r="A2403" s="222"/>
      <c r="B2403" s="235"/>
      <c r="C2403" s="227"/>
      <c r="D2403" s="344"/>
      <c r="E2403" s="235"/>
      <c r="F2403" s="235"/>
      <c r="G2403" s="227"/>
      <c r="H2403" s="227"/>
      <c r="I2403" s="350"/>
      <c r="J2403" s="227"/>
      <c r="K2403" s="227"/>
      <c r="L2403" s="224"/>
      <c r="M2403" s="224"/>
      <c r="N2403" s="224"/>
      <c r="O2403" s="224"/>
      <c r="P2403" s="224"/>
      <c r="Q2403" s="224"/>
      <c r="R2403" s="224"/>
      <c r="S2403" s="224"/>
      <c r="T2403" s="224"/>
      <c r="U2403" s="224"/>
      <c r="V2403" s="224"/>
    </row>
    <row r="2404" spans="1:22" x14ac:dyDescent="0.3">
      <c r="A2404" s="222"/>
      <c r="B2404" s="235"/>
      <c r="C2404" s="227"/>
      <c r="D2404" s="344"/>
      <c r="E2404" s="235"/>
      <c r="F2404" s="235"/>
      <c r="G2404" s="227"/>
      <c r="H2404" s="227"/>
      <c r="I2404" s="350"/>
      <c r="J2404" s="227"/>
      <c r="K2404" s="227"/>
      <c r="L2404" s="224"/>
      <c r="M2404" s="224"/>
      <c r="N2404" s="224"/>
      <c r="O2404" s="224"/>
      <c r="P2404" s="224"/>
      <c r="Q2404" s="224"/>
      <c r="R2404" s="224"/>
      <c r="S2404" s="224"/>
      <c r="T2404" s="224"/>
      <c r="U2404" s="224"/>
      <c r="V2404" s="224"/>
    </row>
    <row r="2405" spans="1:22" x14ac:dyDescent="0.3">
      <c r="A2405" s="222"/>
      <c r="B2405" s="235"/>
      <c r="C2405" s="227"/>
      <c r="D2405" s="344"/>
      <c r="E2405" s="235"/>
      <c r="F2405" s="235"/>
      <c r="G2405" s="227"/>
      <c r="H2405" s="227"/>
      <c r="I2405" s="350"/>
      <c r="J2405" s="227"/>
      <c r="K2405" s="227"/>
      <c r="L2405" s="224"/>
      <c r="M2405" s="224"/>
      <c r="N2405" s="224"/>
      <c r="O2405" s="224"/>
      <c r="P2405" s="224"/>
      <c r="Q2405" s="224"/>
      <c r="R2405" s="224"/>
      <c r="S2405" s="224"/>
      <c r="T2405" s="224"/>
      <c r="U2405" s="224"/>
      <c r="V2405" s="224"/>
    </row>
    <row r="2406" spans="1:22" x14ac:dyDescent="0.3">
      <c r="A2406" s="222"/>
      <c r="B2406" s="235"/>
      <c r="C2406" s="227"/>
      <c r="D2406" s="344"/>
      <c r="E2406" s="235"/>
      <c r="F2406" s="235"/>
      <c r="G2406" s="227"/>
      <c r="H2406" s="227"/>
      <c r="I2406" s="350"/>
      <c r="J2406" s="227"/>
      <c r="K2406" s="227"/>
      <c r="L2406" s="224"/>
      <c r="M2406" s="224"/>
      <c r="N2406" s="224"/>
      <c r="O2406" s="224"/>
      <c r="P2406" s="224"/>
      <c r="Q2406" s="224"/>
      <c r="R2406" s="224"/>
      <c r="S2406" s="224"/>
      <c r="T2406" s="224"/>
      <c r="U2406" s="224"/>
      <c r="V2406" s="224"/>
    </row>
    <row r="2407" spans="1:22" x14ac:dyDescent="0.3">
      <c r="A2407" s="222"/>
      <c r="B2407" s="235"/>
      <c r="C2407" s="227"/>
      <c r="D2407" s="344"/>
      <c r="E2407" s="235"/>
      <c r="F2407" s="235"/>
      <c r="G2407" s="227"/>
      <c r="H2407" s="227"/>
      <c r="I2407" s="350"/>
      <c r="J2407" s="227"/>
      <c r="K2407" s="227"/>
      <c r="L2407" s="224"/>
      <c r="M2407" s="224"/>
      <c r="N2407" s="224"/>
      <c r="O2407" s="224"/>
      <c r="P2407" s="224"/>
      <c r="Q2407" s="224"/>
      <c r="R2407" s="224"/>
      <c r="S2407" s="224"/>
      <c r="T2407" s="224"/>
      <c r="U2407" s="224"/>
      <c r="V2407" s="224"/>
    </row>
    <row r="2408" spans="1:22" x14ac:dyDescent="0.3">
      <c r="A2408" s="222"/>
      <c r="B2408" s="235"/>
      <c r="C2408" s="227"/>
      <c r="D2408" s="344"/>
      <c r="E2408" s="235"/>
      <c r="F2408" s="235"/>
      <c r="G2408" s="227"/>
      <c r="H2408" s="227"/>
      <c r="I2408" s="350"/>
      <c r="J2408" s="227"/>
      <c r="K2408" s="227"/>
      <c r="L2408" s="224"/>
      <c r="M2408" s="224"/>
      <c r="N2408" s="224"/>
      <c r="O2408" s="224"/>
      <c r="P2408" s="224"/>
      <c r="Q2408" s="224"/>
      <c r="R2408" s="224"/>
      <c r="S2408" s="224"/>
      <c r="T2408" s="224"/>
      <c r="U2408" s="224"/>
      <c r="V2408" s="224"/>
    </row>
    <row r="2409" spans="1:22" x14ac:dyDescent="0.3">
      <c r="A2409" s="222"/>
      <c r="B2409" s="235"/>
      <c r="C2409" s="227"/>
      <c r="D2409" s="344"/>
      <c r="E2409" s="235"/>
      <c r="F2409" s="235"/>
      <c r="G2409" s="227"/>
      <c r="H2409" s="227"/>
      <c r="I2409" s="350"/>
      <c r="J2409" s="227"/>
      <c r="K2409" s="227"/>
      <c r="L2409" s="224"/>
      <c r="M2409" s="224"/>
      <c r="N2409" s="224"/>
      <c r="O2409" s="224"/>
      <c r="P2409" s="224"/>
      <c r="Q2409" s="224"/>
      <c r="R2409" s="224"/>
      <c r="S2409" s="224"/>
      <c r="T2409" s="224"/>
      <c r="U2409" s="224"/>
      <c r="V2409" s="224"/>
    </row>
    <row r="2410" spans="1:22" x14ac:dyDescent="0.3">
      <c r="A2410" s="222"/>
      <c r="B2410" s="235"/>
      <c r="C2410" s="227"/>
      <c r="D2410" s="344"/>
      <c r="E2410" s="235"/>
      <c r="F2410" s="235"/>
      <c r="G2410" s="227"/>
      <c r="H2410" s="227"/>
      <c r="I2410" s="350"/>
      <c r="J2410" s="227"/>
      <c r="K2410" s="227"/>
      <c r="L2410" s="224"/>
      <c r="M2410" s="224"/>
      <c r="N2410" s="224"/>
      <c r="O2410" s="224"/>
      <c r="P2410" s="224"/>
      <c r="Q2410" s="224"/>
      <c r="R2410" s="224"/>
      <c r="S2410" s="224"/>
      <c r="T2410" s="224"/>
      <c r="U2410" s="224"/>
      <c r="V2410" s="224"/>
    </row>
    <row r="2411" spans="1:22" x14ac:dyDescent="0.3">
      <c r="A2411" s="222"/>
      <c r="B2411" s="235"/>
      <c r="C2411" s="227"/>
      <c r="D2411" s="344"/>
      <c r="E2411" s="235"/>
      <c r="F2411" s="235"/>
      <c r="G2411" s="227"/>
      <c r="H2411" s="227"/>
      <c r="I2411" s="350"/>
      <c r="J2411" s="227"/>
      <c r="K2411" s="227"/>
      <c r="L2411" s="224"/>
      <c r="M2411" s="224"/>
      <c r="N2411" s="224"/>
      <c r="O2411" s="224"/>
      <c r="P2411" s="224"/>
      <c r="Q2411" s="224"/>
      <c r="R2411" s="224"/>
      <c r="S2411" s="224"/>
      <c r="T2411" s="224"/>
      <c r="U2411" s="224"/>
      <c r="V2411" s="224"/>
    </row>
    <row r="2412" spans="1:22" x14ac:dyDescent="0.3">
      <c r="A2412" s="222"/>
      <c r="B2412" s="235"/>
      <c r="C2412" s="227"/>
      <c r="D2412" s="344"/>
      <c r="E2412" s="235"/>
      <c r="F2412" s="235"/>
      <c r="G2412" s="227"/>
      <c r="H2412" s="227"/>
      <c r="I2412" s="350"/>
      <c r="J2412" s="227"/>
      <c r="K2412" s="227"/>
      <c r="L2412" s="224"/>
      <c r="M2412" s="224"/>
      <c r="N2412" s="224"/>
      <c r="O2412" s="224"/>
      <c r="P2412" s="224"/>
      <c r="Q2412" s="224"/>
      <c r="R2412" s="224"/>
      <c r="S2412" s="224"/>
      <c r="T2412" s="224"/>
      <c r="U2412" s="224"/>
      <c r="V2412" s="224"/>
    </row>
    <row r="2413" spans="1:22" x14ac:dyDescent="0.3">
      <c r="A2413" s="222"/>
      <c r="B2413" s="235"/>
      <c r="C2413" s="227"/>
      <c r="D2413" s="344"/>
      <c r="E2413" s="235"/>
      <c r="F2413" s="235"/>
      <c r="G2413" s="227"/>
      <c r="H2413" s="227"/>
      <c r="I2413" s="350"/>
      <c r="J2413" s="227"/>
      <c r="K2413" s="227"/>
      <c r="L2413" s="224"/>
      <c r="M2413" s="224"/>
      <c r="N2413" s="224"/>
      <c r="O2413" s="224"/>
      <c r="P2413" s="224"/>
      <c r="Q2413" s="224"/>
      <c r="R2413" s="224"/>
      <c r="S2413" s="224"/>
      <c r="T2413" s="224"/>
      <c r="U2413" s="224"/>
      <c r="V2413" s="224"/>
    </row>
    <row r="2414" spans="1:22" x14ac:dyDescent="0.3">
      <c r="A2414" s="222"/>
      <c r="B2414" s="235"/>
      <c r="C2414" s="227"/>
      <c r="D2414" s="344"/>
      <c r="E2414" s="235"/>
      <c r="F2414" s="235"/>
      <c r="G2414" s="227"/>
      <c r="H2414" s="227"/>
      <c r="I2414" s="350"/>
      <c r="J2414" s="227"/>
      <c r="K2414" s="227"/>
      <c r="L2414" s="224"/>
      <c r="M2414" s="224"/>
      <c r="N2414" s="224"/>
      <c r="O2414" s="224"/>
      <c r="P2414" s="224"/>
      <c r="Q2414" s="224"/>
      <c r="R2414" s="224"/>
      <c r="S2414" s="224"/>
      <c r="T2414" s="224"/>
      <c r="U2414" s="224"/>
      <c r="V2414" s="224"/>
    </row>
    <row r="2415" spans="1:22" x14ac:dyDescent="0.3">
      <c r="A2415" s="222"/>
      <c r="B2415" s="235"/>
      <c r="C2415" s="227"/>
      <c r="D2415" s="344"/>
      <c r="E2415" s="235"/>
      <c r="F2415" s="235"/>
      <c r="G2415" s="227"/>
      <c r="H2415" s="227"/>
      <c r="I2415" s="350"/>
      <c r="J2415" s="227"/>
      <c r="K2415" s="227"/>
      <c r="L2415" s="224"/>
      <c r="M2415" s="224"/>
      <c r="N2415" s="224"/>
      <c r="O2415" s="224"/>
      <c r="P2415" s="224"/>
      <c r="Q2415" s="224"/>
      <c r="R2415" s="224"/>
      <c r="S2415" s="224"/>
      <c r="T2415" s="224"/>
      <c r="U2415" s="224"/>
      <c r="V2415" s="224"/>
    </row>
    <row r="2416" spans="1:22" x14ac:dyDescent="0.3">
      <c r="A2416" s="222"/>
      <c r="B2416" s="235"/>
      <c r="C2416" s="227"/>
      <c r="D2416" s="344"/>
      <c r="E2416" s="235"/>
      <c r="F2416" s="235"/>
      <c r="G2416" s="227"/>
      <c r="H2416" s="227"/>
      <c r="I2416" s="350"/>
      <c r="J2416" s="227"/>
      <c r="K2416" s="227"/>
      <c r="L2416" s="224"/>
      <c r="M2416" s="224"/>
      <c r="N2416" s="224"/>
      <c r="O2416" s="224"/>
      <c r="P2416" s="224"/>
      <c r="Q2416" s="224"/>
      <c r="R2416" s="224"/>
      <c r="S2416" s="224"/>
      <c r="T2416" s="224"/>
      <c r="U2416" s="224"/>
      <c r="V2416" s="224"/>
    </row>
    <row r="2417" spans="1:22" x14ac:dyDescent="0.3">
      <c r="A2417" s="222"/>
      <c r="B2417" s="235"/>
      <c r="C2417" s="227"/>
      <c r="D2417" s="344"/>
      <c r="E2417" s="235"/>
      <c r="F2417" s="235"/>
      <c r="G2417" s="227"/>
      <c r="H2417" s="227"/>
      <c r="I2417" s="350"/>
      <c r="J2417" s="227"/>
      <c r="K2417" s="227"/>
      <c r="L2417" s="224"/>
      <c r="M2417" s="224"/>
      <c r="N2417" s="224"/>
      <c r="O2417" s="224"/>
      <c r="P2417" s="224"/>
      <c r="Q2417" s="224"/>
      <c r="R2417" s="224"/>
      <c r="S2417" s="224"/>
      <c r="T2417" s="224"/>
      <c r="U2417" s="224"/>
      <c r="V2417" s="224"/>
    </row>
    <row r="2418" spans="1:22" x14ac:dyDescent="0.3">
      <c r="A2418" s="222"/>
      <c r="B2418" s="235"/>
      <c r="C2418" s="227"/>
      <c r="D2418" s="344"/>
      <c r="E2418" s="235"/>
      <c r="F2418" s="235"/>
      <c r="G2418" s="227"/>
      <c r="H2418" s="227"/>
      <c r="I2418" s="350"/>
      <c r="J2418" s="227"/>
      <c r="K2418" s="227"/>
      <c r="L2418" s="224"/>
      <c r="M2418" s="224"/>
      <c r="N2418" s="224"/>
      <c r="O2418" s="224"/>
      <c r="P2418" s="224"/>
      <c r="Q2418" s="224"/>
      <c r="R2418" s="224"/>
      <c r="S2418" s="224"/>
      <c r="T2418" s="224"/>
      <c r="U2418" s="224"/>
      <c r="V2418" s="224"/>
    </row>
    <row r="2419" spans="1:22" x14ac:dyDescent="0.3">
      <c r="A2419" s="222"/>
      <c r="B2419" s="235"/>
      <c r="C2419" s="227"/>
      <c r="D2419" s="344"/>
      <c r="E2419" s="235"/>
      <c r="F2419" s="235"/>
      <c r="G2419" s="227"/>
      <c r="H2419" s="227"/>
      <c r="I2419" s="350"/>
      <c r="J2419" s="227"/>
      <c r="K2419" s="227"/>
      <c r="L2419" s="224"/>
      <c r="M2419" s="224"/>
      <c r="N2419" s="224"/>
      <c r="O2419" s="224"/>
      <c r="P2419" s="224"/>
      <c r="Q2419" s="224"/>
      <c r="R2419" s="224"/>
      <c r="S2419" s="224"/>
      <c r="T2419" s="224"/>
      <c r="U2419" s="224"/>
      <c r="V2419" s="224"/>
    </row>
    <row r="2420" spans="1:22" x14ac:dyDescent="0.3">
      <c r="A2420" s="222"/>
      <c r="B2420" s="235"/>
      <c r="C2420" s="227"/>
      <c r="D2420" s="344"/>
      <c r="E2420" s="235"/>
      <c r="F2420" s="235"/>
      <c r="G2420" s="227"/>
      <c r="H2420" s="227"/>
      <c r="I2420" s="350"/>
      <c r="J2420" s="227"/>
      <c r="K2420" s="227"/>
      <c r="L2420" s="224"/>
      <c r="M2420" s="224"/>
      <c r="N2420" s="224"/>
      <c r="O2420" s="224"/>
      <c r="P2420" s="224"/>
      <c r="Q2420" s="224"/>
      <c r="R2420" s="224"/>
      <c r="S2420" s="224"/>
      <c r="T2420" s="224"/>
      <c r="U2420" s="224"/>
      <c r="V2420" s="224"/>
    </row>
    <row r="2421" spans="1:22" x14ac:dyDescent="0.3">
      <c r="A2421" s="222"/>
      <c r="B2421" s="235"/>
      <c r="C2421" s="227"/>
      <c r="D2421" s="344"/>
      <c r="E2421" s="235"/>
      <c r="F2421" s="235"/>
      <c r="G2421" s="227"/>
      <c r="H2421" s="227"/>
      <c r="I2421" s="350"/>
      <c r="J2421" s="227"/>
      <c r="K2421" s="227"/>
      <c r="L2421" s="224"/>
      <c r="M2421" s="224"/>
      <c r="N2421" s="224"/>
      <c r="O2421" s="224"/>
      <c r="P2421" s="224"/>
      <c r="Q2421" s="224"/>
      <c r="R2421" s="224"/>
      <c r="S2421" s="224"/>
      <c r="T2421" s="224"/>
      <c r="U2421" s="224"/>
      <c r="V2421" s="224"/>
    </row>
    <row r="2422" spans="1:22" x14ac:dyDescent="0.3">
      <c r="A2422" s="222"/>
      <c r="B2422" s="235"/>
      <c r="C2422" s="227"/>
      <c r="D2422" s="344"/>
      <c r="E2422" s="235"/>
      <c r="F2422" s="235"/>
      <c r="G2422" s="227"/>
      <c r="H2422" s="227"/>
      <c r="I2422" s="350"/>
      <c r="J2422" s="227"/>
      <c r="K2422" s="227"/>
      <c r="L2422" s="224"/>
      <c r="M2422" s="224"/>
      <c r="N2422" s="224"/>
      <c r="O2422" s="224"/>
      <c r="P2422" s="224"/>
      <c r="Q2422" s="224"/>
      <c r="R2422" s="224"/>
      <c r="S2422" s="224"/>
      <c r="T2422" s="224"/>
      <c r="U2422" s="224"/>
      <c r="V2422" s="224"/>
    </row>
    <row r="2423" spans="1:22" x14ac:dyDescent="0.3">
      <c r="A2423" s="222"/>
      <c r="B2423" s="235"/>
      <c r="C2423" s="227"/>
      <c r="D2423" s="344"/>
      <c r="E2423" s="235"/>
      <c r="F2423" s="235"/>
      <c r="G2423" s="227"/>
      <c r="H2423" s="227"/>
      <c r="I2423" s="350"/>
      <c r="J2423" s="227"/>
      <c r="K2423" s="227"/>
      <c r="L2423" s="224"/>
      <c r="M2423" s="224"/>
      <c r="N2423" s="224"/>
      <c r="O2423" s="224"/>
      <c r="P2423" s="224"/>
      <c r="Q2423" s="224"/>
      <c r="R2423" s="224"/>
      <c r="S2423" s="224"/>
      <c r="T2423" s="224"/>
      <c r="U2423" s="224"/>
      <c r="V2423" s="224"/>
    </row>
    <row r="2424" spans="1:22" x14ac:dyDescent="0.3">
      <c r="A2424" s="222"/>
      <c r="B2424" s="235"/>
      <c r="C2424" s="227"/>
      <c r="D2424" s="344"/>
      <c r="E2424" s="235"/>
      <c r="F2424" s="235"/>
      <c r="G2424" s="227"/>
      <c r="H2424" s="227"/>
      <c r="I2424" s="350"/>
      <c r="J2424" s="227"/>
      <c r="K2424" s="227"/>
      <c r="L2424" s="224"/>
      <c r="M2424" s="224"/>
      <c r="N2424" s="224"/>
      <c r="O2424" s="224"/>
      <c r="P2424" s="224"/>
      <c r="Q2424" s="224"/>
      <c r="R2424" s="224"/>
      <c r="S2424" s="224"/>
      <c r="T2424" s="224"/>
      <c r="U2424" s="224"/>
      <c r="V2424" s="224"/>
    </row>
    <row r="2425" spans="1:22" x14ac:dyDescent="0.3">
      <c r="A2425" s="222"/>
      <c r="B2425" s="235"/>
      <c r="C2425" s="227"/>
      <c r="D2425" s="344"/>
      <c r="E2425" s="235"/>
      <c r="F2425" s="235"/>
      <c r="G2425" s="227"/>
      <c r="H2425" s="227"/>
      <c r="I2425" s="350"/>
      <c r="J2425" s="227"/>
      <c r="K2425" s="227"/>
      <c r="L2425" s="224"/>
      <c r="M2425" s="224"/>
      <c r="N2425" s="224"/>
      <c r="O2425" s="224"/>
      <c r="P2425" s="224"/>
      <c r="Q2425" s="224"/>
      <c r="R2425" s="224"/>
      <c r="S2425" s="224"/>
      <c r="T2425" s="224"/>
      <c r="U2425" s="224"/>
      <c r="V2425" s="224"/>
    </row>
    <row r="2426" spans="1:22" x14ac:dyDescent="0.3">
      <c r="A2426" s="222"/>
      <c r="B2426" s="235"/>
      <c r="C2426" s="227"/>
      <c r="D2426" s="344"/>
      <c r="E2426" s="235"/>
      <c r="F2426" s="235"/>
      <c r="G2426" s="227"/>
      <c r="H2426" s="227"/>
      <c r="I2426" s="350"/>
      <c r="J2426" s="227"/>
      <c r="K2426" s="227"/>
      <c r="L2426" s="224"/>
      <c r="M2426" s="224"/>
      <c r="N2426" s="224"/>
      <c r="O2426" s="224"/>
      <c r="P2426" s="224"/>
      <c r="Q2426" s="224"/>
      <c r="R2426" s="224"/>
      <c r="S2426" s="224"/>
      <c r="T2426" s="224"/>
      <c r="U2426" s="224"/>
      <c r="V2426" s="224"/>
    </row>
    <row r="2427" spans="1:22" x14ac:dyDescent="0.3">
      <c r="A2427" s="222"/>
      <c r="B2427" s="235"/>
      <c r="C2427" s="227"/>
      <c r="D2427" s="344"/>
      <c r="E2427" s="235"/>
      <c r="F2427" s="235"/>
      <c r="G2427" s="227"/>
      <c r="H2427" s="227"/>
      <c r="I2427" s="350"/>
      <c r="J2427" s="227"/>
      <c r="K2427" s="227"/>
      <c r="L2427" s="224"/>
      <c r="M2427" s="224"/>
      <c r="N2427" s="224"/>
      <c r="O2427" s="224"/>
      <c r="P2427" s="224"/>
      <c r="Q2427" s="224"/>
      <c r="R2427" s="224"/>
      <c r="S2427" s="224"/>
      <c r="T2427" s="224"/>
      <c r="U2427" s="224"/>
      <c r="V2427" s="224"/>
    </row>
    <row r="2428" spans="1:22" x14ac:dyDescent="0.3">
      <c r="A2428" s="222"/>
      <c r="B2428" s="235"/>
      <c r="C2428" s="227"/>
      <c r="D2428" s="344"/>
      <c r="E2428" s="235"/>
      <c r="F2428" s="235"/>
      <c r="G2428" s="227"/>
      <c r="H2428" s="227"/>
      <c r="I2428" s="350"/>
      <c r="J2428" s="227"/>
      <c r="K2428" s="227"/>
      <c r="L2428" s="224"/>
      <c r="M2428" s="224"/>
      <c r="N2428" s="224"/>
      <c r="O2428" s="224"/>
      <c r="P2428" s="224"/>
      <c r="Q2428" s="224"/>
      <c r="R2428" s="224"/>
      <c r="S2428" s="224"/>
      <c r="T2428" s="224"/>
      <c r="U2428" s="224"/>
      <c r="V2428" s="224"/>
    </row>
    <row r="2429" spans="1:22" x14ac:dyDescent="0.3">
      <c r="A2429" s="222"/>
      <c r="B2429" s="235"/>
      <c r="C2429" s="227"/>
      <c r="D2429" s="344"/>
      <c r="E2429" s="235"/>
      <c r="F2429" s="235"/>
      <c r="G2429" s="227"/>
      <c r="H2429" s="227"/>
      <c r="I2429" s="350"/>
      <c r="J2429" s="227"/>
      <c r="K2429" s="227"/>
      <c r="L2429" s="224"/>
      <c r="M2429" s="224"/>
      <c r="N2429" s="224"/>
      <c r="O2429" s="224"/>
      <c r="P2429" s="224"/>
      <c r="Q2429" s="224"/>
      <c r="R2429" s="224"/>
      <c r="S2429" s="224"/>
      <c r="T2429" s="224"/>
      <c r="U2429" s="224"/>
      <c r="V2429" s="224"/>
    </row>
    <row r="2430" spans="1:22" x14ac:dyDescent="0.3">
      <c r="A2430" s="222"/>
      <c r="B2430" s="235"/>
      <c r="C2430" s="227"/>
      <c r="D2430" s="344"/>
      <c r="E2430" s="235"/>
      <c r="F2430" s="235"/>
      <c r="G2430" s="227"/>
      <c r="H2430" s="227"/>
      <c r="I2430" s="350"/>
      <c r="J2430" s="227"/>
      <c r="K2430" s="227"/>
      <c r="L2430" s="224"/>
      <c r="M2430" s="224"/>
      <c r="N2430" s="224"/>
      <c r="O2430" s="224"/>
      <c r="P2430" s="224"/>
      <c r="Q2430" s="224"/>
      <c r="R2430" s="224"/>
      <c r="S2430" s="224"/>
      <c r="T2430" s="224"/>
      <c r="U2430" s="224"/>
      <c r="V2430" s="224"/>
    </row>
    <row r="2431" spans="1:22" x14ac:dyDescent="0.3">
      <c r="A2431" s="222"/>
      <c r="B2431" s="235"/>
      <c r="C2431" s="227"/>
      <c r="D2431" s="344"/>
      <c r="E2431" s="235"/>
      <c r="F2431" s="235"/>
      <c r="G2431" s="227"/>
      <c r="H2431" s="227"/>
      <c r="I2431" s="350"/>
      <c r="J2431" s="227"/>
      <c r="K2431" s="227"/>
      <c r="L2431" s="224"/>
      <c r="M2431" s="224"/>
      <c r="N2431" s="224"/>
      <c r="O2431" s="224"/>
      <c r="P2431" s="224"/>
      <c r="Q2431" s="224"/>
      <c r="R2431" s="224"/>
      <c r="S2431" s="224"/>
      <c r="T2431" s="224"/>
      <c r="U2431" s="224"/>
      <c r="V2431" s="224"/>
    </row>
    <row r="2432" spans="1:22" x14ac:dyDescent="0.3">
      <c r="A2432" s="222"/>
      <c r="B2432" s="235"/>
      <c r="C2432" s="227"/>
      <c r="D2432" s="344"/>
      <c r="E2432" s="235"/>
      <c r="F2432" s="235"/>
      <c r="G2432" s="227"/>
      <c r="H2432" s="227"/>
      <c r="I2432" s="350"/>
      <c r="J2432" s="227"/>
      <c r="K2432" s="227"/>
      <c r="L2432" s="224"/>
      <c r="M2432" s="224"/>
      <c r="N2432" s="224"/>
      <c r="O2432" s="224"/>
      <c r="P2432" s="224"/>
      <c r="Q2432" s="224"/>
      <c r="R2432" s="224"/>
      <c r="S2432" s="224"/>
      <c r="T2432" s="224"/>
      <c r="U2432" s="224"/>
      <c r="V2432" s="224"/>
    </row>
    <row r="2433" spans="1:22" x14ac:dyDescent="0.3">
      <c r="A2433" s="222"/>
      <c r="B2433" s="235"/>
      <c r="C2433" s="227"/>
      <c r="D2433" s="344"/>
      <c r="E2433" s="235"/>
      <c r="F2433" s="235"/>
      <c r="G2433" s="227"/>
      <c r="H2433" s="227"/>
      <c r="I2433" s="350"/>
      <c r="J2433" s="227"/>
      <c r="K2433" s="227"/>
      <c r="L2433" s="224"/>
      <c r="M2433" s="224"/>
      <c r="N2433" s="224"/>
      <c r="O2433" s="224"/>
      <c r="P2433" s="224"/>
      <c r="Q2433" s="224"/>
      <c r="R2433" s="224"/>
      <c r="S2433" s="224"/>
      <c r="T2433" s="224"/>
      <c r="U2433" s="224"/>
      <c r="V2433" s="224"/>
    </row>
    <row r="2434" spans="1:22" x14ac:dyDescent="0.3">
      <c r="A2434" s="222"/>
      <c r="B2434" s="235"/>
      <c r="C2434" s="227"/>
      <c r="D2434" s="344"/>
      <c r="E2434" s="235"/>
      <c r="F2434" s="235"/>
      <c r="G2434" s="227"/>
      <c r="H2434" s="227"/>
      <c r="I2434" s="350"/>
      <c r="J2434" s="227"/>
      <c r="K2434" s="227"/>
      <c r="L2434" s="224"/>
      <c r="M2434" s="224"/>
      <c r="N2434" s="224"/>
      <c r="O2434" s="224"/>
      <c r="P2434" s="224"/>
      <c r="Q2434" s="224"/>
      <c r="R2434" s="224"/>
      <c r="S2434" s="224"/>
      <c r="T2434" s="224"/>
      <c r="U2434" s="224"/>
      <c r="V2434" s="224"/>
    </row>
    <row r="2435" spans="1:22" x14ac:dyDescent="0.3">
      <c r="A2435" s="222"/>
      <c r="B2435" s="235"/>
      <c r="C2435" s="227"/>
      <c r="D2435" s="344"/>
      <c r="E2435" s="235"/>
      <c r="F2435" s="235"/>
      <c r="G2435" s="227"/>
      <c r="H2435" s="227"/>
      <c r="I2435" s="350"/>
      <c r="J2435" s="227"/>
      <c r="K2435" s="227"/>
      <c r="L2435" s="224"/>
      <c r="M2435" s="224"/>
      <c r="N2435" s="224"/>
      <c r="O2435" s="224"/>
      <c r="P2435" s="224"/>
      <c r="Q2435" s="224"/>
      <c r="R2435" s="224"/>
      <c r="S2435" s="224"/>
      <c r="T2435" s="224"/>
      <c r="U2435" s="224"/>
      <c r="V2435" s="224"/>
    </row>
    <row r="2436" spans="1:22" x14ac:dyDescent="0.3">
      <c r="A2436" s="222"/>
      <c r="B2436" s="235"/>
      <c r="C2436" s="227"/>
      <c r="D2436" s="344"/>
      <c r="E2436" s="235"/>
      <c r="F2436" s="235"/>
      <c r="G2436" s="227"/>
      <c r="H2436" s="227"/>
      <c r="I2436" s="350"/>
      <c r="J2436" s="227"/>
      <c r="K2436" s="227"/>
      <c r="L2436" s="224"/>
      <c r="M2436" s="224"/>
      <c r="N2436" s="224"/>
      <c r="O2436" s="224"/>
      <c r="P2436" s="224"/>
      <c r="Q2436" s="224"/>
      <c r="R2436" s="224"/>
      <c r="S2436" s="224"/>
      <c r="T2436" s="224"/>
      <c r="U2436" s="224"/>
      <c r="V2436" s="224"/>
    </row>
    <row r="2437" spans="1:22" x14ac:dyDescent="0.3">
      <c r="A2437" s="222"/>
      <c r="B2437" s="235"/>
      <c r="C2437" s="227"/>
      <c r="D2437" s="344"/>
      <c r="E2437" s="235"/>
      <c r="F2437" s="235"/>
      <c r="G2437" s="227"/>
      <c r="H2437" s="227"/>
      <c r="I2437" s="350"/>
      <c r="J2437" s="227"/>
      <c r="K2437" s="227"/>
      <c r="L2437" s="224"/>
      <c r="M2437" s="224"/>
      <c r="N2437" s="224"/>
      <c r="O2437" s="224"/>
      <c r="P2437" s="224"/>
      <c r="Q2437" s="224"/>
      <c r="R2437" s="224"/>
      <c r="S2437" s="224"/>
      <c r="T2437" s="224"/>
      <c r="U2437" s="224"/>
      <c r="V2437" s="224"/>
    </row>
    <row r="2438" spans="1:22" x14ac:dyDescent="0.3">
      <c r="A2438" s="222"/>
      <c r="B2438" s="235"/>
      <c r="C2438" s="227"/>
      <c r="D2438" s="344"/>
      <c r="E2438" s="235"/>
      <c r="F2438" s="235"/>
      <c r="G2438" s="227"/>
      <c r="H2438" s="227"/>
      <c r="I2438" s="350"/>
      <c r="J2438" s="227"/>
      <c r="K2438" s="227"/>
      <c r="L2438" s="224"/>
      <c r="M2438" s="224"/>
      <c r="N2438" s="224"/>
      <c r="O2438" s="224"/>
      <c r="P2438" s="224"/>
      <c r="Q2438" s="224"/>
      <c r="R2438" s="224"/>
      <c r="S2438" s="224"/>
      <c r="T2438" s="224"/>
      <c r="U2438" s="224"/>
      <c r="V2438" s="224"/>
    </row>
    <row r="2439" spans="1:22" x14ac:dyDescent="0.3">
      <c r="A2439" s="222"/>
      <c r="B2439" s="235"/>
      <c r="C2439" s="227"/>
      <c r="D2439" s="344"/>
      <c r="E2439" s="235"/>
      <c r="F2439" s="235"/>
      <c r="G2439" s="227"/>
      <c r="H2439" s="227"/>
      <c r="I2439" s="350"/>
      <c r="J2439" s="227"/>
      <c r="K2439" s="227"/>
      <c r="L2439" s="224"/>
      <c r="M2439" s="224"/>
      <c r="N2439" s="224"/>
      <c r="O2439" s="224"/>
      <c r="P2439" s="224"/>
      <c r="Q2439" s="224"/>
      <c r="R2439" s="224"/>
      <c r="S2439" s="224"/>
      <c r="T2439" s="224"/>
      <c r="U2439" s="224"/>
      <c r="V2439" s="224"/>
    </row>
    <row r="2440" spans="1:22" x14ac:dyDescent="0.3">
      <c r="A2440" s="222"/>
      <c r="B2440" s="235"/>
      <c r="C2440" s="227"/>
      <c r="D2440" s="344"/>
      <c r="E2440" s="235"/>
      <c r="F2440" s="235"/>
      <c r="G2440" s="227"/>
      <c r="H2440" s="227"/>
      <c r="I2440" s="350"/>
      <c r="J2440" s="227"/>
      <c r="K2440" s="227"/>
      <c r="L2440" s="224"/>
      <c r="M2440" s="224"/>
      <c r="N2440" s="224"/>
      <c r="O2440" s="224"/>
      <c r="P2440" s="224"/>
      <c r="Q2440" s="224"/>
      <c r="R2440" s="224"/>
      <c r="S2440" s="224"/>
      <c r="T2440" s="224"/>
      <c r="U2440" s="224"/>
      <c r="V2440" s="224"/>
    </row>
    <row r="2441" spans="1:22" x14ac:dyDescent="0.3">
      <c r="A2441" s="222"/>
      <c r="B2441" s="235"/>
      <c r="C2441" s="227"/>
      <c r="D2441" s="344"/>
      <c r="E2441" s="235"/>
      <c r="F2441" s="235"/>
      <c r="G2441" s="227"/>
      <c r="H2441" s="227"/>
      <c r="I2441" s="350"/>
      <c r="J2441" s="227"/>
      <c r="K2441" s="227"/>
      <c r="L2441" s="224"/>
      <c r="M2441" s="224"/>
      <c r="N2441" s="224"/>
      <c r="O2441" s="224"/>
      <c r="P2441" s="224"/>
      <c r="Q2441" s="224"/>
      <c r="R2441" s="224"/>
      <c r="S2441" s="224"/>
      <c r="T2441" s="224"/>
      <c r="U2441" s="224"/>
      <c r="V2441" s="224"/>
    </row>
    <row r="2442" spans="1:22" x14ac:dyDescent="0.3">
      <c r="A2442" s="222"/>
      <c r="B2442" s="235"/>
      <c r="C2442" s="227"/>
      <c r="D2442" s="344"/>
      <c r="E2442" s="235"/>
      <c r="F2442" s="235"/>
      <c r="G2442" s="227"/>
      <c r="H2442" s="227"/>
      <c r="I2442" s="350"/>
      <c r="J2442" s="227"/>
      <c r="K2442" s="227"/>
      <c r="L2442" s="224"/>
      <c r="M2442" s="224"/>
      <c r="N2442" s="224"/>
      <c r="O2442" s="224"/>
      <c r="P2442" s="224"/>
      <c r="Q2442" s="224"/>
      <c r="R2442" s="224"/>
      <c r="S2442" s="224"/>
      <c r="T2442" s="224"/>
      <c r="U2442" s="224"/>
      <c r="V2442" s="224"/>
    </row>
    <row r="2443" spans="1:22" x14ac:dyDescent="0.3">
      <c r="A2443" s="222"/>
      <c r="B2443" s="235"/>
      <c r="C2443" s="227"/>
      <c r="D2443" s="344"/>
      <c r="E2443" s="235"/>
      <c r="F2443" s="235"/>
      <c r="G2443" s="227"/>
      <c r="H2443" s="227"/>
      <c r="I2443" s="350"/>
      <c r="J2443" s="227"/>
      <c r="K2443" s="227"/>
      <c r="L2443" s="224"/>
      <c r="M2443" s="224"/>
      <c r="N2443" s="224"/>
      <c r="O2443" s="224"/>
      <c r="P2443" s="224"/>
      <c r="Q2443" s="224"/>
      <c r="R2443" s="224"/>
      <c r="S2443" s="224"/>
      <c r="T2443" s="224"/>
      <c r="U2443" s="224"/>
      <c r="V2443" s="224"/>
    </row>
    <row r="2444" spans="1:22" x14ac:dyDescent="0.3">
      <c r="A2444" s="222"/>
      <c r="B2444" s="235"/>
      <c r="C2444" s="227"/>
      <c r="D2444" s="344"/>
      <c r="E2444" s="235"/>
      <c r="F2444" s="235"/>
      <c r="G2444" s="227"/>
      <c r="H2444" s="227"/>
      <c r="I2444" s="350"/>
      <c r="J2444" s="227"/>
      <c r="K2444" s="227"/>
      <c r="L2444" s="224"/>
      <c r="M2444" s="224"/>
      <c r="N2444" s="224"/>
      <c r="O2444" s="224"/>
      <c r="P2444" s="224"/>
      <c r="Q2444" s="224"/>
      <c r="R2444" s="224"/>
      <c r="S2444" s="224"/>
      <c r="T2444" s="224"/>
      <c r="U2444" s="224"/>
      <c r="V2444" s="224"/>
    </row>
    <row r="2445" spans="1:22" x14ac:dyDescent="0.3">
      <c r="A2445" s="222"/>
      <c r="B2445" s="235"/>
      <c r="C2445" s="227"/>
      <c r="D2445" s="344"/>
      <c r="E2445" s="235"/>
      <c r="F2445" s="235"/>
      <c r="G2445" s="227"/>
      <c r="H2445" s="227"/>
      <c r="I2445" s="350"/>
      <c r="J2445" s="227"/>
      <c r="K2445" s="227"/>
      <c r="L2445" s="224"/>
      <c r="M2445" s="224"/>
      <c r="N2445" s="224"/>
      <c r="O2445" s="224"/>
      <c r="P2445" s="224"/>
      <c r="Q2445" s="224"/>
      <c r="R2445" s="224"/>
      <c r="S2445" s="224"/>
      <c r="T2445" s="224"/>
      <c r="U2445" s="224"/>
      <c r="V2445" s="224"/>
    </row>
    <row r="2446" spans="1:22" x14ac:dyDescent="0.3">
      <c r="A2446" s="222"/>
      <c r="B2446" s="235"/>
      <c r="C2446" s="227"/>
      <c r="D2446" s="344"/>
      <c r="E2446" s="235"/>
      <c r="F2446" s="235"/>
      <c r="G2446" s="227"/>
      <c r="H2446" s="227"/>
      <c r="I2446" s="350"/>
      <c r="J2446" s="227"/>
      <c r="K2446" s="227"/>
      <c r="L2446" s="224"/>
      <c r="M2446" s="224"/>
      <c r="N2446" s="224"/>
      <c r="O2446" s="224"/>
      <c r="P2446" s="224"/>
      <c r="Q2446" s="224"/>
      <c r="R2446" s="224"/>
      <c r="S2446" s="224"/>
      <c r="T2446" s="224"/>
      <c r="U2446" s="224"/>
      <c r="V2446" s="224"/>
    </row>
    <row r="2447" spans="1:22" x14ac:dyDescent="0.3">
      <c r="A2447" s="222"/>
      <c r="B2447" s="235"/>
      <c r="C2447" s="227"/>
      <c r="D2447" s="344"/>
      <c r="E2447" s="235"/>
      <c r="F2447" s="235"/>
      <c r="G2447" s="227"/>
      <c r="H2447" s="227"/>
      <c r="I2447" s="350"/>
      <c r="J2447" s="227"/>
      <c r="K2447" s="227"/>
      <c r="L2447" s="224"/>
      <c r="M2447" s="224"/>
      <c r="N2447" s="224"/>
      <c r="O2447" s="224"/>
      <c r="P2447" s="224"/>
      <c r="Q2447" s="224"/>
      <c r="R2447" s="224"/>
      <c r="S2447" s="224"/>
      <c r="T2447" s="224"/>
      <c r="U2447" s="224"/>
      <c r="V2447" s="224"/>
    </row>
    <row r="2448" spans="1:22" x14ac:dyDescent="0.3">
      <c r="A2448" s="222"/>
      <c r="B2448" s="235"/>
      <c r="C2448" s="227"/>
      <c r="D2448" s="344"/>
      <c r="E2448" s="235"/>
      <c r="F2448" s="235"/>
      <c r="G2448" s="227"/>
      <c r="H2448" s="227"/>
      <c r="I2448" s="350"/>
      <c r="J2448" s="227"/>
      <c r="K2448" s="227"/>
      <c r="L2448" s="224"/>
      <c r="M2448" s="224"/>
      <c r="N2448" s="224"/>
      <c r="O2448" s="224"/>
      <c r="P2448" s="224"/>
      <c r="Q2448" s="224"/>
      <c r="R2448" s="224"/>
      <c r="S2448" s="224"/>
      <c r="T2448" s="224"/>
      <c r="U2448" s="224"/>
      <c r="V2448" s="224"/>
    </row>
    <row r="2449" spans="1:22" x14ac:dyDescent="0.3">
      <c r="A2449" s="222"/>
      <c r="B2449" s="235"/>
      <c r="C2449" s="227"/>
      <c r="D2449" s="344"/>
      <c r="E2449" s="235"/>
      <c r="F2449" s="235"/>
      <c r="G2449" s="227"/>
      <c r="H2449" s="227"/>
      <c r="I2449" s="350"/>
      <c r="J2449" s="227"/>
      <c r="K2449" s="227"/>
      <c r="L2449" s="224"/>
      <c r="M2449" s="224"/>
      <c r="N2449" s="224"/>
      <c r="O2449" s="224"/>
      <c r="P2449" s="224"/>
      <c r="Q2449" s="224"/>
      <c r="R2449" s="224"/>
      <c r="S2449" s="224"/>
      <c r="T2449" s="224"/>
      <c r="U2449" s="224"/>
      <c r="V2449" s="224"/>
    </row>
    <row r="2450" spans="1:22" x14ac:dyDescent="0.3">
      <c r="A2450" s="222"/>
      <c r="B2450" s="235"/>
      <c r="C2450" s="227"/>
      <c r="D2450" s="344"/>
      <c r="E2450" s="235"/>
      <c r="F2450" s="235"/>
      <c r="G2450" s="227"/>
      <c r="H2450" s="227"/>
      <c r="I2450" s="350"/>
      <c r="J2450" s="227"/>
      <c r="K2450" s="227"/>
      <c r="L2450" s="224"/>
      <c r="M2450" s="224"/>
      <c r="N2450" s="224"/>
      <c r="O2450" s="224"/>
      <c r="P2450" s="224"/>
      <c r="Q2450" s="224"/>
      <c r="R2450" s="224"/>
      <c r="S2450" s="224"/>
      <c r="T2450" s="224"/>
      <c r="U2450" s="224"/>
      <c r="V2450" s="224"/>
    </row>
    <row r="2451" spans="1:22" x14ac:dyDescent="0.3">
      <c r="A2451" s="222"/>
      <c r="B2451" s="235"/>
      <c r="C2451" s="227"/>
      <c r="D2451" s="344"/>
      <c r="E2451" s="235"/>
      <c r="F2451" s="235"/>
      <c r="G2451" s="227"/>
      <c r="H2451" s="227"/>
      <c r="I2451" s="350"/>
      <c r="J2451" s="227"/>
      <c r="K2451" s="227"/>
      <c r="L2451" s="224"/>
      <c r="M2451" s="224"/>
      <c r="N2451" s="224"/>
      <c r="O2451" s="224"/>
      <c r="P2451" s="224"/>
      <c r="Q2451" s="224"/>
      <c r="R2451" s="224"/>
      <c r="S2451" s="224"/>
      <c r="T2451" s="224"/>
      <c r="U2451" s="224"/>
      <c r="V2451" s="224"/>
    </row>
    <row r="2452" spans="1:22" x14ac:dyDescent="0.3">
      <c r="A2452" s="222"/>
      <c r="B2452" s="235"/>
      <c r="C2452" s="227"/>
      <c r="D2452" s="344"/>
      <c r="E2452" s="235"/>
      <c r="F2452" s="235"/>
      <c r="G2452" s="227"/>
      <c r="H2452" s="227"/>
      <c r="I2452" s="350"/>
      <c r="J2452" s="227"/>
      <c r="K2452" s="227"/>
      <c r="L2452" s="224"/>
      <c r="M2452" s="224"/>
      <c r="N2452" s="224"/>
      <c r="O2452" s="224"/>
      <c r="P2452" s="224"/>
      <c r="Q2452" s="224"/>
      <c r="R2452" s="224"/>
      <c r="S2452" s="224"/>
      <c r="T2452" s="224"/>
      <c r="U2452" s="224"/>
      <c r="V2452" s="224"/>
    </row>
    <row r="2453" spans="1:22" x14ac:dyDescent="0.3">
      <c r="A2453" s="222"/>
      <c r="B2453" s="235"/>
      <c r="C2453" s="227"/>
      <c r="D2453" s="344"/>
      <c r="E2453" s="235"/>
      <c r="F2453" s="235"/>
      <c r="G2453" s="227"/>
      <c r="H2453" s="227"/>
      <c r="I2453" s="350"/>
      <c r="J2453" s="227"/>
      <c r="K2453" s="227"/>
      <c r="L2453" s="224"/>
      <c r="M2453" s="224"/>
      <c r="N2453" s="224"/>
      <c r="O2453" s="224"/>
      <c r="P2453" s="224"/>
      <c r="Q2453" s="224"/>
      <c r="R2453" s="224"/>
      <c r="S2453" s="224"/>
      <c r="T2453" s="224"/>
      <c r="U2453" s="224"/>
      <c r="V2453" s="224"/>
    </row>
    <row r="2454" spans="1:22" x14ac:dyDescent="0.3">
      <c r="A2454" s="222"/>
      <c r="B2454" s="235"/>
      <c r="C2454" s="227"/>
      <c r="D2454" s="344"/>
      <c r="E2454" s="235"/>
      <c r="F2454" s="235"/>
      <c r="G2454" s="227"/>
      <c r="H2454" s="227"/>
      <c r="I2454" s="350"/>
      <c r="J2454" s="227"/>
      <c r="K2454" s="227"/>
      <c r="L2454" s="224"/>
      <c r="M2454" s="224"/>
      <c r="N2454" s="224"/>
      <c r="O2454" s="224"/>
      <c r="P2454" s="224"/>
      <c r="Q2454" s="224"/>
      <c r="R2454" s="224"/>
      <c r="S2454" s="224"/>
      <c r="T2454" s="224"/>
      <c r="U2454" s="224"/>
      <c r="V2454" s="224"/>
    </row>
    <row r="2455" spans="1:22" x14ac:dyDescent="0.3">
      <c r="A2455" s="222"/>
      <c r="B2455" s="235"/>
      <c r="C2455" s="227"/>
      <c r="D2455" s="344"/>
      <c r="E2455" s="235"/>
      <c r="F2455" s="235"/>
      <c r="G2455" s="227"/>
      <c r="H2455" s="227"/>
      <c r="I2455" s="350"/>
      <c r="J2455" s="227"/>
      <c r="K2455" s="227"/>
      <c r="L2455" s="224"/>
      <c r="M2455" s="224"/>
      <c r="N2455" s="224"/>
      <c r="O2455" s="224"/>
      <c r="P2455" s="224"/>
      <c r="Q2455" s="224"/>
      <c r="R2455" s="224"/>
      <c r="S2455" s="224"/>
      <c r="T2455" s="224"/>
      <c r="U2455" s="224"/>
      <c r="V2455" s="224"/>
    </row>
    <row r="2456" spans="1:22" x14ac:dyDescent="0.3">
      <c r="A2456" s="222"/>
      <c r="B2456" s="235"/>
      <c r="C2456" s="227"/>
      <c r="D2456" s="344"/>
      <c r="E2456" s="235"/>
      <c r="F2456" s="235"/>
      <c r="G2456" s="227"/>
      <c r="H2456" s="227"/>
      <c r="I2456" s="350"/>
      <c r="J2456" s="227"/>
      <c r="K2456" s="227"/>
      <c r="L2456" s="224"/>
      <c r="M2456" s="224"/>
      <c r="N2456" s="224"/>
      <c r="O2456" s="224"/>
      <c r="P2456" s="224"/>
      <c r="Q2456" s="224"/>
      <c r="R2456" s="224"/>
      <c r="S2456" s="224"/>
      <c r="T2456" s="224"/>
      <c r="U2456" s="224"/>
      <c r="V2456" s="224"/>
    </row>
    <row r="2457" spans="1:22" x14ac:dyDescent="0.3">
      <c r="A2457" s="222"/>
      <c r="B2457" s="235"/>
      <c r="C2457" s="227"/>
      <c r="D2457" s="344"/>
      <c r="E2457" s="235"/>
      <c r="F2457" s="235"/>
      <c r="G2457" s="227"/>
      <c r="H2457" s="227"/>
      <c r="I2457" s="350"/>
      <c r="J2457" s="227"/>
      <c r="K2457" s="227"/>
      <c r="L2457" s="224"/>
      <c r="M2457" s="224"/>
      <c r="N2457" s="224"/>
      <c r="O2457" s="224"/>
      <c r="P2457" s="224"/>
      <c r="Q2457" s="224"/>
      <c r="R2457" s="224"/>
      <c r="S2457" s="224"/>
      <c r="T2457" s="224"/>
      <c r="U2457" s="224"/>
      <c r="V2457" s="224"/>
    </row>
    <row r="2458" spans="1:22" x14ac:dyDescent="0.3">
      <c r="A2458" s="222"/>
      <c r="B2458" s="235"/>
      <c r="C2458" s="227"/>
      <c r="D2458" s="344"/>
      <c r="E2458" s="235"/>
      <c r="F2458" s="235"/>
      <c r="G2458" s="227"/>
      <c r="H2458" s="227"/>
      <c r="I2458" s="350"/>
      <c r="J2458" s="227"/>
      <c r="K2458" s="227"/>
      <c r="L2458" s="224"/>
      <c r="M2458" s="224"/>
      <c r="N2458" s="224"/>
      <c r="O2458" s="224"/>
      <c r="P2458" s="224"/>
      <c r="Q2458" s="224"/>
      <c r="R2458" s="224"/>
      <c r="S2458" s="224"/>
      <c r="T2458" s="224"/>
      <c r="U2458" s="224"/>
      <c r="V2458" s="224"/>
    </row>
    <row r="2459" spans="1:22" x14ac:dyDescent="0.3">
      <c r="A2459" s="222"/>
      <c r="B2459" s="235"/>
      <c r="C2459" s="227"/>
      <c r="D2459" s="344"/>
      <c r="E2459" s="235"/>
      <c r="F2459" s="235"/>
      <c r="G2459" s="227"/>
      <c r="H2459" s="227"/>
      <c r="I2459" s="350"/>
      <c r="J2459" s="227"/>
      <c r="K2459" s="227"/>
      <c r="L2459" s="224"/>
      <c r="M2459" s="224"/>
      <c r="N2459" s="224"/>
      <c r="O2459" s="224"/>
      <c r="P2459" s="224"/>
      <c r="Q2459" s="224"/>
      <c r="R2459" s="224"/>
      <c r="S2459" s="224"/>
      <c r="T2459" s="224"/>
      <c r="U2459" s="224"/>
      <c r="V2459" s="224"/>
    </row>
    <row r="2460" spans="1:22" x14ac:dyDescent="0.3">
      <c r="A2460" s="222"/>
      <c r="B2460" s="235"/>
      <c r="C2460" s="227"/>
      <c r="D2460" s="344"/>
      <c r="E2460" s="235"/>
      <c r="F2460" s="235"/>
      <c r="G2460" s="227"/>
      <c r="H2460" s="227"/>
      <c r="I2460" s="350"/>
      <c r="J2460" s="227"/>
      <c r="K2460" s="227"/>
      <c r="L2460" s="224"/>
      <c r="M2460" s="224"/>
      <c r="N2460" s="224"/>
      <c r="O2460" s="224"/>
      <c r="P2460" s="224"/>
      <c r="Q2460" s="224"/>
      <c r="R2460" s="224"/>
      <c r="S2460" s="224"/>
      <c r="T2460" s="224"/>
      <c r="U2460" s="224"/>
      <c r="V2460" s="224"/>
    </row>
    <row r="2461" spans="1:22" x14ac:dyDescent="0.3">
      <c r="A2461" s="222"/>
      <c r="B2461" s="235"/>
      <c r="C2461" s="227"/>
      <c r="D2461" s="344"/>
      <c r="E2461" s="235"/>
      <c r="F2461" s="235"/>
      <c r="G2461" s="227"/>
      <c r="H2461" s="227"/>
      <c r="I2461" s="350"/>
      <c r="J2461" s="227"/>
      <c r="K2461" s="227"/>
      <c r="L2461" s="224"/>
      <c r="M2461" s="224"/>
      <c r="N2461" s="224"/>
      <c r="O2461" s="224"/>
      <c r="P2461" s="224"/>
      <c r="Q2461" s="224"/>
      <c r="R2461" s="224"/>
      <c r="S2461" s="224"/>
      <c r="T2461" s="224"/>
      <c r="U2461" s="224"/>
      <c r="V2461" s="224"/>
    </row>
    <row r="2462" spans="1:22" x14ac:dyDescent="0.3">
      <c r="A2462" s="222"/>
      <c r="B2462" s="235"/>
      <c r="C2462" s="227"/>
      <c r="D2462" s="344"/>
      <c r="E2462" s="235"/>
      <c r="F2462" s="235"/>
      <c r="G2462" s="227"/>
      <c r="H2462" s="227"/>
      <c r="I2462" s="350"/>
      <c r="J2462" s="227"/>
      <c r="K2462" s="227"/>
      <c r="L2462" s="224"/>
      <c r="M2462" s="224"/>
      <c r="N2462" s="224"/>
      <c r="O2462" s="224"/>
      <c r="P2462" s="224"/>
      <c r="Q2462" s="224"/>
      <c r="R2462" s="224"/>
      <c r="S2462" s="224"/>
      <c r="T2462" s="224"/>
      <c r="U2462" s="224"/>
      <c r="V2462" s="224"/>
    </row>
    <row r="2463" spans="1:22" x14ac:dyDescent="0.3">
      <c r="A2463" s="222"/>
      <c r="B2463" s="235"/>
      <c r="C2463" s="227"/>
      <c r="D2463" s="344"/>
      <c r="E2463" s="235"/>
      <c r="F2463" s="235"/>
      <c r="G2463" s="227"/>
      <c r="H2463" s="227"/>
      <c r="I2463" s="350"/>
      <c r="J2463" s="227"/>
      <c r="K2463" s="227"/>
      <c r="L2463" s="224"/>
      <c r="M2463" s="224"/>
      <c r="N2463" s="224"/>
      <c r="O2463" s="224"/>
      <c r="P2463" s="224"/>
      <c r="Q2463" s="224"/>
      <c r="R2463" s="224"/>
      <c r="S2463" s="224"/>
      <c r="T2463" s="224"/>
      <c r="U2463" s="224"/>
      <c r="V2463" s="224"/>
    </row>
    <row r="2464" spans="1:22" x14ac:dyDescent="0.3">
      <c r="A2464" s="222"/>
      <c r="B2464" s="235"/>
      <c r="C2464" s="227"/>
      <c r="D2464" s="344"/>
      <c r="E2464" s="235"/>
      <c r="F2464" s="235"/>
      <c r="G2464" s="227"/>
      <c r="H2464" s="227"/>
      <c r="I2464" s="350"/>
      <c r="J2464" s="227"/>
      <c r="K2464" s="227"/>
      <c r="L2464" s="224"/>
      <c r="M2464" s="224"/>
      <c r="N2464" s="224"/>
      <c r="O2464" s="224"/>
      <c r="P2464" s="224"/>
      <c r="Q2464" s="224"/>
      <c r="R2464" s="224"/>
      <c r="S2464" s="224"/>
      <c r="T2464" s="224"/>
      <c r="U2464" s="224"/>
      <c r="V2464" s="224"/>
    </row>
    <row r="2465" spans="1:22" x14ac:dyDescent="0.3">
      <c r="A2465" s="222"/>
      <c r="B2465" s="235"/>
      <c r="C2465" s="227"/>
      <c r="D2465" s="344"/>
      <c r="E2465" s="235"/>
      <c r="F2465" s="235"/>
      <c r="G2465" s="227"/>
      <c r="H2465" s="227"/>
      <c r="I2465" s="350"/>
      <c r="J2465" s="227"/>
      <c r="K2465" s="227"/>
      <c r="L2465" s="224"/>
      <c r="M2465" s="224"/>
      <c r="N2465" s="224"/>
      <c r="O2465" s="224"/>
      <c r="P2465" s="224"/>
      <c r="Q2465" s="224"/>
      <c r="R2465" s="224"/>
      <c r="S2465" s="224"/>
      <c r="T2465" s="224"/>
      <c r="U2465" s="224"/>
      <c r="V2465" s="224"/>
    </row>
    <row r="2466" spans="1:22" x14ac:dyDescent="0.3">
      <c r="A2466" s="222"/>
      <c r="B2466" s="235"/>
      <c r="C2466" s="227"/>
      <c r="D2466" s="344"/>
      <c r="E2466" s="235"/>
      <c r="F2466" s="235"/>
      <c r="G2466" s="227"/>
      <c r="H2466" s="227"/>
      <c r="I2466" s="350"/>
      <c r="J2466" s="227"/>
      <c r="K2466" s="227"/>
      <c r="L2466" s="224"/>
      <c r="M2466" s="224"/>
      <c r="N2466" s="224"/>
      <c r="O2466" s="224"/>
      <c r="P2466" s="224"/>
      <c r="Q2466" s="224"/>
      <c r="R2466" s="224"/>
      <c r="S2466" s="224"/>
      <c r="T2466" s="224"/>
      <c r="U2466" s="224"/>
      <c r="V2466" s="224"/>
    </row>
    <row r="2467" spans="1:22" x14ac:dyDescent="0.3">
      <c r="A2467" s="222"/>
      <c r="B2467" s="235"/>
      <c r="C2467" s="227"/>
      <c r="D2467" s="344"/>
      <c r="E2467" s="235"/>
      <c r="F2467" s="235"/>
      <c r="G2467" s="227"/>
      <c r="H2467" s="227"/>
      <c r="I2467" s="350"/>
      <c r="J2467" s="227"/>
      <c r="K2467" s="227"/>
      <c r="L2467" s="224"/>
      <c r="M2467" s="224"/>
      <c r="N2467" s="224"/>
      <c r="O2467" s="224"/>
      <c r="P2467" s="224"/>
      <c r="Q2467" s="224"/>
      <c r="R2467" s="224"/>
      <c r="S2467" s="224"/>
      <c r="T2467" s="224"/>
      <c r="U2467" s="224"/>
      <c r="V2467" s="224"/>
    </row>
    <row r="2468" spans="1:22" x14ac:dyDescent="0.3">
      <c r="A2468" s="222"/>
      <c r="B2468" s="235"/>
      <c r="C2468" s="227"/>
      <c r="D2468" s="344"/>
      <c r="E2468" s="235"/>
      <c r="F2468" s="235"/>
      <c r="G2468" s="227"/>
      <c r="H2468" s="227"/>
      <c r="I2468" s="350"/>
      <c r="J2468" s="227"/>
      <c r="K2468" s="227"/>
      <c r="L2468" s="224"/>
      <c r="M2468" s="224"/>
      <c r="N2468" s="224"/>
      <c r="O2468" s="224"/>
      <c r="P2468" s="224"/>
      <c r="Q2468" s="224"/>
      <c r="R2468" s="224"/>
      <c r="S2468" s="224"/>
      <c r="T2468" s="224"/>
      <c r="U2468" s="224"/>
      <c r="V2468" s="224"/>
    </row>
    <row r="2469" spans="1:22" x14ac:dyDescent="0.3">
      <c r="A2469" s="222"/>
      <c r="B2469" s="235"/>
      <c r="C2469" s="227"/>
      <c r="D2469" s="344"/>
      <c r="E2469" s="235"/>
      <c r="F2469" s="235"/>
      <c r="G2469" s="227"/>
      <c r="H2469" s="227"/>
      <c r="I2469" s="350"/>
      <c r="J2469" s="227"/>
      <c r="K2469" s="227"/>
      <c r="L2469" s="224"/>
      <c r="M2469" s="224"/>
      <c r="N2469" s="224"/>
      <c r="O2469" s="224"/>
      <c r="P2469" s="224"/>
      <c r="Q2469" s="224"/>
      <c r="R2469" s="224"/>
      <c r="S2469" s="224"/>
      <c r="T2469" s="224"/>
      <c r="U2469" s="224"/>
      <c r="V2469" s="224"/>
    </row>
    <row r="2470" spans="1:22" x14ac:dyDescent="0.3">
      <c r="A2470" s="222"/>
      <c r="B2470" s="235"/>
      <c r="C2470" s="227"/>
      <c r="D2470" s="344"/>
      <c r="E2470" s="235"/>
      <c r="F2470" s="235"/>
      <c r="G2470" s="227"/>
      <c r="H2470" s="227"/>
      <c r="I2470" s="350"/>
      <c r="J2470" s="227"/>
      <c r="K2470" s="227"/>
      <c r="L2470" s="224"/>
      <c r="M2470" s="224"/>
      <c r="N2470" s="224"/>
      <c r="O2470" s="224"/>
      <c r="P2470" s="224"/>
      <c r="Q2470" s="224"/>
      <c r="R2470" s="224"/>
      <c r="S2470" s="224"/>
      <c r="T2470" s="224"/>
      <c r="U2470" s="224"/>
      <c r="V2470" s="224"/>
    </row>
    <row r="2471" spans="1:22" x14ac:dyDescent="0.3">
      <c r="A2471" s="222"/>
      <c r="B2471" s="235"/>
      <c r="C2471" s="227"/>
      <c r="D2471" s="344"/>
      <c r="E2471" s="235"/>
      <c r="F2471" s="235"/>
      <c r="G2471" s="227"/>
      <c r="H2471" s="227"/>
      <c r="I2471" s="350"/>
      <c r="J2471" s="227"/>
      <c r="K2471" s="227"/>
      <c r="L2471" s="224"/>
      <c r="M2471" s="224"/>
      <c r="N2471" s="224"/>
      <c r="O2471" s="224"/>
      <c r="P2471" s="224"/>
      <c r="Q2471" s="224"/>
      <c r="R2471" s="224"/>
      <c r="S2471" s="224"/>
      <c r="T2471" s="224"/>
      <c r="U2471" s="224"/>
      <c r="V2471" s="224"/>
    </row>
    <row r="2472" spans="1:22" x14ac:dyDescent="0.3">
      <c r="A2472" s="222"/>
      <c r="B2472" s="235"/>
      <c r="C2472" s="227"/>
      <c r="D2472" s="344"/>
      <c r="E2472" s="235"/>
      <c r="F2472" s="235"/>
      <c r="G2472" s="227"/>
      <c r="H2472" s="227"/>
      <c r="I2472" s="350"/>
      <c r="J2472" s="227"/>
      <c r="K2472" s="227"/>
      <c r="L2472" s="224"/>
      <c r="M2472" s="224"/>
      <c r="N2472" s="224"/>
      <c r="O2472" s="224"/>
      <c r="P2472" s="224"/>
      <c r="Q2472" s="224"/>
      <c r="R2472" s="224"/>
      <c r="S2472" s="224"/>
      <c r="T2472" s="224"/>
      <c r="U2472" s="224"/>
      <c r="V2472" s="224"/>
    </row>
    <row r="2473" spans="1:22" x14ac:dyDescent="0.3">
      <c r="A2473" s="222"/>
      <c r="B2473" s="235"/>
      <c r="C2473" s="227"/>
      <c r="D2473" s="344"/>
      <c r="E2473" s="235"/>
      <c r="F2473" s="235"/>
      <c r="G2473" s="227"/>
      <c r="H2473" s="227"/>
      <c r="I2473" s="350"/>
      <c r="J2473" s="227"/>
      <c r="K2473" s="227"/>
      <c r="L2473" s="224"/>
      <c r="M2473" s="224"/>
      <c r="N2473" s="224"/>
      <c r="O2473" s="224"/>
      <c r="P2473" s="224"/>
      <c r="Q2473" s="224"/>
      <c r="R2473" s="224"/>
      <c r="S2473" s="224"/>
      <c r="T2473" s="224"/>
      <c r="U2473" s="224"/>
      <c r="V2473" s="224"/>
    </row>
    <row r="2474" spans="1:22" x14ac:dyDescent="0.3">
      <c r="A2474" s="222"/>
      <c r="B2474" s="235"/>
      <c r="C2474" s="227"/>
      <c r="D2474" s="344"/>
      <c r="E2474" s="235"/>
      <c r="F2474" s="235"/>
      <c r="G2474" s="227"/>
      <c r="H2474" s="227"/>
      <c r="I2474" s="350"/>
      <c r="J2474" s="227"/>
      <c r="K2474" s="227"/>
      <c r="L2474" s="224"/>
      <c r="M2474" s="224"/>
      <c r="N2474" s="224"/>
      <c r="O2474" s="224"/>
      <c r="P2474" s="224"/>
      <c r="Q2474" s="224"/>
      <c r="R2474" s="224"/>
      <c r="S2474" s="224"/>
      <c r="T2474" s="224"/>
      <c r="U2474" s="224"/>
      <c r="V2474" s="224"/>
    </row>
    <row r="2475" spans="1:22" x14ac:dyDescent="0.3">
      <c r="A2475" s="222"/>
      <c r="B2475" s="235"/>
      <c r="C2475" s="227"/>
      <c r="D2475" s="344"/>
      <c r="E2475" s="235"/>
      <c r="F2475" s="235"/>
      <c r="G2475" s="227"/>
      <c r="H2475" s="227"/>
      <c r="I2475" s="350"/>
      <c r="J2475" s="227"/>
      <c r="K2475" s="227"/>
      <c r="L2475" s="224"/>
      <c r="M2475" s="224"/>
      <c r="N2475" s="224"/>
      <c r="O2475" s="224"/>
      <c r="P2475" s="224"/>
      <c r="Q2475" s="224"/>
      <c r="R2475" s="224"/>
      <c r="S2475" s="224"/>
      <c r="T2475" s="224"/>
      <c r="U2475" s="224"/>
      <c r="V2475" s="224"/>
    </row>
    <row r="2476" spans="1:22" x14ac:dyDescent="0.3">
      <c r="A2476" s="222"/>
      <c r="B2476" s="235"/>
      <c r="C2476" s="227"/>
      <c r="D2476" s="344"/>
      <c r="E2476" s="235"/>
      <c r="F2476" s="235"/>
      <c r="G2476" s="227"/>
      <c r="H2476" s="227"/>
      <c r="I2476" s="350"/>
      <c r="J2476" s="227"/>
      <c r="K2476" s="227"/>
      <c r="L2476" s="224"/>
      <c r="M2476" s="224"/>
      <c r="N2476" s="224"/>
      <c r="O2476" s="224"/>
      <c r="P2476" s="224"/>
      <c r="Q2476" s="224"/>
      <c r="R2476" s="224"/>
      <c r="S2476" s="224"/>
      <c r="T2476" s="224"/>
      <c r="U2476" s="224"/>
      <c r="V2476" s="224"/>
    </row>
    <row r="2477" spans="1:22" x14ac:dyDescent="0.3">
      <c r="A2477" s="222"/>
      <c r="B2477" s="235"/>
      <c r="C2477" s="227"/>
      <c r="D2477" s="344"/>
      <c r="E2477" s="235"/>
      <c r="F2477" s="235"/>
      <c r="G2477" s="227"/>
      <c r="H2477" s="227"/>
      <c r="I2477" s="350"/>
      <c r="J2477" s="227"/>
      <c r="K2477" s="227"/>
      <c r="L2477" s="224"/>
      <c r="M2477" s="224"/>
      <c r="N2477" s="224"/>
      <c r="O2477" s="224"/>
      <c r="P2477" s="224"/>
      <c r="Q2477" s="224"/>
      <c r="R2477" s="224"/>
      <c r="S2477" s="224"/>
      <c r="T2477" s="224"/>
      <c r="U2477" s="224"/>
      <c r="V2477" s="224"/>
    </row>
    <row r="2478" spans="1:22" x14ac:dyDescent="0.3">
      <c r="A2478" s="222"/>
      <c r="B2478" s="235"/>
      <c r="C2478" s="227"/>
      <c r="D2478" s="344"/>
      <c r="E2478" s="235"/>
      <c r="F2478" s="235"/>
      <c r="G2478" s="227"/>
      <c r="H2478" s="227"/>
      <c r="I2478" s="350"/>
      <c r="J2478" s="227"/>
      <c r="K2478" s="227"/>
      <c r="L2478" s="224"/>
      <c r="M2478" s="224"/>
      <c r="N2478" s="224"/>
      <c r="O2478" s="224"/>
      <c r="P2478" s="224"/>
      <c r="Q2478" s="224"/>
      <c r="R2478" s="224"/>
      <c r="S2478" s="224"/>
      <c r="T2478" s="224"/>
      <c r="U2478" s="224"/>
      <c r="V2478" s="224"/>
    </row>
    <row r="2479" spans="1:22" x14ac:dyDescent="0.3">
      <c r="A2479" s="222"/>
      <c r="B2479" s="235"/>
      <c r="C2479" s="227"/>
      <c r="D2479" s="344"/>
      <c r="E2479" s="235"/>
      <c r="F2479" s="235"/>
      <c r="G2479" s="227"/>
      <c r="H2479" s="227"/>
      <c r="I2479" s="350"/>
      <c r="J2479" s="227"/>
      <c r="K2479" s="227"/>
      <c r="L2479" s="224"/>
      <c r="M2479" s="224"/>
      <c r="N2479" s="224"/>
      <c r="O2479" s="224"/>
      <c r="P2479" s="224"/>
      <c r="Q2479" s="224"/>
      <c r="R2479" s="224"/>
      <c r="S2479" s="224"/>
      <c r="T2479" s="224"/>
      <c r="U2479" s="224"/>
      <c r="V2479" s="224"/>
    </row>
    <row r="2480" spans="1:22" x14ac:dyDescent="0.3">
      <c r="A2480" s="222"/>
      <c r="B2480" s="235"/>
      <c r="C2480" s="227"/>
      <c r="D2480" s="344"/>
      <c r="E2480" s="235"/>
      <c r="F2480" s="235"/>
      <c r="G2480" s="227"/>
      <c r="H2480" s="227"/>
      <c r="I2480" s="350"/>
      <c r="J2480" s="227"/>
      <c r="K2480" s="227"/>
      <c r="L2480" s="224"/>
      <c r="M2480" s="224"/>
      <c r="N2480" s="224"/>
      <c r="O2480" s="224"/>
      <c r="P2480" s="224"/>
      <c r="Q2480" s="224"/>
      <c r="R2480" s="224"/>
      <c r="S2480" s="224"/>
      <c r="T2480" s="224"/>
      <c r="U2480" s="224"/>
      <c r="V2480" s="224"/>
    </row>
    <row r="2481" spans="1:22" x14ac:dyDescent="0.3">
      <c r="A2481" s="222"/>
      <c r="B2481" s="235"/>
      <c r="C2481" s="227"/>
      <c r="D2481" s="344"/>
      <c r="E2481" s="235"/>
      <c r="F2481" s="235"/>
      <c r="G2481" s="227"/>
      <c r="H2481" s="227"/>
      <c r="I2481" s="350"/>
      <c r="J2481" s="227"/>
      <c r="K2481" s="227"/>
      <c r="L2481" s="224"/>
      <c r="M2481" s="224"/>
      <c r="N2481" s="224"/>
      <c r="O2481" s="224"/>
      <c r="P2481" s="224"/>
      <c r="Q2481" s="224"/>
      <c r="R2481" s="224"/>
      <c r="S2481" s="224"/>
      <c r="T2481" s="224"/>
      <c r="U2481" s="224"/>
      <c r="V2481" s="224"/>
    </row>
    <row r="2482" spans="1:22" x14ac:dyDescent="0.3">
      <c r="A2482" s="222"/>
      <c r="B2482" s="235"/>
      <c r="C2482" s="227"/>
      <c r="D2482" s="344"/>
      <c r="E2482" s="235"/>
      <c r="F2482" s="235"/>
      <c r="G2482" s="227"/>
      <c r="H2482" s="227"/>
      <c r="I2482" s="350"/>
      <c r="J2482" s="227"/>
      <c r="K2482" s="227"/>
      <c r="L2482" s="224"/>
      <c r="M2482" s="224"/>
      <c r="N2482" s="224"/>
      <c r="O2482" s="224"/>
      <c r="P2482" s="224"/>
      <c r="Q2482" s="224"/>
      <c r="R2482" s="224"/>
      <c r="S2482" s="224"/>
      <c r="T2482" s="224"/>
      <c r="U2482" s="224"/>
      <c r="V2482" s="224"/>
    </row>
    <row r="2483" spans="1:22" x14ac:dyDescent="0.3">
      <c r="A2483" s="222"/>
      <c r="B2483" s="235"/>
      <c r="C2483" s="227"/>
      <c r="D2483" s="344"/>
      <c r="E2483" s="235"/>
      <c r="F2483" s="235"/>
      <c r="G2483" s="227"/>
      <c r="H2483" s="227"/>
      <c r="I2483" s="350"/>
      <c r="J2483" s="227"/>
      <c r="K2483" s="227"/>
      <c r="L2483" s="224"/>
      <c r="M2483" s="224"/>
      <c r="N2483" s="224"/>
      <c r="O2483" s="224"/>
      <c r="P2483" s="224"/>
      <c r="Q2483" s="224"/>
      <c r="R2483" s="224"/>
      <c r="S2483" s="224"/>
      <c r="T2483" s="224"/>
      <c r="U2483" s="224"/>
      <c r="V2483" s="224"/>
    </row>
    <row r="2484" spans="1:22" x14ac:dyDescent="0.3">
      <c r="A2484" s="222"/>
      <c r="B2484" s="235"/>
      <c r="C2484" s="227"/>
      <c r="D2484" s="344"/>
      <c r="E2484" s="235"/>
      <c r="F2484" s="235"/>
      <c r="G2484" s="227"/>
      <c r="H2484" s="227"/>
      <c r="I2484" s="350"/>
      <c r="J2484" s="227"/>
      <c r="K2484" s="227"/>
      <c r="L2484" s="224"/>
      <c r="M2484" s="224"/>
      <c r="N2484" s="224"/>
      <c r="O2484" s="224"/>
      <c r="P2484" s="224"/>
      <c r="Q2484" s="224"/>
      <c r="R2484" s="224"/>
      <c r="S2484" s="224"/>
      <c r="T2484" s="224"/>
      <c r="U2484" s="224"/>
      <c r="V2484" s="224"/>
    </row>
    <row r="2485" spans="1:22" x14ac:dyDescent="0.3">
      <c r="A2485" s="222"/>
      <c r="B2485" s="235"/>
      <c r="C2485" s="227"/>
      <c r="D2485" s="344"/>
      <c r="E2485" s="235"/>
      <c r="F2485" s="235"/>
      <c r="G2485" s="227"/>
      <c r="H2485" s="227"/>
      <c r="I2485" s="350"/>
      <c r="J2485" s="227"/>
      <c r="K2485" s="227"/>
      <c r="L2485" s="224"/>
      <c r="M2485" s="224"/>
      <c r="N2485" s="224"/>
      <c r="O2485" s="224"/>
      <c r="P2485" s="224"/>
      <c r="Q2485" s="224"/>
      <c r="R2485" s="224"/>
      <c r="S2485" s="224"/>
      <c r="T2485" s="224"/>
      <c r="U2485" s="224"/>
      <c r="V2485" s="224"/>
    </row>
    <row r="2486" spans="1:22" x14ac:dyDescent="0.3">
      <c r="A2486" s="222"/>
      <c r="B2486" s="235"/>
      <c r="C2486" s="227"/>
      <c r="D2486" s="344"/>
      <c r="E2486" s="235"/>
      <c r="F2486" s="235"/>
      <c r="G2486" s="227"/>
      <c r="H2486" s="227"/>
      <c r="I2486" s="350"/>
      <c r="J2486" s="227"/>
      <c r="K2486" s="227"/>
      <c r="L2486" s="224"/>
      <c r="M2486" s="224"/>
      <c r="N2486" s="224"/>
      <c r="O2486" s="224"/>
      <c r="P2486" s="224"/>
      <c r="Q2486" s="224"/>
      <c r="R2486" s="224"/>
      <c r="S2486" s="224"/>
      <c r="T2486" s="224"/>
      <c r="U2486" s="224"/>
      <c r="V2486" s="224"/>
    </row>
    <row r="2487" spans="1:22" x14ac:dyDescent="0.3">
      <c r="A2487" s="222"/>
      <c r="B2487" s="235"/>
      <c r="C2487" s="227"/>
      <c r="D2487" s="344"/>
      <c r="E2487" s="235"/>
      <c r="F2487" s="235"/>
      <c r="G2487" s="227"/>
      <c r="H2487" s="227"/>
      <c r="I2487" s="350"/>
      <c r="J2487" s="227"/>
      <c r="K2487" s="227"/>
      <c r="L2487" s="224"/>
      <c r="M2487" s="224"/>
      <c r="N2487" s="224"/>
      <c r="O2487" s="224"/>
      <c r="P2487" s="224"/>
      <c r="Q2487" s="224"/>
      <c r="R2487" s="224"/>
      <c r="S2487" s="224"/>
      <c r="T2487" s="224"/>
      <c r="U2487" s="224"/>
      <c r="V2487" s="224"/>
    </row>
    <row r="2488" spans="1:22" x14ac:dyDescent="0.3">
      <c r="A2488" s="222"/>
      <c r="B2488" s="235"/>
      <c r="C2488" s="227"/>
      <c r="D2488" s="344"/>
      <c r="E2488" s="235"/>
      <c r="F2488" s="235"/>
      <c r="G2488" s="227"/>
      <c r="H2488" s="227"/>
      <c r="I2488" s="350"/>
      <c r="J2488" s="227"/>
      <c r="K2488" s="227"/>
      <c r="L2488" s="224"/>
      <c r="M2488" s="224"/>
      <c r="N2488" s="224"/>
      <c r="O2488" s="224"/>
      <c r="P2488" s="224"/>
      <c r="Q2488" s="224"/>
      <c r="R2488" s="224"/>
      <c r="S2488" s="224"/>
      <c r="T2488" s="224"/>
      <c r="U2488" s="224"/>
      <c r="V2488" s="224"/>
    </row>
    <row r="2489" spans="1:22" x14ac:dyDescent="0.3">
      <c r="A2489" s="222"/>
      <c r="B2489" s="235"/>
      <c r="C2489" s="227"/>
      <c r="D2489" s="344"/>
      <c r="E2489" s="235"/>
      <c r="F2489" s="235"/>
      <c r="G2489" s="227"/>
      <c r="H2489" s="227"/>
      <c r="I2489" s="350"/>
      <c r="J2489" s="227"/>
      <c r="K2489" s="227"/>
      <c r="L2489" s="224"/>
      <c r="M2489" s="224"/>
      <c r="N2489" s="224"/>
      <c r="O2489" s="224"/>
      <c r="P2489" s="224"/>
      <c r="Q2489" s="224"/>
      <c r="R2489" s="224"/>
      <c r="S2489" s="224"/>
      <c r="T2489" s="224"/>
      <c r="U2489" s="224"/>
      <c r="V2489" s="224"/>
    </row>
    <row r="2490" spans="1:22" x14ac:dyDescent="0.3">
      <c r="A2490" s="222"/>
      <c r="B2490" s="235"/>
      <c r="C2490" s="227"/>
      <c r="D2490" s="344"/>
      <c r="E2490" s="235"/>
      <c r="F2490" s="235"/>
      <c r="G2490" s="227"/>
      <c r="H2490" s="227"/>
      <c r="I2490" s="350"/>
      <c r="J2490" s="227"/>
      <c r="K2490" s="227"/>
      <c r="L2490" s="224"/>
      <c r="M2490" s="224"/>
      <c r="N2490" s="224"/>
      <c r="O2490" s="224"/>
      <c r="P2490" s="224"/>
      <c r="Q2490" s="224"/>
      <c r="R2490" s="224"/>
      <c r="S2490" s="224"/>
      <c r="T2490" s="224"/>
      <c r="U2490" s="224"/>
      <c r="V2490" s="224"/>
    </row>
    <row r="2491" spans="1:22" x14ac:dyDescent="0.3">
      <c r="A2491" s="222"/>
      <c r="B2491" s="235"/>
      <c r="C2491" s="227"/>
      <c r="D2491" s="344"/>
      <c r="E2491" s="235"/>
      <c r="F2491" s="235"/>
      <c r="G2491" s="227"/>
      <c r="H2491" s="227"/>
      <c r="I2491" s="350"/>
      <c r="J2491" s="227"/>
      <c r="K2491" s="227"/>
      <c r="L2491" s="224"/>
      <c r="M2491" s="224"/>
      <c r="N2491" s="224"/>
      <c r="O2491" s="224"/>
      <c r="P2491" s="224"/>
      <c r="Q2491" s="224"/>
      <c r="R2491" s="224"/>
      <c r="S2491" s="224"/>
      <c r="T2491" s="224"/>
      <c r="U2491" s="224"/>
      <c r="V2491" s="224"/>
    </row>
    <row r="2492" spans="1:22" x14ac:dyDescent="0.3">
      <c r="A2492" s="222"/>
      <c r="B2492" s="235"/>
      <c r="C2492" s="227"/>
      <c r="D2492" s="344"/>
      <c r="E2492" s="235"/>
      <c r="F2492" s="235"/>
      <c r="G2492" s="227"/>
      <c r="H2492" s="227"/>
      <c r="I2492" s="350"/>
      <c r="J2492" s="227"/>
      <c r="K2492" s="227"/>
      <c r="L2492" s="224"/>
      <c r="M2492" s="224"/>
      <c r="N2492" s="224"/>
      <c r="O2492" s="224"/>
      <c r="P2492" s="224"/>
      <c r="Q2492" s="224"/>
      <c r="R2492" s="224"/>
      <c r="S2492" s="224"/>
      <c r="T2492" s="224"/>
      <c r="U2492" s="224"/>
      <c r="V2492" s="224"/>
    </row>
    <row r="2493" spans="1:22" x14ac:dyDescent="0.3">
      <c r="A2493" s="222"/>
      <c r="B2493" s="235"/>
      <c r="C2493" s="227"/>
      <c r="D2493" s="344"/>
      <c r="E2493" s="235"/>
      <c r="F2493" s="235"/>
      <c r="G2493" s="227"/>
      <c r="H2493" s="227"/>
      <c r="I2493" s="350"/>
      <c r="J2493" s="227"/>
      <c r="K2493" s="227"/>
      <c r="L2493" s="224"/>
      <c r="M2493" s="224"/>
      <c r="N2493" s="224"/>
      <c r="O2493" s="224"/>
      <c r="P2493" s="224"/>
      <c r="Q2493" s="224"/>
      <c r="R2493" s="224"/>
      <c r="S2493" s="224"/>
      <c r="T2493" s="224"/>
      <c r="U2493" s="224"/>
      <c r="V2493" s="224"/>
    </row>
    <row r="2494" spans="1:22" x14ac:dyDescent="0.3">
      <c r="A2494" s="222"/>
      <c r="B2494" s="235"/>
      <c r="C2494" s="227"/>
      <c r="D2494" s="344"/>
      <c r="E2494" s="235"/>
      <c r="F2494" s="235"/>
      <c r="G2494" s="227"/>
      <c r="H2494" s="227"/>
      <c r="I2494" s="350"/>
      <c r="J2494" s="227"/>
      <c r="K2494" s="227"/>
      <c r="L2494" s="224"/>
      <c r="M2494" s="224"/>
      <c r="N2494" s="224"/>
      <c r="O2494" s="224"/>
      <c r="P2494" s="224"/>
      <c r="Q2494" s="224"/>
      <c r="R2494" s="224"/>
      <c r="S2494" s="224"/>
      <c r="T2494" s="224"/>
      <c r="U2494" s="224"/>
      <c r="V2494" s="224"/>
    </row>
    <row r="2495" spans="1:22" x14ac:dyDescent="0.3">
      <c r="A2495" s="222"/>
      <c r="B2495" s="235"/>
      <c r="C2495" s="227"/>
      <c r="D2495" s="344"/>
      <c r="E2495" s="235"/>
      <c r="F2495" s="235"/>
      <c r="G2495" s="227"/>
      <c r="H2495" s="227"/>
      <c r="I2495" s="350"/>
      <c r="J2495" s="227"/>
      <c r="K2495" s="227"/>
      <c r="L2495" s="224"/>
      <c r="M2495" s="224"/>
      <c r="N2495" s="224"/>
      <c r="O2495" s="224"/>
      <c r="P2495" s="224"/>
      <c r="Q2495" s="224"/>
      <c r="R2495" s="224"/>
      <c r="S2495" s="224"/>
      <c r="T2495" s="224"/>
      <c r="U2495" s="224"/>
      <c r="V2495" s="224"/>
    </row>
    <row r="2496" spans="1:22" x14ac:dyDescent="0.3">
      <c r="A2496" s="222"/>
      <c r="B2496" s="235"/>
      <c r="C2496" s="227"/>
      <c r="D2496" s="344"/>
      <c r="E2496" s="235"/>
      <c r="F2496" s="235"/>
      <c r="G2496" s="227"/>
      <c r="H2496" s="227"/>
      <c r="I2496" s="350"/>
      <c r="J2496" s="227"/>
      <c r="K2496" s="227"/>
      <c r="L2496" s="224"/>
      <c r="M2496" s="224"/>
      <c r="N2496" s="224"/>
      <c r="O2496" s="224"/>
      <c r="P2496" s="224"/>
      <c r="Q2496" s="224"/>
      <c r="R2496" s="224"/>
      <c r="S2496" s="224"/>
      <c r="T2496" s="224"/>
      <c r="U2496" s="224"/>
      <c r="V2496" s="224"/>
    </row>
    <row r="2497" spans="1:22" x14ac:dyDescent="0.3">
      <c r="A2497" s="222"/>
      <c r="B2497" s="235"/>
      <c r="C2497" s="227"/>
      <c r="D2497" s="344"/>
      <c r="E2497" s="235"/>
      <c r="F2497" s="235"/>
      <c r="G2497" s="227"/>
      <c r="H2497" s="227"/>
      <c r="I2497" s="350"/>
      <c r="J2497" s="227"/>
      <c r="K2497" s="227"/>
      <c r="L2497" s="224"/>
      <c r="M2497" s="224"/>
      <c r="N2497" s="224"/>
      <c r="O2497" s="224"/>
      <c r="P2497" s="224"/>
      <c r="Q2497" s="224"/>
      <c r="R2497" s="224"/>
      <c r="S2497" s="224"/>
      <c r="T2497" s="224"/>
      <c r="U2497" s="224"/>
      <c r="V2497" s="224"/>
    </row>
    <row r="2498" spans="1:22" x14ac:dyDescent="0.3">
      <c r="A2498" s="222"/>
      <c r="B2498" s="235"/>
      <c r="C2498" s="227"/>
      <c r="D2498" s="344"/>
      <c r="E2498" s="235"/>
      <c r="F2498" s="235"/>
      <c r="G2498" s="227"/>
      <c r="H2498" s="227"/>
      <c r="I2498" s="350"/>
      <c r="J2498" s="227"/>
      <c r="K2498" s="227"/>
      <c r="L2498" s="224"/>
      <c r="M2498" s="224"/>
      <c r="N2498" s="224"/>
      <c r="O2498" s="224"/>
      <c r="P2498" s="224"/>
      <c r="Q2498" s="224"/>
      <c r="R2498" s="224"/>
      <c r="S2498" s="224"/>
      <c r="T2498" s="224"/>
      <c r="U2498" s="224"/>
      <c r="V2498" s="224"/>
    </row>
    <row r="2499" spans="1:22" x14ac:dyDescent="0.3">
      <c r="A2499" s="222"/>
      <c r="B2499" s="235"/>
      <c r="C2499" s="227"/>
      <c r="D2499" s="344"/>
      <c r="E2499" s="235"/>
      <c r="F2499" s="235"/>
      <c r="G2499" s="227"/>
      <c r="H2499" s="227"/>
      <c r="I2499" s="350"/>
      <c r="J2499" s="227"/>
      <c r="K2499" s="227"/>
      <c r="L2499" s="224"/>
      <c r="M2499" s="224"/>
      <c r="N2499" s="224"/>
      <c r="O2499" s="224"/>
      <c r="P2499" s="224"/>
      <c r="Q2499" s="224"/>
      <c r="R2499" s="224"/>
      <c r="S2499" s="224"/>
      <c r="T2499" s="224"/>
      <c r="U2499" s="224"/>
      <c r="V2499" s="224"/>
    </row>
    <row r="2500" spans="1:22" x14ac:dyDescent="0.3">
      <c r="A2500" s="222"/>
      <c r="B2500" s="235"/>
      <c r="C2500" s="227"/>
      <c r="D2500" s="344"/>
      <c r="E2500" s="235"/>
      <c r="F2500" s="235"/>
      <c r="G2500" s="227"/>
      <c r="H2500" s="227"/>
      <c r="I2500" s="350"/>
      <c r="J2500" s="227"/>
      <c r="K2500" s="227"/>
      <c r="L2500" s="224"/>
      <c r="M2500" s="224"/>
      <c r="N2500" s="224"/>
      <c r="O2500" s="224"/>
      <c r="P2500" s="224"/>
      <c r="Q2500" s="224"/>
      <c r="R2500" s="224"/>
      <c r="S2500" s="224"/>
      <c r="T2500" s="224"/>
      <c r="U2500" s="224"/>
      <c r="V2500" s="224"/>
    </row>
    <row r="2501" spans="1:22" x14ac:dyDescent="0.3">
      <c r="A2501" s="222"/>
      <c r="B2501" s="235"/>
      <c r="C2501" s="227"/>
      <c r="D2501" s="344"/>
      <c r="E2501" s="235"/>
      <c r="F2501" s="235"/>
      <c r="G2501" s="227"/>
      <c r="H2501" s="227"/>
      <c r="I2501" s="350"/>
      <c r="J2501" s="227"/>
      <c r="K2501" s="227"/>
      <c r="L2501" s="224"/>
      <c r="M2501" s="224"/>
      <c r="N2501" s="224"/>
      <c r="O2501" s="224"/>
      <c r="P2501" s="224"/>
      <c r="Q2501" s="224"/>
      <c r="R2501" s="224"/>
      <c r="S2501" s="224"/>
      <c r="T2501" s="224"/>
      <c r="U2501" s="224"/>
      <c r="V2501" s="224"/>
    </row>
    <row r="2502" spans="1:22" x14ac:dyDescent="0.3">
      <c r="A2502" s="222"/>
      <c r="B2502" s="235"/>
      <c r="C2502" s="227"/>
      <c r="D2502" s="344"/>
      <c r="E2502" s="235"/>
      <c r="F2502" s="235"/>
      <c r="G2502" s="227"/>
      <c r="H2502" s="227"/>
      <c r="I2502" s="350"/>
      <c r="J2502" s="227"/>
      <c r="K2502" s="227"/>
      <c r="L2502" s="224"/>
      <c r="M2502" s="224"/>
      <c r="N2502" s="224"/>
      <c r="O2502" s="224"/>
      <c r="P2502" s="224"/>
      <c r="Q2502" s="224"/>
      <c r="R2502" s="224"/>
      <c r="S2502" s="224"/>
      <c r="T2502" s="224"/>
      <c r="U2502" s="224"/>
      <c r="V2502" s="224"/>
    </row>
    <row r="2503" spans="1:22" x14ac:dyDescent="0.3">
      <c r="A2503" s="222"/>
      <c r="B2503" s="235"/>
      <c r="C2503" s="227"/>
      <c r="D2503" s="344"/>
      <c r="E2503" s="235"/>
      <c r="F2503" s="235"/>
      <c r="G2503" s="227"/>
      <c r="H2503" s="227"/>
      <c r="I2503" s="350"/>
      <c r="J2503" s="227"/>
      <c r="K2503" s="227"/>
      <c r="L2503" s="224"/>
      <c r="M2503" s="224"/>
      <c r="N2503" s="224"/>
      <c r="O2503" s="224"/>
      <c r="P2503" s="224"/>
      <c r="Q2503" s="224"/>
      <c r="R2503" s="224"/>
      <c r="S2503" s="224"/>
      <c r="T2503" s="224"/>
      <c r="U2503" s="224"/>
      <c r="V2503" s="224"/>
    </row>
    <row r="2504" spans="1:22" x14ac:dyDescent="0.3">
      <c r="A2504" s="222"/>
      <c r="B2504" s="235"/>
      <c r="C2504" s="227"/>
      <c r="D2504" s="344"/>
      <c r="E2504" s="235"/>
      <c r="F2504" s="235"/>
      <c r="G2504" s="227"/>
      <c r="H2504" s="227"/>
      <c r="I2504" s="350"/>
      <c r="J2504" s="227"/>
      <c r="K2504" s="227"/>
      <c r="L2504" s="224"/>
      <c r="M2504" s="224"/>
      <c r="N2504" s="224"/>
      <c r="O2504" s="224"/>
      <c r="P2504" s="224"/>
      <c r="Q2504" s="224"/>
      <c r="R2504" s="224"/>
      <c r="S2504" s="224"/>
      <c r="T2504" s="224"/>
      <c r="U2504" s="224"/>
      <c r="V2504" s="224"/>
    </row>
    <row r="2505" spans="1:22" x14ac:dyDescent="0.3">
      <c r="A2505" s="222"/>
      <c r="B2505" s="235"/>
      <c r="C2505" s="227"/>
      <c r="D2505" s="344"/>
      <c r="E2505" s="235"/>
      <c r="F2505" s="235"/>
      <c r="G2505" s="227"/>
      <c r="H2505" s="227"/>
      <c r="I2505" s="350"/>
      <c r="J2505" s="227"/>
      <c r="K2505" s="227"/>
      <c r="L2505" s="224"/>
      <c r="M2505" s="224"/>
      <c r="N2505" s="224"/>
      <c r="O2505" s="224"/>
      <c r="P2505" s="224"/>
      <c r="Q2505" s="224"/>
      <c r="R2505" s="224"/>
      <c r="S2505" s="224"/>
      <c r="T2505" s="224"/>
      <c r="U2505" s="224"/>
      <c r="V2505" s="224"/>
    </row>
    <row r="2506" spans="1:22" x14ac:dyDescent="0.3">
      <c r="A2506" s="222"/>
      <c r="B2506" s="235"/>
      <c r="C2506" s="227"/>
      <c r="D2506" s="344"/>
      <c r="E2506" s="235"/>
      <c r="F2506" s="235"/>
      <c r="G2506" s="227"/>
      <c r="H2506" s="227"/>
      <c r="I2506" s="350"/>
      <c r="J2506" s="227"/>
      <c r="K2506" s="227"/>
      <c r="L2506" s="224"/>
      <c r="M2506" s="224"/>
      <c r="N2506" s="224"/>
      <c r="O2506" s="224"/>
      <c r="P2506" s="224"/>
      <c r="Q2506" s="224"/>
      <c r="R2506" s="224"/>
      <c r="S2506" s="224"/>
      <c r="T2506" s="224"/>
      <c r="U2506" s="224"/>
      <c r="V2506" s="224"/>
    </row>
    <row r="2507" spans="1:22" x14ac:dyDescent="0.3">
      <c r="A2507" s="222"/>
      <c r="B2507" s="235"/>
      <c r="C2507" s="227"/>
      <c r="D2507" s="344"/>
      <c r="E2507" s="235"/>
      <c r="F2507" s="235"/>
      <c r="G2507" s="227"/>
      <c r="H2507" s="227"/>
      <c r="I2507" s="350"/>
      <c r="J2507" s="227"/>
      <c r="K2507" s="227"/>
      <c r="L2507" s="224"/>
      <c r="M2507" s="224"/>
      <c r="N2507" s="224"/>
      <c r="O2507" s="224"/>
      <c r="P2507" s="224"/>
      <c r="Q2507" s="224"/>
      <c r="R2507" s="224"/>
      <c r="S2507" s="224"/>
      <c r="T2507" s="224"/>
      <c r="U2507" s="224"/>
      <c r="V2507" s="224"/>
    </row>
    <row r="2508" spans="1:22" x14ac:dyDescent="0.3">
      <c r="A2508" s="222"/>
      <c r="B2508" s="235"/>
      <c r="C2508" s="227"/>
      <c r="D2508" s="344"/>
      <c r="E2508" s="235"/>
      <c r="F2508" s="235"/>
      <c r="G2508" s="227"/>
      <c r="H2508" s="227"/>
      <c r="I2508" s="350"/>
      <c r="J2508" s="227"/>
      <c r="K2508" s="227"/>
      <c r="L2508" s="224"/>
      <c r="M2508" s="224"/>
      <c r="N2508" s="224"/>
      <c r="O2508" s="224"/>
      <c r="P2508" s="224"/>
      <c r="Q2508" s="224"/>
      <c r="R2508" s="224"/>
      <c r="S2508" s="224"/>
      <c r="T2508" s="224"/>
      <c r="U2508" s="224"/>
      <c r="V2508" s="224"/>
    </row>
    <row r="2509" spans="1:22" x14ac:dyDescent="0.3">
      <c r="A2509" s="222"/>
      <c r="B2509" s="235"/>
      <c r="C2509" s="227"/>
      <c r="D2509" s="344"/>
      <c r="E2509" s="235"/>
      <c r="F2509" s="235"/>
      <c r="G2509" s="227"/>
      <c r="H2509" s="227"/>
      <c r="I2509" s="350"/>
      <c r="J2509" s="227"/>
      <c r="K2509" s="227"/>
      <c r="L2509" s="224"/>
      <c r="M2509" s="224"/>
      <c r="N2509" s="224"/>
      <c r="O2509" s="224"/>
      <c r="P2509" s="224"/>
      <c r="Q2509" s="224"/>
      <c r="R2509" s="224"/>
      <c r="S2509" s="224"/>
      <c r="T2509" s="224"/>
      <c r="U2509" s="224"/>
      <c r="V2509" s="224"/>
    </row>
    <row r="2510" spans="1:22" x14ac:dyDescent="0.3">
      <c r="A2510" s="222"/>
      <c r="B2510" s="235"/>
      <c r="C2510" s="227"/>
      <c r="D2510" s="344"/>
      <c r="E2510" s="235"/>
      <c r="F2510" s="235"/>
      <c r="G2510" s="227"/>
      <c r="H2510" s="227"/>
      <c r="I2510" s="350"/>
      <c r="J2510" s="227"/>
      <c r="K2510" s="227"/>
      <c r="L2510" s="224"/>
      <c r="M2510" s="224"/>
      <c r="N2510" s="224"/>
      <c r="O2510" s="224"/>
      <c r="P2510" s="224"/>
      <c r="Q2510" s="224"/>
      <c r="R2510" s="224"/>
      <c r="S2510" s="224"/>
      <c r="T2510" s="224"/>
      <c r="U2510" s="224"/>
      <c r="V2510" s="224"/>
    </row>
    <row r="2511" spans="1:22" x14ac:dyDescent="0.3">
      <c r="A2511" s="222"/>
      <c r="B2511" s="235"/>
      <c r="C2511" s="227"/>
      <c r="D2511" s="344"/>
      <c r="E2511" s="235"/>
      <c r="F2511" s="235"/>
      <c r="G2511" s="227"/>
      <c r="H2511" s="227"/>
      <c r="I2511" s="350"/>
      <c r="J2511" s="227"/>
      <c r="K2511" s="227"/>
      <c r="L2511" s="224"/>
      <c r="M2511" s="224"/>
      <c r="N2511" s="224"/>
      <c r="O2511" s="224"/>
      <c r="P2511" s="224"/>
      <c r="Q2511" s="224"/>
      <c r="R2511" s="224"/>
      <c r="S2511" s="224"/>
      <c r="T2511" s="224"/>
      <c r="U2511" s="224"/>
      <c r="V2511" s="224"/>
    </row>
    <row r="2512" spans="1:22" x14ac:dyDescent="0.3">
      <c r="A2512" s="222"/>
      <c r="B2512" s="235"/>
      <c r="C2512" s="227"/>
      <c r="D2512" s="344"/>
      <c r="E2512" s="235"/>
      <c r="F2512" s="235"/>
      <c r="G2512" s="227"/>
      <c r="H2512" s="227"/>
      <c r="I2512" s="350"/>
      <c r="J2512" s="227"/>
      <c r="K2512" s="227"/>
      <c r="L2512" s="224"/>
      <c r="M2512" s="224"/>
      <c r="N2512" s="224"/>
      <c r="O2512" s="224"/>
      <c r="P2512" s="224"/>
      <c r="Q2512" s="224"/>
      <c r="R2512" s="224"/>
      <c r="S2512" s="224"/>
      <c r="T2512" s="224"/>
      <c r="U2512" s="224"/>
      <c r="V2512" s="224"/>
    </row>
    <row r="2513" spans="1:22" x14ac:dyDescent="0.3">
      <c r="A2513" s="222"/>
      <c r="B2513" s="235"/>
      <c r="C2513" s="227"/>
      <c r="D2513" s="344"/>
      <c r="E2513" s="235"/>
      <c r="F2513" s="235"/>
      <c r="G2513" s="227"/>
      <c r="H2513" s="227"/>
      <c r="I2513" s="350"/>
      <c r="J2513" s="227"/>
      <c r="K2513" s="227"/>
      <c r="L2513" s="224"/>
      <c r="M2513" s="224"/>
      <c r="N2513" s="224"/>
      <c r="O2513" s="224"/>
      <c r="P2513" s="224"/>
      <c r="Q2513" s="224"/>
      <c r="R2513" s="224"/>
      <c r="S2513" s="224"/>
      <c r="T2513" s="224"/>
      <c r="U2513" s="224"/>
      <c r="V2513" s="224"/>
    </row>
    <row r="2514" spans="1:22" x14ac:dyDescent="0.3">
      <c r="A2514" s="222"/>
      <c r="B2514" s="235"/>
      <c r="C2514" s="227"/>
      <c r="D2514" s="344"/>
      <c r="E2514" s="235"/>
      <c r="F2514" s="235"/>
      <c r="G2514" s="227"/>
      <c r="H2514" s="227"/>
      <c r="I2514" s="350"/>
      <c r="J2514" s="227"/>
      <c r="K2514" s="227"/>
      <c r="L2514" s="224"/>
      <c r="M2514" s="224"/>
      <c r="N2514" s="224"/>
      <c r="O2514" s="224"/>
      <c r="P2514" s="224"/>
      <c r="Q2514" s="224"/>
      <c r="R2514" s="224"/>
      <c r="S2514" s="224"/>
      <c r="T2514" s="224"/>
      <c r="U2514" s="224"/>
      <c r="V2514" s="224"/>
    </row>
    <row r="2515" spans="1:22" x14ac:dyDescent="0.3">
      <c r="A2515" s="222"/>
      <c r="B2515" s="235"/>
      <c r="C2515" s="227"/>
      <c r="D2515" s="344"/>
      <c r="E2515" s="235"/>
      <c r="F2515" s="235"/>
      <c r="G2515" s="227"/>
      <c r="H2515" s="227"/>
      <c r="I2515" s="350"/>
      <c r="J2515" s="227"/>
      <c r="K2515" s="227"/>
      <c r="L2515" s="224"/>
      <c r="M2515" s="224"/>
      <c r="N2515" s="224"/>
      <c r="O2515" s="224"/>
      <c r="P2515" s="224"/>
      <c r="Q2515" s="224"/>
      <c r="R2515" s="224"/>
      <c r="S2515" s="224"/>
      <c r="T2515" s="224"/>
      <c r="U2515" s="224"/>
      <c r="V2515" s="224"/>
    </row>
    <row r="2516" spans="1:22" x14ac:dyDescent="0.3">
      <c r="A2516" s="222"/>
      <c r="B2516" s="235"/>
      <c r="C2516" s="227"/>
      <c r="D2516" s="344"/>
      <c r="E2516" s="235"/>
      <c r="F2516" s="235"/>
      <c r="G2516" s="227"/>
      <c r="H2516" s="227"/>
      <c r="I2516" s="350"/>
      <c r="J2516" s="227"/>
      <c r="K2516" s="227"/>
      <c r="L2516" s="224"/>
      <c r="M2516" s="224"/>
      <c r="N2516" s="224"/>
      <c r="O2516" s="224"/>
      <c r="P2516" s="224"/>
      <c r="Q2516" s="224"/>
      <c r="R2516" s="224"/>
      <c r="S2516" s="224"/>
      <c r="T2516" s="224"/>
      <c r="U2516" s="224"/>
      <c r="V2516" s="224"/>
    </row>
    <row r="2517" spans="1:22" x14ac:dyDescent="0.3">
      <c r="A2517" s="222"/>
      <c r="B2517" s="235"/>
      <c r="C2517" s="227"/>
      <c r="D2517" s="344"/>
      <c r="E2517" s="235"/>
      <c r="F2517" s="235"/>
      <c r="G2517" s="227"/>
      <c r="H2517" s="227"/>
      <c r="I2517" s="350"/>
      <c r="J2517" s="227"/>
      <c r="K2517" s="227"/>
      <c r="L2517" s="224"/>
      <c r="M2517" s="224"/>
      <c r="N2517" s="224"/>
      <c r="O2517" s="224"/>
      <c r="P2517" s="224"/>
      <c r="Q2517" s="224"/>
      <c r="R2517" s="224"/>
      <c r="S2517" s="224"/>
      <c r="T2517" s="224"/>
      <c r="U2517" s="224"/>
      <c r="V2517" s="224"/>
    </row>
    <row r="2518" spans="1:22" x14ac:dyDescent="0.3">
      <c r="A2518" s="222"/>
      <c r="B2518" s="235"/>
      <c r="C2518" s="227"/>
      <c r="D2518" s="344"/>
      <c r="E2518" s="235"/>
      <c r="F2518" s="235"/>
      <c r="G2518" s="227"/>
      <c r="H2518" s="227"/>
      <c r="I2518" s="350"/>
      <c r="J2518" s="227"/>
      <c r="K2518" s="227"/>
      <c r="L2518" s="224"/>
      <c r="M2518" s="224"/>
      <c r="N2518" s="224"/>
      <c r="O2518" s="224"/>
      <c r="P2518" s="224"/>
      <c r="Q2518" s="224"/>
      <c r="R2518" s="224"/>
      <c r="S2518" s="224"/>
      <c r="T2518" s="224"/>
      <c r="U2518" s="224"/>
      <c r="V2518" s="224"/>
    </row>
    <row r="2519" spans="1:22" x14ac:dyDescent="0.3">
      <c r="A2519" s="222"/>
      <c r="B2519" s="235"/>
      <c r="C2519" s="227"/>
      <c r="D2519" s="344"/>
      <c r="E2519" s="235"/>
      <c r="F2519" s="235"/>
      <c r="G2519" s="227"/>
      <c r="H2519" s="227"/>
      <c r="I2519" s="350"/>
      <c r="J2519" s="227"/>
      <c r="K2519" s="227"/>
      <c r="L2519" s="224"/>
      <c r="M2519" s="224"/>
      <c r="N2519" s="224"/>
      <c r="O2519" s="224"/>
      <c r="P2519" s="224"/>
      <c r="Q2519" s="224"/>
      <c r="R2519" s="224"/>
      <c r="S2519" s="224"/>
      <c r="T2519" s="224"/>
      <c r="U2519" s="224"/>
      <c r="V2519" s="224"/>
    </row>
    <row r="2520" spans="1:22" x14ac:dyDescent="0.3">
      <c r="A2520" s="222"/>
      <c r="B2520" s="235"/>
      <c r="C2520" s="227"/>
      <c r="D2520" s="344"/>
      <c r="E2520" s="235"/>
      <c r="F2520" s="235"/>
      <c r="G2520" s="227"/>
      <c r="H2520" s="227"/>
      <c r="I2520" s="350"/>
      <c r="J2520" s="227"/>
      <c r="K2520" s="227"/>
      <c r="L2520" s="224"/>
      <c r="M2520" s="224"/>
      <c r="N2520" s="224"/>
      <c r="O2520" s="224"/>
      <c r="P2520" s="224"/>
      <c r="Q2520" s="224"/>
      <c r="R2520" s="224"/>
      <c r="S2520" s="224"/>
      <c r="T2520" s="224"/>
      <c r="U2520" s="224"/>
      <c r="V2520" s="224"/>
    </row>
    <row r="2521" spans="1:22" x14ac:dyDescent="0.3">
      <c r="A2521" s="222"/>
      <c r="B2521" s="235"/>
      <c r="C2521" s="227"/>
      <c r="D2521" s="344"/>
      <c r="E2521" s="235"/>
      <c r="F2521" s="235"/>
      <c r="G2521" s="227"/>
      <c r="H2521" s="227"/>
      <c r="I2521" s="350"/>
      <c r="J2521" s="227"/>
      <c r="K2521" s="227"/>
      <c r="L2521" s="224"/>
      <c r="M2521" s="224"/>
      <c r="N2521" s="224"/>
      <c r="O2521" s="224"/>
      <c r="P2521" s="224"/>
      <c r="Q2521" s="224"/>
      <c r="R2521" s="224"/>
      <c r="S2521" s="224"/>
      <c r="T2521" s="224"/>
      <c r="U2521" s="224"/>
      <c r="V2521" s="224"/>
    </row>
    <row r="2522" spans="1:22" x14ac:dyDescent="0.3">
      <c r="A2522" s="222"/>
      <c r="B2522" s="235"/>
      <c r="C2522" s="227"/>
      <c r="D2522" s="344"/>
      <c r="E2522" s="235"/>
      <c r="F2522" s="235"/>
      <c r="G2522" s="227"/>
      <c r="H2522" s="227"/>
      <c r="I2522" s="350"/>
      <c r="J2522" s="227"/>
      <c r="K2522" s="227"/>
      <c r="L2522" s="224"/>
      <c r="M2522" s="224"/>
      <c r="N2522" s="224"/>
      <c r="O2522" s="224"/>
      <c r="P2522" s="224"/>
      <c r="Q2522" s="224"/>
      <c r="R2522" s="224"/>
      <c r="S2522" s="224"/>
      <c r="T2522" s="224"/>
      <c r="U2522" s="224"/>
      <c r="V2522" s="224"/>
    </row>
    <row r="2523" spans="1:22" x14ac:dyDescent="0.3">
      <c r="A2523" s="222"/>
      <c r="B2523" s="235"/>
      <c r="C2523" s="227"/>
      <c r="D2523" s="344"/>
      <c r="E2523" s="235"/>
      <c r="F2523" s="235"/>
      <c r="G2523" s="227"/>
      <c r="H2523" s="227"/>
      <c r="I2523" s="350"/>
      <c r="J2523" s="227"/>
      <c r="K2523" s="227"/>
      <c r="L2523" s="224"/>
      <c r="M2523" s="224"/>
      <c r="N2523" s="224"/>
      <c r="O2523" s="224"/>
      <c r="P2523" s="224"/>
      <c r="Q2523" s="224"/>
      <c r="R2523" s="224"/>
      <c r="S2523" s="224"/>
      <c r="T2523" s="224"/>
      <c r="U2523" s="224"/>
      <c r="V2523" s="224"/>
    </row>
    <row r="2524" spans="1:22" x14ac:dyDescent="0.3">
      <c r="A2524" s="222"/>
      <c r="B2524" s="235"/>
      <c r="C2524" s="227"/>
      <c r="D2524" s="344"/>
      <c r="E2524" s="235"/>
      <c r="F2524" s="235"/>
      <c r="G2524" s="227"/>
      <c r="H2524" s="227"/>
      <c r="I2524" s="350"/>
      <c r="J2524" s="227"/>
      <c r="K2524" s="227"/>
      <c r="L2524" s="224"/>
      <c r="M2524" s="224"/>
      <c r="N2524" s="224"/>
      <c r="O2524" s="224"/>
      <c r="P2524" s="224"/>
      <c r="Q2524" s="224"/>
      <c r="R2524" s="224"/>
      <c r="S2524" s="224"/>
      <c r="T2524" s="224"/>
      <c r="U2524" s="224"/>
      <c r="V2524" s="224"/>
    </row>
    <row r="2525" spans="1:22" x14ac:dyDescent="0.3">
      <c r="A2525" s="222"/>
      <c r="B2525" s="235"/>
      <c r="C2525" s="227"/>
      <c r="D2525" s="344"/>
      <c r="E2525" s="235"/>
      <c r="F2525" s="235"/>
      <c r="G2525" s="227"/>
      <c r="H2525" s="227"/>
      <c r="I2525" s="350"/>
      <c r="J2525" s="227"/>
      <c r="K2525" s="227"/>
      <c r="L2525" s="224"/>
      <c r="M2525" s="224"/>
      <c r="N2525" s="224"/>
      <c r="O2525" s="224"/>
      <c r="P2525" s="224"/>
      <c r="Q2525" s="224"/>
      <c r="R2525" s="224"/>
      <c r="S2525" s="224"/>
      <c r="T2525" s="224"/>
      <c r="U2525" s="224"/>
      <c r="V2525" s="224"/>
    </row>
    <row r="2526" spans="1:22" x14ac:dyDescent="0.3">
      <c r="A2526" s="222"/>
      <c r="B2526" s="235"/>
      <c r="C2526" s="227"/>
      <c r="D2526" s="344"/>
      <c r="E2526" s="235"/>
      <c r="F2526" s="235"/>
      <c r="G2526" s="227"/>
      <c r="H2526" s="227"/>
      <c r="I2526" s="350"/>
      <c r="J2526" s="227"/>
      <c r="K2526" s="227"/>
      <c r="L2526" s="224"/>
      <c r="M2526" s="224"/>
      <c r="N2526" s="224"/>
      <c r="O2526" s="224"/>
      <c r="P2526" s="224"/>
      <c r="Q2526" s="224"/>
      <c r="R2526" s="224"/>
      <c r="S2526" s="224"/>
      <c r="T2526" s="224"/>
      <c r="U2526" s="224"/>
      <c r="V2526" s="224"/>
    </row>
    <row r="2527" spans="1:22" x14ac:dyDescent="0.3">
      <c r="A2527" s="222"/>
      <c r="B2527" s="235"/>
      <c r="C2527" s="227"/>
      <c r="D2527" s="344"/>
      <c r="E2527" s="235"/>
      <c r="F2527" s="235"/>
      <c r="G2527" s="227"/>
      <c r="H2527" s="227"/>
      <c r="I2527" s="350"/>
      <c r="J2527" s="227"/>
      <c r="K2527" s="227"/>
      <c r="L2527" s="224"/>
      <c r="M2527" s="224"/>
      <c r="N2527" s="224"/>
      <c r="O2527" s="224"/>
      <c r="P2527" s="224"/>
      <c r="Q2527" s="224"/>
      <c r="R2527" s="224"/>
      <c r="S2527" s="224"/>
      <c r="T2527" s="224"/>
      <c r="U2527" s="224"/>
      <c r="V2527" s="224"/>
    </row>
    <row r="2528" spans="1:22" x14ac:dyDescent="0.3">
      <c r="A2528" s="222"/>
      <c r="B2528" s="235"/>
      <c r="C2528" s="227"/>
      <c r="D2528" s="344"/>
      <c r="E2528" s="235"/>
      <c r="F2528" s="235"/>
      <c r="G2528" s="227"/>
      <c r="H2528" s="227"/>
      <c r="I2528" s="350"/>
      <c r="J2528" s="227"/>
      <c r="K2528" s="227"/>
      <c r="L2528" s="224"/>
      <c r="M2528" s="224"/>
      <c r="N2528" s="224"/>
      <c r="O2528" s="224"/>
      <c r="P2528" s="224"/>
      <c r="Q2528" s="224"/>
      <c r="R2528" s="224"/>
      <c r="S2528" s="224"/>
      <c r="T2528" s="224"/>
      <c r="U2528" s="224"/>
      <c r="V2528" s="224"/>
    </row>
    <row r="2529" spans="1:22" x14ac:dyDescent="0.3">
      <c r="A2529" s="222"/>
      <c r="B2529" s="235"/>
      <c r="C2529" s="227"/>
      <c r="D2529" s="344"/>
      <c r="E2529" s="235"/>
      <c r="F2529" s="235"/>
      <c r="G2529" s="227"/>
      <c r="H2529" s="227"/>
      <c r="I2529" s="350"/>
      <c r="J2529" s="227"/>
      <c r="K2529" s="227"/>
      <c r="L2529" s="224"/>
      <c r="M2529" s="224"/>
      <c r="N2529" s="224"/>
      <c r="O2529" s="224"/>
      <c r="P2529" s="224"/>
      <c r="Q2529" s="224"/>
      <c r="R2529" s="224"/>
      <c r="S2529" s="224"/>
      <c r="T2529" s="224"/>
      <c r="U2529" s="224"/>
      <c r="V2529" s="224"/>
    </row>
    <row r="2530" spans="1:22" x14ac:dyDescent="0.3">
      <c r="A2530" s="222"/>
      <c r="B2530" s="235"/>
      <c r="C2530" s="227"/>
      <c r="D2530" s="344"/>
      <c r="E2530" s="235"/>
      <c r="F2530" s="235"/>
      <c r="G2530" s="227"/>
      <c r="H2530" s="227"/>
      <c r="I2530" s="350"/>
      <c r="J2530" s="227"/>
      <c r="K2530" s="227"/>
      <c r="L2530" s="224"/>
      <c r="M2530" s="224"/>
      <c r="N2530" s="224"/>
      <c r="O2530" s="224"/>
      <c r="P2530" s="224"/>
      <c r="Q2530" s="224"/>
      <c r="R2530" s="224"/>
      <c r="S2530" s="224"/>
      <c r="T2530" s="224"/>
      <c r="U2530" s="224"/>
      <c r="V2530" s="224"/>
    </row>
    <row r="2531" spans="1:22" x14ac:dyDescent="0.3">
      <c r="A2531" s="222"/>
      <c r="B2531" s="235"/>
      <c r="C2531" s="227"/>
      <c r="D2531" s="344"/>
      <c r="E2531" s="235"/>
      <c r="F2531" s="235"/>
      <c r="G2531" s="227"/>
      <c r="H2531" s="227"/>
      <c r="I2531" s="350"/>
      <c r="J2531" s="227"/>
      <c r="K2531" s="227"/>
      <c r="L2531" s="224"/>
      <c r="M2531" s="224"/>
      <c r="N2531" s="224"/>
      <c r="O2531" s="224"/>
      <c r="P2531" s="224"/>
      <c r="Q2531" s="224"/>
      <c r="R2531" s="224"/>
      <c r="S2531" s="224"/>
      <c r="T2531" s="224"/>
      <c r="U2531" s="224"/>
      <c r="V2531" s="224"/>
    </row>
    <row r="2532" spans="1:22" x14ac:dyDescent="0.3">
      <c r="A2532" s="222"/>
      <c r="B2532" s="235"/>
      <c r="C2532" s="227"/>
      <c r="D2532" s="344"/>
      <c r="E2532" s="235"/>
      <c r="F2532" s="235"/>
      <c r="G2532" s="227"/>
      <c r="H2532" s="227"/>
      <c r="I2532" s="350"/>
      <c r="J2532" s="227"/>
      <c r="K2532" s="227"/>
      <c r="L2532" s="224"/>
      <c r="M2532" s="224"/>
      <c r="N2532" s="224"/>
      <c r="O2532" s="224"/>
      <c r="P2532" s="224"/>
      <c r="Q2532" s="224"/>
      <c r="R2532" s="224"/>
      <c r="S2532" s="224"/>
      <c r="T2532" s="224"/>
      <c r="U2532" s="224"/>
      <c r="V2532" s="224"/>
    </row>
    <row r="2533" spans="1:22" x14ac:dyDescent="0.3">
      <c r="A2533" s="222"/>
      <c r="B2533" s="235"/>
      <c r="C2533" s="227"/>
      <c r="D2533" s="344"/>
      <c r="E2533" s="235"/>
      <c r="F2533" s="235"/>
      <c r="G2533" s="227"/>
      <c r="H2533" s="227"/>
      <c r="I2533" s="350"/>
      <c r="J2533" s="227"/>
      <c r="K2533" s="227"/>
      <c r="L2533" s="224"/>
      <c r="M2533" s="224"/>
      <c r="N2533" s="224"/>
      <c r="O2533" s="224"/>
      <c r="P2533" s="224"/>
      <c r="Q2533" s="224"/>
      <c r="R2533" s="224"/>
      <c r="S2533" s="224"/>
      <c r="T2533" s="224"/>
      <c r="U2533" s="224"/>
      <c r="V2533" s="224"/>
    </row>
    <row r="2534" spans="1:22" x14ac:dyDescent="0.3">
      <c r="A2534" s="222"/>
      <c r="B2534" s="235"/>
      <c r="C2534" s="227"/>
      <c r="D2534" s="344"/>
      <c r="E2534" s="235"/>
      <c r="F2534" s="235"/>
      <c r="G2534" s="227"/>
      <c r="H2534" s="227"/>
      <c r="I2534" s="350"/>
      <c r="J2534" s="227"/>
      <c r="K2534" s="227"/>
      <c r="L2534" s="224"/>
      <c r="M2534" s="224"/>
      <c r="N2534" s="224"/>
      <c r="O2534" s="224"/>
      <c r="P2534" s="224"/>
      <c r="Q2534" s="224"/>
      <c r="R2534" s="224"/>
      <c r="S2534" s="224"/>
      <c r="T2534" s="224"/>
      <c r="U2534" s="224"/>
      <c r="V2534" s="224"/>
    </row>
    <row r="2535" spans="1:22" x14ac:dyDescent="0.3">
      <c r="A2535" s="222"/>
      <c r="B2535" s="235"/>
      <c r="C2535" s="227"/>
      <c r="D2535" s="344"/>
      <c r="E2535" s="235"/>
      <c r="F2535" s="235"/>
      <c r="G2535" s="227"/>
      <c r="H2535" s="227"/>
      <c r="I2535" s="350"/>
      <c r="J2535" s="227"/>
      <c r="K2535" s="227"/>
      <c r="L2535" s="224"/>
      <c r="M2535" s="224"/>
      <c r="N2535" s="224"/>
      <c r="O2535" s="224"/>
      <c r="P2535" s="224"/>
      <c r="Q2535" s="224"/>
      <c r="R2535" s="224"/>
      <c r="S2535" s="224"/>
      <c r="T2535" s="224"/>
      <c r="U2535" s="224"/>
      <c r="V2535" s="224"/>
    </row>
    <row r="2536" spans="1:22" x14ac:dyDescent="0.3">
      <c r="A2536" s="222"/>
      <c r="B2536" s="235"/>
      <c r="C2536" s="227"/>
      <c r="D2536" s="344"/>
      <c r="E2536" s="235"/>
      <c r="F2536" s="235"/>
      <c r="G2536" s="227"/>
      <c r="H2536" s="227"/>
      <c r="I2536" s="350"/>
      <c r="J2536" s="227"/>
      <c r="K2536" s="227"/>
      <c r="L2536" s="224"/>
      <c r="M2536" s="224"/>
      <c r="N2536" s="224"/>
      <c r="O2536" s="224"/>
      <c r="P2536" s="224"/>
      <c r="Q2536" s="224"/>
      <c r="R2536" s="224"/>
      <c r="S2536" s="224"/>
      <c r="T2536" s="224"/>
      <c r="U2536" s="224"/>
      <c r="V2536" s="224"/>
    </row>
    <row r="2537" spans="1:22" x14ac:dyDescent="0.3">
      <c r="A2537" s="222"/>
      <c r="B2537" s="235"/>
      <c r="C2537" s="227"/>
      <c r="D2537" s="344"/>
      <c r="E2537" s="235"/>
      <c r="F2537" s="235"/>
      <c r="G2537" s="227"/>
      <c r="H2537" s="227"/>
      <c r="I2537" s="350"/>
      <c r="J2537" s="227"/>
      <c r="K2537" s="227"/>
      <c r="L2537" s="224"/>
      <c r="M2537" s="224"/>
      <c r="N2537" s="224"/>
      <c r="O2537" s="224"/>
      <c r="P2537" s="224"/>
      <c r="Q2537" s="224"/>
      <c r="R2537" s="224"/>
      <c r="S2537" s="224"/>
      <c r="T2537" s="224"/>
      <c r="U2537" s="224"/>
      <c r="V2537" s="224"/>
    </row>
    <row r="2538" spans="1:22" x14ac:dyDescent="0.3">
      <c r="A2538" s="222"/>
      <c r="B2538" s="235"/>
      <c r="C2538" s="227"/>
      <c r="D2538" s="344"/>
      <c r="E2538" s="235"/>
      <c r="F2538" s="235"/>
      <c r="G2538" s="227"/>
      <c r="H2538" s="227"/>
      <c r="I2538" s="350"/>
      <c r="J2538" s="227"/>
      <c r="K2538" s="227"/>
      <c r="L2538" s="224"/>
      <c r="M2538" s="224"/>
      <c r="N2538" s="224"/>
      <c r="O2538" s="224"/>
      <c r="P2538" s="224"/>
      <c r="Q2538" s="224"/>
      <c r="R2538" s="224"/>
      <c r="S2538" s="224"/>
      <c r="T2538" s="224"/>
      <c r="U2538" s="224"/>
      <c r="V2538" s="224"/>
    </row>
    <row r="2539" spans="1:22" x14ac:dyDescent="0.3">
      <c r="A2539" s="222"/>
      <c r="B2539" s="235"/>
      <c r="C2539" s="227"/>
      <c r="D2539" s="344"/>
      <c r="E2539" s="235"/>
      <c r="F2539" s="235"/>
      <c r="G2539" s="227"/>
      <c r="H2539" s="227"/>
      <c r="I2539" s="350"/>
      <c r="J2539" s="227"/>
      <c r="K2539" s="227"/>
      <c r="L2539" s="224"/>
      <c r="M2539" s="224"/>
      <c r="N2539" s="224"/>
      <c r="O2539" s="224"/>
      <c r="P2539" s="224"/>
      <c r="Q2539" s="224"/>
      <c r="R2539" s="224"/>
      <c r="S2539" s="224"/>
      <c r="T2539" s="224"/>
      <c r="U2539" s="224"/>
      <c r="V2539" s="224"/>
    </row>
    <row r="2540" spans="1:22" x14ac:dyDescent="0.3">
      <c r="A2540" s="222"/>
      <c r="B2540" s="235"/>
      <c r="C2540" s="227"/>
      <c r="D2540" s="344"/>
      <c r="E2540" s="235"/>
      <c r="F2540" s="235"/>
      <c r="G2540" s="227"/>
      <c r="H2540" s="227"/>
      <c r="I2540" s="350"/>
      <c r="J2540" s="227"/>
      <c r="K2540" s="227"/>
      <c r="L2540" s="224"/>
      <c r="M2540" s="224"/>
      <c r="N2540" s="224"/>
      <c r="O2540" s="224"/>
      <c r="P2540" s="224"/>
      <c r="Q2540" s="224"/>
      <c r="R2540" s="224"/>
      <c r="S2540" s="224"/>
      <c r="T2540" s="224"/>
      <c r="U2540" s="224"/>
      <c r="V2540" s="224"/>
    </row>
    <row r="2541" spans="1:22" x14ac:dyDescent="0.3">
      <c r="A2541" s="222"/>
      <c r="B2541" s="235"/>
      <c r="C2541" s="227"/>
      <c r="D2541" s="344"/>
      <c r="E2541" s="235"/>
      <c r="F2541" s="235"/>
      <c r="G2541" s="227"/>
      <c r="H2541" s="227"/>
      <c r="I2541" s="350"/>
      <c r="J2541" s="227"/>
      <c r="K2541" s="227"/>
      <c r="L2541" s="224"/>
      <c r="M2541" s="224"/>
      <c r="N2541" s="224"/>
      <c r="O2541" s="224"/>
      <c r="P2541" s="224"/>
      <c r="Q2541" s="224"/>
      <c r="R2541" s="224"/>
      <c r="S2541" s="224"/>
      <c r="T2541" s="224"/>
      <c r="U2541" s="224"/>
      <c r="V2541" s="224"/>
    </row>
    <row r="2542" spans="1:22" x14ac:dyDescent="0.3">
      <c r="A2542" s="222"/>
      <c r="B2542" s="235"/>
      <c r="C2542" s="227"/>
      <c r="D2542" s="344"/>
      <c r="E2542" s="235"/>
      <c r="F2542" s="235"/>
      <c r="G2542" s="227"/>
      <c r="H2542" s="227"/>
      <c r="I2542" s="350"/>
      <c r="J2542" s="227"/>
      <c r="K2542" s="227"/>
      <c r="L2542" s="224"/>
      <c r="M2542" s="224"/>
      <c r="N2542" s="224"/>
      <c r="O2542" s="224"/>
      <c r="P2542" s="224"/>
      <c r="Q2542" s="224"/>
      <c r="R2542" s="224"/>
      <c r="S2542" s="224"/>
      <c r="T2542" s="224"/>
      <c r="U2542" s="224"/>
      <c r="V2542" s="224"/>
    </row>
    <row r="2543" spans="1:22" x14ac:dyDescent="0.3">
      <c r="A2543" s="222"/>
      <c r="B2543" s="235"/>
      <c r="C2543" s="227"/>
      <c r="D2543" s="344"/>
      <c r="E2543" s="235"/>
      <c r="F2543" s="235"/>
      <c r="G2543" s="227"/>
      <c r="H2543" s="227"/>
      <c r="I2543" s="350"/>
      <c r="J2543" s="227"/>
      <c r="K2543" s="227"/>
      <c r="L2543" s="224"/>
      <c r="M2543" s="224"/>
      <c r="N2543" s="224"/>
      <c r="O2543" s="224"/>
      <c r="P2543" s="224"/>
      <c r="Q2543" s="224"/>
      <c r="R2543" s="224"/>
      <c r="S2543" s="224"/>
      <c r="T2543" s="224"/>
      <c r="U2543" s="224"/>
      <c r="V2543" s="224"/>
    </row>
    <row r="2544" spans="1:22" x14ac:dyDescent="0.3">
      <c r="A2544" s="222"/>
      <c r="B2544" s="235"/>
      <c r="C2544" s="227"/>
      <c r="D2544" s="344"/>
      <c r="E2544" s="235"/>
      <c r="F2544" s="235"/>
      <c r="G2544" s="227"/>
      <c r="H2544" s="227"/>
      <c r="I2544" s="350"/>
      <c r="J2544" s="227"/>
      <c r="K2544" s="227"/>
      <c r="L2544" s="224"/>
      <c r="M2544" s="224"/>
      <c r="N2544" s="224"/>
      <c r="O2544" s="224"/>
      <c r="P2544" s="224"/>
      <c r="Q2544" s="224"/>
      <c r="R2544" s="224"/>
      <c r="S2544" s="224"/>
      <c r="T2544" s="224"/>
      <c r="U2544" s="224"/>
      <c r="V2544" s="224"/>
    </row>
    <row r="2545" spans="1:22" x14ac:dyDescent="0.3">
      <c r="A2545" s="222"/>
      <c r="B2545" s="235"/>
      <c r="C2545" s="227"/>
      <c r="D2545" s="344"/>
      <c r="E2545" s="235"/>
      <c r="F2545" s="235"/>
      <c r="G2545" s="227"/>
      <c r="H2545" s="227"/>
      <c r="I2545" s="350"/>
      <c r="J2545" s="227"/>
      <c r="K2545" s="227"/>
      <c r="L2545" s="224"/>
      <c r="M2545" s="224"/>
      <c r="N2545" s="224"/>
      <c r="O2545" s="224"/>
      <c r="P2545" s="224"/>
      <c r="Q2545" s="224"/>
      <c r="R2545" s="224"/>
      <c r="S2545" s="224"/>
      <c r="T2545" s="224"/>
      <c r="U2545" s="224"/>
      <c r="V2545" s="224"/>
    </row>
    <row r="2546" spans="1:22" x14ac:dyDescent="0.3">
      <c r="A2546" s="222"/>
      <c r="B2546" s="235"/>
      <c r="C2546" s="227"/>
      <c r="D2546" s="344"/>
      <c r="E2546" s="235"/>
      <c r="F2546" s="235"/>
      <c r="G2546" s="227"/>
      <c r="H2546" s="227"/>
      <c r="I2546" s="350"/>
      <c r="J2546" s="227"/>
      <c r="K2546" s="227"/>
      <c r="L2546" s="224"/>
      <c r="M2546" s="224"/>
      <c r="N2546" s="224"/>
      <c r="O2546" s="224"/>
      <c r="P2546" s="224"/>
      <c r="Q2546" s="224"/>
      <c r="R2546" s="224"/>
      <c r="S2546" s="224"/>
      <c r="T2546" s="224"/>
      <c r="U2546" s="224"/>
      <c r="V2546" s="224"/>
    </row>
    <row r="2547" spans="1:22" x14ac:dyDescent="0.3">
      <c r="A2547" s="222"/>
      <c r="B2547" s="235"/>
      <c r="C2547" s="227"/>
      <c r="D2547" s="344"/>
      <c r="E2547" s="235"/>
      <c r="F2547" s="235"/>
      <c r="G2547" s="227"/>
      <c r="H2547" s="227"/>
      <c r="I2547" s="350"/>
      <c r="J2547" s="227"/>
      <c r="K2547" s="227"/>
      <c r="L2547" s="224"/>
      <c r="M2547" s="224"/>
      <c r="N2547" s="224"/>
      <c r="O2547" s="224"/>
      <c r="P2547" s="224"/>
      <c r="Q2547" s="224"/>
      <c r="R2547" s="224"/>
      <c r="S2547" s="224"/>
      <c r="T2547" s="224"/>
      <c r="U2547" s="224"/>
      <c r="V2547" s="224"/>
    </row>
    <row r="2548" spans="1:22" x14ac:dyDescent="0.3">
      <c r="A2548" s="222"/>
      <c r="B2548" s="235"/>
      <c r="C2548" s="227"/>
      <c r="D2548" s="344"/>
      <c r="E2548" s="235"/>
      <c r="F2548" s="235"/>
      <c r="G2548" s="227"/>
      <c r="H2548" s="227"/>
      <c r="I2548" s="350"/>
      <c r="J2548" s="227"/>
      <c r="K2548" s="227"/>
      <c r="L2548" s="224"/>
      <c r="M2548" s="224"/>
      <c r="N2548" s="224"/>
      <c r="O2548" s="224"/>
      <c r="P2548" s="224"/>
      <c r="Q2548" s="224"/>
      <c r="R2548" s="224"/>
      <c r="S2548" s="224"/>
      <c r="T2548" s="224"/>
      <c r="U2548" s="224"/>
      <c r="V2548" s="224"/>
    </row>
    <row r="2549" spans="1:22" x14ac:dyDescent="0.3">
      <c r="A2549" s="222"/>
      <c r="B2549" s="235"/>
      <c r="C2549" s="227"/>
      <c r="D2549" s="344"/>
      <c r="E2549" s="235"/>
      <c r="F2549" s="235"/>
      <c r="G2549" s="227"/>
      <c r="H2549" s="227"/>
      <c r="I2549" s="350"/>
      <c r="J2549" s="227"/>
      <c r="K2549" s="227"/>
      <c r="L2549" s="224"/>
      <c r="M2549" s="224"/>
      <c r="N2549" s="224"/>
      <c r="O2549" s="224"/>
      <c r="P2549" s="224"/>
      <c r="Q2549" s="224"/>
      <c r="R2549" s="224"/>
      <c r="S2549" s="224"/>
      <c r="T2549" s="224"/>
      <c r="U2549" s="224"/>
      <c r="V2549" s="224"/>
    </row>
    <row r="2550" spans="1:22" x14ac:dyDescent="0.3">
      <c r="A2550" s="222"/>
      <c r="B2550" s="235"/>
      <c r="C2550" s="227"/>
      <c r="D2550" s="344"/>
      <c r="E2550" s="235"/>
      <c r="F2550" s="235"/>
      <c r="G2550" s="227"/>
      <c r="H2550" s="227"/>
      <c r="I2550" s="350"/>
      <c r="J2550" s="227"/>
      <c r="K2550" s="227"/>
      <c r="L2550" s="224"/>
      <c r="M2550" s="224"/>
      <c r="N2550" s="224"/>
      <c r="O2550" s="224"/>
      <c r="P2550" s="224"/>
      <c r="Q2550" s="224"/>
      <c r="R2550" s="224"/>
      <c r="S2550" s="224"/>
      <c r="T2550" s="224"/>
      <c r="U2550" s="224"/>
      <c r="V2550" s="224"/>
    </row>
    <row r="2551" spans="1:22" x14ac:dyDescent="0.3">
      <c r="A2551" s="222"/>
      <c r="B2551" s="235"/>
      <c r="C2551" s="227"/>
      <c r="D2551" s="344"/>
      <c r="E2551" s="235"/>
      <c r="F2551" s="235"/>
      <c r="G2551" s="227"/>
      <c r="H2551" s="227"/>
      <c r="I2551" s="350"/>
      <c r="J2551" s="227"/>
      <c r="K2551" s="227"/>
      <c r="L2551" s="224"/>
      <c r="M2551" s="224"/>
      <c r="N2551" s="224"/>
      <c r="O2551" s="224"/>
      <c r="P2551" s="224"/>
      <c r="Q2551" s="224"/>
      <c r="R2551" s="224"/>
      <c r="S2551" s="224"/>
      <c r="T2551" s="224"/>
      <c r="U2551" s="224"/>
      <c r="V2551" s="224"/>
    </row>
    <row r="2552" spans="1:22" x14ac:dyDescent="0.3">
      <c r="A2552" s="222"/>
      <c r="B2552" s="235"/>
      <c r="C2552" s="227"/>
      <c r="D2552" s="344"/>
      <c r="E2552" s="235"/>
      <c r="F2552" s="235"/>
      <c r="G2552" s="227"/>
      <c r="H2552" s="227"/>
      <c r="I2552" s="350"/>
      <c r="J2552" s="227"/>
      <c r="K2552" s="227"/>
      <c r="L2552" s="224"/>
      <c r="M2552" s="224"/>
      <c r="N2552" s="224"/>
      <c r="O2552" s="224"/>
      <c r="P2552" s="224"/>
      <c r="Q2552" s="224"/>
      <c r="R2552" s="224"/>
      <c r="S2552" s="224"/>
      <c r="T2552" s="224"/>
      <c r="U2552" s="224"/>
      <c r="V2552" s="224"/>
    </row>
    <row r="2553" spans="1:22" x14ac:dyDescent="0.3">
      <c r="A2553" s="222"/>
      <c r="B2553" s="235"/>
      <c r="C2553" s="227"/>
      <c r="D2553" s="344"/>
      <c r="E2553" s="235"/>
      <c r="F2553" s="235"/>
      <c r="G2553" s="227"/>
      <c r="H2553" s="227"/>
      <c r="I2553" s="350"/>
      <c r="J2553" s="227"/>
      <c r="K2553" s="227"/>
      <c r="L2553" s="224"/>
      <c r="M2553" s="224"/>
      <c r="N2553" s="224"/>
      <c r="O2553" s="224"/>
      <c r="P2553" s="224"/>
      <c r="Q2553" s="224"/>
      <c r="R2553" s="224"/>
      <c r="S2553" s="224"/>
      <c r="T2553" s="224"/>
      <c r="U2553" s="224"/>
      <c r="V2553" s="224"/>
    </row>
    <row r="2554" spans="1:22" x14ac:dyDescent="0.3">
      <c r="A2554" s="222"/>
      <c r="B2554" s="235"/>
      <c r="C2554" s="227"/>
      <c r="D2554" s="344"/>
      <c r="E2554" s="235"/>
      <c r="F2554" s="235"/>
      <c r="G2554" s="227"/>
      <c r="H2554" s="227"/>
      <c r="I2554" s="350"/>
      <c r="J2554" s="227"/>
      <c r="K2554" s="227"/>
      <c r="L2554" s="224"/>
      <c r="M2554" s="224"/>
      <c r="N2554" s="224"/>
      <c r="O2554" s="224"/>
      <c r="P2554" s="224"/>
      <c r="Q2554" s="224"/>
      <c r="R2554" s="224"/>
      <c r="S2554" s="224"/>
      <c r="T2554" s="224"/>
      <c r="U2554" s="224"/>
      <c r="V2554" s="224"/>
    </row>
    <row r="2555" spans="1:22" x14ac:dyDescent="0.3">
      <c r="A2555" s="222"/>
      <c r="B2555" s="235"/>
      <c r="C2555" s="227"/>
      <c r="D2555" s="344"/>
      <c r="E2555" s="235"/>
      <c r="F2555" s="235"/>
      <c r="G2555" s="227"/>
      <c r="H2555" s="227"/>
      <c r="I2555" s="350"/>
      <c r="J2555" s="227"/>
      <c r="K2555" s="227"/>
      <c r="L2555" s="224"/>
      <c r="M2555" s="224"/>
      <c r="N2555" s="224"/>
      <c r="O2555" s="224"/>
      <c r="P2555" s="224"/>
      <c r="Q2555" s="224"/>
      <c r="R2555" s="224"/>
      <c r="S2555" s="224"/>
      <c r="T2555" s="224"/>
      <c r="U2555" s="224"/>
      <c r="V2555" s="224"/>
    </row>
    <row r="2556" spans="1:22" x14ac:dyDescent="0.3">
      <c r="A2556" s="222"/>
      <c r="B2556" s="235"/>
      <c r="C2556" s="227"/>
      <c r="D2556" s="344"/>
      <c r="E2556" s="235"/>
      <c r="F2556" s="235"/>
      <c r="G2556" s="227"/>
      <c r="H2556" s="227"/>
      <c r="I2556" s="350"/>
      <c r="J2556" s="227"/>
      <c r="K2556" s="227"/>
      <c r="L2556" s="224"/>
      <c r="M2556" s="224"/>
      <c r="N2556" s="224"/>
      <c r="O2556" s="224"/>
      <c r="P2556" s="224"/>
      <c r="Q2556" s="224"/>
      <c r="R2556" s="224"/>
      <c r="S2556" s="224"/>
      <c r="T2556" s="224"/>
      <c r="U2556" s="224"/>
      <c r="V2556" s="224"/>
    </row>
    <row r="2557" spans="1:22" x14ac:dyDescent="0.3">
      <c r="A2557" s="222"/>
      <c r="B2557" s="235"/>
      <c r="C2557" s="227"/>
      <c r="D2557" s="344"/>
      <c r="E2557" s="235"/>
      <c r="F2557" s="235"/>
      <c r="G2557" s="227"/>
      <c r="H2557" s="227"/>
      <c r="I2557" s="350"/>
      <c r="J2557" s="227"/>
      <c r="K2557" s="227"/>
      <c r="L2557" s="224"/>
      <c r="M2557" s="224"/>
      <c r="N2557" s="224"/>
      <c r="O2557" s="224"/>
      <c r="P2557" s="224"/>
      <c r="Q2557" s="224"/>
      <c r="R2557" s="224"/>
      <c r="S2557" s="224"/>
      <c r="T2557" s="224"/>
      <c r="U2557" s="224"/>
      <c r="V2557" s="224"/>
    </row>
    <row r="2558" spans="1:22" x14ac:dyDescent="0.3">
      <c r="A2558" s="222"/>
      <c r="B2558" s="235"/>
      <c r="C2558" s="227"/>
      <c r="D2558" s="344"/>
      <c r="E2558" s="235"/>
      <c r="F2558" s="235"/>
      <c r="G2558" s="227"/>
      <c r="H2558" s="227"/>
      <c r="I2558" s="350"/>
      <c r="J2558" s="227"/>
      <c r="K2558" s="227"/>
      <c r="L2558" s="224"/>
      <c r="M2558" s="224"/>
      <c r="N2558" s="224"/>
      <c r="O2558" s="224"/>
      <c r="P2558" s="224"/>
      <c r="Q2558" s="224"/>
      <c r="R2558" s="224"/>
      <c r="S2558" s="224"/>
      <c r="T2558" s="224"/>
      <c r="U2558" s="224"/>
      <c r="V2558" s="224"/>
    </row>
    <row r="2559" spans="1:22" x14ac:dyDescent="0.3">
      <c r="A2559" s="222"/>
      <c r="B2559" s="235"/>
      <c r="C2559" s="227"/>
      <c r="D2559" s="344"/>
      <c r="E2559" s="235"/>
      <c r="F2559" s="235"/>
      <c r="G2559" s="227"/>
      <c r="H2559" s="227"/>
      <c r="I2559" s="350"/>
      <c r="J2559" s="227"/>
      <c r="K2559" s="227"/>
      <c r="L2559" s="224"/>
      <c r="M2559" s="224"/>
      <c r="N2559" s="224"/>
      <c r="O2559" s="224"/>
      <c r="P2559" s="224"/>
      <c r="Q2559" s="224"/>
      <c r="R2559" s="224"/>
      <c r="S2559" s="224"/>
      <c r="T2559" s="224"/>
      <c r="U2559" s="224"/>
      <c r="V2559" s="224"/>
    </row>
    <row r="2560" spans="1:22" x14ac:dyDescent="0.3">
      <c r="A2560" s="222"/>
      <c r="B2560" s="235"/>
      <c r="C2560" s="227"/>
      <c r="D2560" s="344"/>
      <c r="E2560" s="235"/>
      <c r="F2560" s="235"/>
      <c r="G2560" s="227"/>
      <c r="H2560" s="227"/>
      <c r="I2560" s="350"/>
      <c r="J2560" s="227"/>
      <c r="K2560" s="227"/>
      <c r="L2560" s="224"/>
      <c r="M2560" s="224"/>
      <c r="N2560" s="224"/>
      <c r="O2560" s="224"/>
      <c r="P2560" s="224"/>
      <c r="Q2560" s="224"/>
      <c r="R2560" s="224"/>
      <c r="S2560" s="224"/>
      <c r="T2560" s="224"/>
      <c r="U2560" s="224"/>
      <c r="V2560" s="224"/>
    </row>
    <row r="2561" spans="1:22" x14ac:dyDescent="0.3">
      <c r="A2561" s="222"/>
      <c r="B2561" s="235"/>
      <c r="C2561" s="227"/>
      <c r="D2561" s="344"/>
      <c r="E2561" s="235"/>
      <c r="F2561" s="235"/>
      <c r="G2561" s="227"/>
      <c r="H2561" s="227"/>
      <c r="I2561" s="350"/>
      <c r="J2561" s="227"/>
      <c r="K2561" s="227"/>
      <c r="L2561" s="224"/>
      <c r="M2561" s="224"/>
      <c r="N2561" s="224"/>
      <c r="O2561" s="224"/>
      <c r="P2561" s="224"/>
      <c r="Q2561" s="224"/>
      <c r="R2561" s="224"/>
      <c r="S2561" s="224"/>
      <c r="T2561" s="224"/>
      <c r="U2561" s="224"/>
      <c r="V2561" s="224"/>
    </row>
    <row r="2562" spans="1:22" x14ac:dyDescent="0.3">
      <c r="A2562" s="222"/>
      <c r="B2562" s="235"/>
      <c r="C2562" s="227"/>
      <c r="D2562" s="344"/>
      <c r="E2562" s="235"/>
      <c r="F2562" s="235"/>
      <c r="G2562" s="227"/>
      <c r="H2562" s="227"/>
      <c r="I2562" s="350"/>
      <c r="J2562" s="227"/>
      <c r="K2562" s="227"/>
      <c r="L2562" s="224"/>
      <c r="M2562" s="224"/>
      <c r="N2562" s="224"/>
      <c r="O2562" s="224"/>
      <c r="P2562" s="224"/>
      <c r="Q2562" s="224"/>
      <c r="R2562" s="224"/>
      <c r="S2562" s="224"/>
      <c r="T2562" s="224"/>
      <c r="U2562" s="224"/>
      <c r="V2562" s="224"/>
    </row>
    <row r="2563" spans="1:22" x14ac:dyDescent="0.3">
      <c r="A2563" s="222"/>
      <c r="B2563" s="235"/>
      <c r="C2563" s="227"/>
      <c r="D2563" s="344"/>
      <c r="E2563" s="235"/>
      <c r="F2563" s="235"/>
      <c r="G2563" s="227"/>
      <c r="H2563" s="227"/>
      <c r="I2563" s="350"/>
      <c r="J2563" s="227"/>
      <c r="K2563" s="227"/>
      <c r="L2563" s="224"/>
      <c r="M2563" s="224"/>
      <c r="N2563" s="224"/>
      <c r="O2563" s="224"/>
      <c r="P2563" s="224"/>
      <c r="Q2563" s="224"/>
      <c r="R2563" s="224"/>
      <c r="S2563" s="224"/>
      <c r="T2563" s="224"/>
      <c r="U2563" s="224"/>
      <c r="V2563" s="224"/>
    </row>
    <row r="2564" spans="1:22" x14ac:dyDescent="0.3">
      <c r="A2564" s="222"/>
      <c r="B2564" s="235"/>
      <c r="C2564" s="227"/>
      <c r="D2564" s="344"/>
      <c r="E2564" s="235"/>
      <c r="F2564" s="235"/>
      <c r="G2564" s="227"/>
      <c r="H2564" s="227"/>
      <c r="I2564" s="350"/>
      <c r="J2564" s="227"/>
      <c r="K2564" s="227"/>
      <c r="L2564" s="224"/>
      <c r="M2564" s="224"/>
      <c r="N2564" s="224"/>
      <c r="O2564" s="224"/>
      <c r="P2564" s="224"/>
      <c r="Q2564" s="224"/>
      <c r="R2564" s="224"/>
      <c r="S2564" s="224"/>
      <c r="T2564" s="224"/>
      <c r="U2564" s="224"/>
      <c r="V2564" s="224"/>
    </row>
    <row r="2565" spans="1:22" x14ac:dyDescent="0.3">
      <c r="A2565" s="222"/>
      <c r="B2565" s="235"/>
      <c r="C2565" s="227"/>
      <c r="D2565" s="344"/>
      <c r="E2565" s="235"/>
      <c r="F2565" s="235"/>
      <c r="G2565" s="227"/>
      <c r="H2565" s="227"/>
      <c r="I2565" s="350"/>
      <c r="J2565" s="227"/>
      <c r="K2565" s="227"/>
      <c r="L2565" s="224"/>
      <c r="M2565" s="224"/>
      <c r="N2565" s="224"/>
      <c r="O2565" s="224"/>
      <c r="P2565" s="224"/>
      <c r="Q2565" s="224"/>
      <c r="R2565" s="224"/>
      <c r="S2565" s="224"/>
      <c r="T2565" s="224"/>
      <c r="U2565" s="224"/>
      <c r="V2565" s="224"/>
    </row>
    <row r="2566" spans="1:22" x14ac:dyDescent="0.3">
      <c r="A2566" s="222"/>
      <c r="B2566" s="235"/>
      <c r="C2566" s="227"/>
      <c r="D2566" s="344"/>
      <c r="E2566" s="235"/>
      <c r="F2566" s="235"/>
      <c r="G2566" s="227"/>
      <c r="H2566" s="227"/>
      <c r="I2566" s="350"/>
      <c r="J2566" s="227"/>
      <c r="K2566" s="227"/>
      <c r="L2566" s="224"/>
      <c r="M2566" s="224"/>
      <c r="N2566" s="224"/>
      <c r="O2566" s="224"/>
      <c r="P2566" s="224"/>
      <c r="Q2566" s="224"/>
      <c r="R2566" s="224"/>
      <c r="S2566" s="224"/>
      <c r="T2566" s="224"/>
      <c r="U2566" s="224"/>
      <c r="V2566" s="224"/>
    </row>
    <row r="2567" spans="1:22" x14ac:dyDescent="0.3">
      <c r="A2567" s="222"/>
      <c r="B2567" s="235"/>
      <c r="C2567" s="227"/>
      <c r="D2567" s="344"/>
      <c r="E2567" s="235"/>
      <c r="F2567" s="235"/>
      <c r="G2567" s="227"/>
      <c r="H2567" s="227"/>
      <c r="I2567" s="350"/>
      <c r="J2567" s="227"/>
      <c r="K2567" s="227"/>
      <c r="L2567" s="224"/>
      <c r="M2567" s="224"/>
      <c r="N2567" s="224"/>
      <c r="O2567" s="224"/>
      <c r="P2567" s="224"/>
      <c r="Q2567" s="224"/>
      <c r="R2567" s="224"/>
      <c r="S2567" s="224"/>
      <c r="T2567" s="224"/>
      <c r="U2567" s="224"/>
      <c r="V2567" s="224"/>
    </row>
    <row r="2568" spans="1:22" x14ac:dyDescent="0.3">
      <c r="A2568" s="222"/>
      <c r="B2568" s="235"/>
      <c r="C2568" s="227"/>
      <c r="D2568" s="344"/>
      <c r="E2568" s="235"/>
      <c r="F2568" s="235"/>
      <c r="G2568" s="227"/>
      <c r="H2568" s="227"/>
      <c r="I2568" s="350"/>
      <c r="J2568" s="227"/>
      <c r="K2568" s="227"/>
      <c r="L2568" s="224"/>
      <c r="M2568" s="224"/>
      <c r="N2568" s="224"/>
      <c r="O2568" s="224"/>
      <c r="P2568" s="224"/>
      <c r="Q2568" s="224"/>
      <c r="R2568" s="224"/>
      <c r="S2568" s="224"/>
      <c r="T2568" s="224"/>
      <c r="U2568" s="224"/>
      <c r="V2568" s="224"/>
    </row>
    <row r="2569" spans="1:22" x14ac:dyDescent="0.3">
      <c r="A2569" s="222"/>
      <c r="B2569" s="235"/>
      <c r="C2569" s="227"/>
      <c r="D2569" s="344"/>
      <c r="E2569" s="235"/>
      <c r="F2569" s="235"/>
      <c r="G2569" s="227"/>
      <c r="H2569" s="227"/>
      <c r="I2569" s="350"/>
      <c r="J2569" s="227"/>
      <c r="K2569" s="227"/>
      <c r="L2569" s="224"/>
      <c r="M2569" s="224"/>
      <c r="N2569" s="224"/>
      <c r="O2569" s="224"/>
      <c r="P2569" s="224"/>
      <c r="Q2569" s="224"/>
      <c r="R2569" s="224"/>
      <c r="S2569" s="224"/>
      <c r="T2569" s="224"/>
      <c r="U2569" s="224"/>
      <c r="V2569" s="224"/>
    </row>
    <row r="2570" spans="1:22" x14ac:dyDescent="0.3">
      <c r="A2570" s="222"/>
      <c r="B2570" s="235"/>
      <c r="C2570" s="227"/>
      <c r="D2570" s="344"/>
      <c r="E2570" s="235"/>
      <c r="F2570" s="235"/>
      <c r="G2570" s="227"/>
      <c r="H2570" s="227"/>
      <c r="I2570" s="350"/>
      <c r="J2570" s="227"/>
      <c r="K2570" s="227"/>
      <c r="L2570" s="224"/>
      <c r="M2570" s="224"/>
      <c r="N2570" s="224"/>
      <c r="O2570" s="224"/>
      <c r="P2570" s="224"/>
      <c r="Q2570" s="224"/>
      <c r="R2570" s="224"/>
      <c r="S2570" s="224"/>
      <c r="T2570" s="224"/>
      <c r="U2570" s="224"/>
      <c r="V2570" s="224"/>
    </row>
    <row r="2571" spans="1:22" x14ac:dyDescent="0.3">
      <c r="A2571" s="222"/>
      <c r="B2571" s="235"/>
      <c r="C2571" s="227"/>
      <c r="D2571" s="344"/>
      <c r="E2571" s="235"/>
      <c r="F2571" s="235"/>
      <c r="G2571" s="227"/>
      <c r="H2571" s="227"/>
      <c r="I2571" s="350"/>
      <c r="J2571" s="227"/>
      <c r="K2571" s="227"/>
      <c r="L2571" s="224"/>
      <c r="M2571" s="224"/>
      <c r="N2571" s="224"/>
      <c r="O2571" s="224"/>
      <c r="P2571" s="224"/>
      <c r="Q2571" s="224"/>
      <c r="R2571" s="224"/>
      <c r="S2571" s="224"/>
      <c r="T2571" s="224"/>
      <c r="U2571" s="224"/>
      <c r="V2571" s="224"/>
    </row>
    <row r="2572" spans="1:22" x14ac:dyDescent="0.3">
      <c r="A2572" s="222"/>
      <c r="B2572" s="235"/>
      <c r="C2572" s="227"/>
      <c r="D2572" s="344"/>
      <c r="E2572" s="235"/>
      <c r="F2572" s="235"/>
      <c r="G2572" s="227"/>
      <c r="H2572" s="227"/>
      <c r="I2572" s="350"/>
      <c r="J2572" s="227"/>
      <c r="K2572" s="227"/>
      <c r="L2572" s="224"/>
      <c r="M2572" s="224"/>
      <c r="N2572" s="224"/>
      <c r="O2572" s="224"/>
      <c r="P2572" s="224"/>
      <c r="Q2572" s="224"/>
      <c r="R2572" s="224"/>
      <c r="S2572" s="224"/>
      <c r="T2572" s="224"/>
      <c r="U2572" s="224"/>
      <c r="V2572" s="224"/>
    </row>
    <row r="2573" spans="1:22" x14ac:dyDescent="0.3">
      <c r="A2573" s="222"/>
      <c r="B2573" s="235"/>
      <c r="C2573" s="227"/>
      <c r="D2573" s="344"/>
      <c r="E2573" s="235"/>
      <c r="F2573" s="235"/>
      <c r="G2573" s="227"/>
      <c r="H2573" s="227"/>
      <c r="I2573" s="350"/>
      <c r="J2573" s="227"/>
      <c r="K2573" s="227"/>
      <c r="L2573" s="224"/>
      <c r="M2573" s="224"/>
      <c r="N2573" s="224"/>
      <c r="O2573" s="224"/>
      <c r="P2573" s="224"/>
      <c r="Q2573" s="224"/>
      <c r="R2573" s="224"/>
      <c r="S2573" s="224"/>
      <c r="T2573" s="224"/>
      <c r="U2573" s="224"/>
      <c r="V2573" s="224"/>
    </row>
    <row r="2574" spans="1:22" x14ac:dyDescent="0.3">
      <c r="A2574" s="222"/>
      <c r="B2574" s="235"/>
      <c r="C2574" s="227"/>
      <c r="D2574" s="344"/>
      <c r="E2574" s="235"/>
      <c r="F2574" s="235"/>
      <c r="G2574" s="227"/>
      <c r="H2574" s="227"/>
      <c r="I2574" s="350"/>
      <c r="J2574" s="227"/>
      <c r="K2574" s="227"/>
      <c r="L2574" s="224"/>
      <c r="M2574" s="224"/>
      <c r="N2574" s="224"/>
      <c r="O2574" s="224"/>
      <c r="P2574" s="224"/>
      <c r="Q2574" s="224"/>
      <c r="R2574" s="224"/>
      <c r="S2574" s="224"/>
      <c r="T2574" s="224"/>
      <c r="U2574" s="224"/>
      <c r="V2574" s="224"/>
    </row>
    <row r="2575" spans="1:22" x14ac:dyDescent="0.3">
      <c r="A2575" s="222"/>
      <c r="B2575" s="235"/>
      <c r="C2575" s="227"/>
      <c r="D2575" s="344"/>
      <c r="E2575" s="235"/>
      <c r="F2575" s="235"/>
      <c r="G2575" s="227"/>
      <c r="H2575" s="227"/>
      <c r="I2575" s="350"/>
      <c r="J2575" s="227"/>
      <c r="K2575" s="227"/>
      <c r="L2575" s="224"/>
      <c r="M2575" s="224"/>
      <c r="N2575" s="224"/>
      <c r="O2575" s="224"/>
      <c r="P2575" s="224"/>
      <c r="Q2575" s="224"/>
      <c r="R2575" s="224"/>
      <c r="S2575" s="224"/>
      <c r="T2575" s="224"/>
      <c r="U2575" s="224"/>
      <c r="V2575" s="224"/>
    </row>
    <row r="2576" spans="1:22" x14ac:dyDescent="0.3">
      <c r="A2576" s="222"/>
      <c r="B2576" s="235"/>
      <c r="C2576" s="227"/>
      <c r="D2576" s="344"/>
      <c r="E2576" s="235"/>
      <c r="F2576" s="235"/>
      <c r="G2576" s="227"/>
      <c r="H2576" s="227"/>
      <c r="I2576" s="350"/>
      <c r="J2576" s="227"/>
      <c r="K2576" s="227"/>
      <c r="L2576" s="224"/>
      <c r="M2576" s="224"/>
      <c r="N2576" s="224"/>
      <c r="O2576" s="224"/>
      <c r="P2576" s="224"/>
      <c r="Q2576" s="224"/>
      <c r="R2576" s="224"/>
      <c r="S2576" s="224"/>
      <c r="T2576" s="224"/>
      <c r="U2576" s="224"/>
      <c r="V2576" s="224"/>
    </row>
    <row r="2577" spans="1:22" x14ac:dyDescent="0.3">
      <c r="A2577" s="222"/>
      <c r="B2577" s="235"/>
      <c r="C2577" s="227"/>
      <c r="D2577" s="344"/>
      <c r="E2577" s="235"/>
      <c r="F2577" s="235"/>
      <c r="G2577" s="227"/>
      <c r="H2577" s="227"/>
      <c r="I2577" s="350"/>
      <c r="J2577" s="227"/>
      <c r="K2577" s="227"/>
      <c r="L2577" s="224"/>
      <c r="M2577" s="224"/>
      <c r="N2577" s="224"/>
      <c r="O2577" s="224"/>
      <c r="P2577" s="224"/>
      <c r="Q2577" s="224"/>
      <c r="R2577" s="224"/>
      <c r="S2577" s="224"/>
      <c r="T2577" s="224"/>
      <c r="U2577" s="224"/>
      <c r="V2577" s="224"/>
    </row>
    <row r="2578" spans="1:22" x14ac:dyDescent="0.3">
      <c r="A2578" s="222"/>
      <c r="B2578" s="235"/>
      <c r="C2578" s="227"/>
      <c r="D2578" s="344"/>
      <c r="E2578" s="235"/>
      <c r="F2578" s="235"/>
      <c r="G2578" s="227"/>
      <c r="H2578" s="227"/>
      <c r="I2578" s="350"/>
      <c r="J2578" s="227"/>
      <c r="K2578" s="227"/>
      <c r="L2578" s="224"/>
      <c r="M2578" s="224"/>
      <c r="N2578" s="224"/>
      <c r="O2578" s="224"/>
      <c r="P2578" s="224"/>
      <c r="Q2578" s="224"/>
      <c r="R2578" s="224"/>
      <c r="S2578" s="224"/>
      <c r="T2578" s="224"/>
      <c r="U2578" s="224"/>
      <c r="V2578" s="224"/>
    </row>
    <row r="2579" spans="1:22" x14ac:dyDescent="0.3">
      <c r="A2579" s="222"/>
      <c r="B2579" s="235"/>
      <c r="C2579" s="227"/>
      <c r="D2579" s="344"/>
      <c r="E2579" s="235"/>
      <c r="F2579" s="235"/>
      <c r="G2579" s="227"/>
      <c r="H2579" s="227"/>
      <c r="I2579" s="350"/>
      <c r="J2579" s="227"/>
      <c r="K2579" s="227"/>
      <c r="L2579" s="224"/>
      <c r="M2579" s="224"/>
      <c r="N2579" s="224"/>
      <c r="O2579" s="224"/>
      <c r="P2579" s="224"/>
      <c r="Q2579" s="224"/>
      <c r="R2579" s="224"/>
      <c r="S2579" s="224"/>
      <c r="T2579" s="224"/>
      <c r="U2579" s="224"/>
      <c r="V2579" s="224"/>
    </row>
    <row r="2580" spans="1:22" x14ac:dyDescent="0.3">
      <c r="A2580" s="222"/>
      <c r="B2580" s="235"/>
      <c r="C2580" s="227"/>
      <c r="D2580" s="344"/>
      <c r="E2580" s="235"/>
      <c r="F2580" s="235"/>
      <c r="G2580" s="227"/>
      <c r="H2580" s="227"/>
      <c r="I2580" s="350"/>
      <c r="J2580" s="227"/>
      <c r="K2580" s="227"/>
      <c r="L2580" s="224"/>
      <c r="M2580" s="224"/>
      <c r="N2580" s="224"/>
      <c r="O2580" s="224"/>
      <c r="P2580" s="224"/>
      <c r="Q2580" s="224"/>
      <c r="R2580" s="224"/>
      <c r="S2580" s="224"/>
      <c r="T2580" s="224"/>
      <c r="U2580" s="224"/>
      <c r="V2580" s="224"/>
    </row>
    <row r="2581" spans="1:22" x14ac:dyDescent="0.3">
      <c r="A2581" s="222"/>
      <c r="B2581" s="235"/>
      <c r="C2581" s="227"/>
      <c r="D2581" s="344"/>
      <c r="E2581" s="235"/>
      <c r="F2581" s="235"/>
      <c r="G2581" s="227"/>
      <c r="H2581" s="227"/>
      <c r="I2581" s="350"/>
      <c r="J2581" s="227"/>
      <c r="K2581" s="227"/>
      <c r="L2581" s="224"/>
      <c r="M2581" s="224"/>
      <c r="N2581" s="224"/>
      <c r="O2581" s="224"/>
      <c r="P2581" s="224"/>
      <c r="Q2581" s="224"/>
      <c r="R2581" s="224"/>
      <c r="S2581" s="224"/>
      <c r="T2581" s="224"/>
      <c r="U2581" s="224"/>
      <c r="V2581" s="224"/>
    </row>
    <row r="2582" spans="1:22" x14ac:dyDescent="0.3">
      <c r="A2582" s="222"/>
      <c r="B2582" s="235"/>
      <c r="C2582" s="227"/>
      <c r="D2582" s="344"/>
      <c r="E2582" s="235"/>
      <c r="F2582" s="235"/>
      <c r="G2582" s="227"/>
      <c r="H2582" s="227"/>
      <c r="I2582" s="350"/>
      <c r="J2582" s="227"/>
      <c r="K2582" s="227"/>
      <c r="L2582" s="224"/>
      <c r="M2582" s="224"/>
      <c r="N2582" s="224"/>
      <c r="O2582" s="224"/>
      <c r="P2582" s="224"/>
      <c r="Q2582" s="224"/>
      <c r="R2582" s="224"/>
      <c r="S2582" s="224"/>
      <c r="T2582" s="224"/>
      <c r="U2582" s="224"/>
      <c r="V2582" s="224"/>
    </row>
    <row r="2583" spans="1:22" x14ac:dyDescent="0.3">
      <c r="A2583" s="222"/>
      <c r="B2583" s="235"/>
      <c r="C2583" s="227"/>
      <c r="D2583" s="344"/>
      <c r="E2583" s="235"/>
      <c r="F2583" s="235"/>
      <c r="G2583" s="227"/>
      <c r="H2583" s="227"/>
      <c r="I2583" s="350"/>
      <c r="J2583" s="227"/>
      <c r="K2583" s="227"/>
      <c r="L2583" s="224"/>
      <c r="M2583" s="224"/>
      <c r="N2583" s="224"/>
      <c r="O2583" s="224"/>
      <c r="P2583" s="224"/>
      <c r="Q2583" s="224"/>
      <c r="R2583" s="224"/>
      <c r="S2583" s="224"/>
      <c r="T2583" s="224"/>
      <c r="U2583" s="224"/>
      <c r="V2583" s="224"/>
    </row>
    <row r="2584" spans="1:22" x14ac:dyDescent="0.3">
      <c r="A2584" s="222"/>
      <c r="B2584" s="235"/>
      <c r="C2584" s="227"/>
      <c r="D2584" s="344"/>
      <c r="E2584" s="235"/>
      <c r="F2584" s="235"/>
      <c r="G2584" s="227"/>
      <c r="H2584" s="227"/>
      <c r="I2584" s="350"/>
      <c r="J2584" s="227"/>
      <c r="K2584" s="227"/>
      <c r="L2584" s="224"/>
      <c r="M2584" s="224"/>
      <c r="N2584" s="224"/>
      <c r="O2584" s="224"/>
      <c r="P2584" s="224"/>
      <c r="Q2584" s="224"/>
      <c r="R2584" s="224"/>
      <c r="S2584" s="224"/>
      <c r="T2584" s="224"/>
      <c r="U2584" s="224"/>
      <c r="V2584" s="224"/>
    </row>
    <row r="2585" spans="1:22" x14ac:dyDescent="0.3">
      <c r="A2585" s="222"/>
      <c r="B2585" s="235"/>
      <c r="C2585" s="227"/>
      <c r="D2585" s="344"/>
      <c r="E2585" s="235"/>
      <c r="F2585" s="235"/>
      <c r="G2585" s="227"/>
      <c r="H2585" s="227"/>
      <c r="I2585" s="350"/>
      <c r="J2585" s="227"/>
      <c r="K2585" s="227"/>
      <c r="L2585" s="224"/>
      <c r="M2585" s="224"/>
      <c r="N2585" s="224"/>
      <c r="O2585" s="224"/>
      <c r="P2585" s="224"/>
      <c r="Q2585" s="224"/>
      <c r="R2585" s="224"/>
      <c r="S2585" s="224"/>
      <c r="T2585" s="224"/>
      <c r="U2585" s="224"/>
      <c r="V2585" s="224"/>
    </row>
    <row r="2586" spans="1:22" x14ac:dyDescent="0.3">
      <c r="A2586" s="222"/>
      <c r="B2586" s="235"/>
      <c r="C2586" s="227"/>
      <c r="D2586" s="344"/>
      <c r="E2586" s="235"/>
      <c r="F2586" s="235"/>
      <c r="G2586" s="227"/>
      <c r="H2586" s="227"/>
      <c r="I2586" s="350"/>
      <c r="J2586" s="227"/>
      <c r="K2586" s="227"/>
      <c r="L2586" s="224"/>
      <c r="M2586" s="224"/>
      <c r="N2586" s="224"/>
      <c r="O2586" s="224"/>
      <c r="P2586" s="224"/>
      <c r="Q2586" s="224"/>
      <c r="R2586" s="224"/>
      <c r="S2586" s="224"/>
      <c r="T2586" s="224"/>
      <c r="U2586" s="224"/>
      <c r="V2586" s="224"/>
    </row>
    <row r="2587" spans="1:22" x14ac:dyDescent="0.3">
      <c r="A2587" s="222"/>
      <c r="B2587" s="235"/>
      <c r="C2587" s="227"/>
      <c r="D2587" s="344"/>
      <c r="E2587" s="235"/>
      <c r="F2587" s="235"/>
      <c r="G2587" s="227"/>
      <c r="H2587" s="227"/>
      <c r="I2587" s="350"/>
      <c r="J2587" s="227"/>
      <c r="K2587" s="227"/>
      <c r="L2587" s="224"/>
      <c r="M2587" s="224"/>
      <c r="N2587" s="224"/>
      <c r="O2587" s="224"/>
      <c r="P2587" s="224"/>
      <c r="Q2587" s="224"/>
      <c r="R2587" s="224"/>
      <c r="S2587" s="224"/>
      <c r="T2587" s="224"/>
      <c r="U2587" s="224"/>
      <c r="V2587" s="224"/>
    </row>
    <row r="2588" spans="1:22" x14ac:dyDescent="0.3">
      <c r="A2588" s="222"/>
      <c r="B2588" s="235"/>
      <c r="C2588" s="227"/>
      <c r="D2588" s="344"/>
      <c r="E2588" s="235"/>
      <c r="F2588" s="235"/>
      <c r="G2588" s="227"/>
      <c r="H2588" s="227"/>
      <c r="I2588" s="350"/>
      <c r="J2588" s="227"/>
      <c r="K2588" s="227"/>
      <c r="L2588" s="224"/>
      <c r="M2588" s="224"/>
      <c r="N2588" s="224"/>
      <c r="O2588" s="224"/>
      <c r="P2588" s="224"/>
      <c r="Q2588" s="224"/>
      <c r="R2588" s="224"/>
      <c r="S2588" s="224"/>
      <c r="T2588" s="224"/>
      <c r="U2588" s="224"/>
      <c r="V2588" s="224"/>
    </row>
    <row r="2589" spans="1:22" x14ac:dyDescent="0.3">
      <c r="A2589" s="222"/>
      <c r="B2589" s="235"/>
      <c r="C2589" s="227"/>
      <c r="D2589" s="344"/>
      <c r="E2589" s="235"/>
      <c r="F2589" s="235"/>
      <c r="G2589" s="227"/>
      <c r="H2589" s="227"/>
      <c r="I2589" s="350"/>
      <c r="J2589" s="227"/>
      <c r="K2589" s="227"/>
      <c r="L2589" s="224"/>
      <c r="M2589" s="224"/>
      <c r="N2589" s="224"/>
      <c r="O2589" s="224"/>
      <c r="P2589" s="224"/>
      <c r="Q2589" s="224"/>
      <c r="R2589" s="224"/>
      <c r="S2589" s="224"/>
      <c r="T2589" s="224"/>
      <c r="U2589" s="224"/>
      <c r="V2589" s="224"/>
    </row>
    <row r="2590" spans="1:22" x14ac:dyDescent="0.3">
      <c r="A2590" s="222"/>
      <c r="B2590" s="235"/>
      <c r="C2590" s="227"/>
      <c r="D2590" s="344"/>
      <c r="E2590" s="235"/>
      <c r="F2590" s="235"/>
      <c r="G2590" s="227"/>
      <c r="H2590" s="227"/>
      <c r="I2590" s="350"/>
      <c r="J2590" s="227"/>
      <c r="K2590" s="227"/>
      <c r="L2590" s="224"/>
      <c r="M2590" s="224"/>
      <c r="N2590" s="224"/>
      <c r="O2590" s="224"/>
      <c r="P2590" s="224"/>
      <c r="Q2590" s="224"/>
      <c r="R2590" s="224"/>
      <c r="S2590" s="224"/>
      <c r="T2590" s="224"/>
      <c r="U2590" s="224"/>
      <c r="V2590" s="224"/>
    </row>
    <row r="2591" spans="1:22" x14ac:dyDescent="0.3">
      <c r="A2591" s="222"/>
      <c r="B2591" s="235"/>
      <c r="C2591" s="227"/>
      <c r="D2591" s="344"/>
      <c r="E2591" s="235"/>
      <c r="F2591" s="235"/>
      <c r="G2591" s="227"/>
      <c r="H2591" s="227"/>
      <c r="I2591" s="350"/>
      <c r="J2591" s="227"/>
      <c r="K2591" s="227"/>
      <c r="L2591" s="224"/>
      <c r="M2591" s="224"/>
      <c r="N2591" s="224"/>
      <c r="O2591" s="224"/>
      <c r="P2591" s="224"/>
      <c r="Q2591" s="224"/>
      <c r="R2591" s="224"/>
      <c r="S2591" s="224"/>
      <c r="T2591" s="224"/>
      <c r="U2591" s="224"/>
      <c r="V2591" s="224"/>
    </row>
    <row r="2592" spans="1:22" x14ac:dyDescent="0.3">
      <c r="A2592" s="222"/>
      <c r="B2592" s="235"/>
      <c r="C2592" s="227"/>
      <c r="D2592" s="344"/>
      <c r="E2592" s="235"/>
      <c r="F2592" s="235"/>
      <c r="G2592" s="227"/>
      <c r="H2592" s="227"/>
      <c r="I2592" s="350"/>
      <c r="J2592" s="227"/>
      <c r="K2592" s="227"/>
      <c r="L2592" s="224"/>
      <c r="M2592" s="224"/>
      <c r="N2592" s="224"/>
      <c r="O2592" s="224"/>
      <c r="P2592" s="224"/>
      <c r="Q2592" s="224"/>
      <c r="R2592" s="224"/>
      <c r="S2592" s="224"/>
      <c r="T2592" s="224"/>
      <c r="U2592" s="224"/>
      <c r="V2592" s="224"/>
    </row>
    <row r="2593" spans="1:22" x14ac:dyDescent="0.3">
      <c r="A2593" s="222"/>
      <c r="B2593" s="235"/>
      <c r="C2593" s="227"/>
      <c r="D2593" s="344"/>
      <c r="E2593" s="235"/>
      <c r="F2593" s="235"/>
      <c r="G2593" s="227"/>
      <c r="H2593" s="227"/>
      <c r="I2593" s="350"/>
      <c r="J2593" s="227"/>
      <c r="K2593" s="227"/>
      <c r="L2593" s="224"/>
      <c r="M2593" s="224"/>
      <c r="N2593" s="224"/>
      <c r="O2593" s="224"/>
      <c r="P2593" s="224"/>
      <c r="Q2593" s="224"/>
      <c r="R2593" s="224"/>
      <c r="S2593" s="224"/>
      <c r="T2593" s="224"/>
      <c r="U2593" s="224"/>
      <c r="V2593" s="224"/>
    </row>
    <row r="2594" spans="1:22" x14ac:dyDescent="0.3">
      <c r="A2594" s="222"/>
      <c r="B2594" s="235"/>
      <c r="C2594" s="227"/>
      <c r="D2594" s="344"/>
      <c r="E2594" s="235"/>
      <c r="F2594" s="235"/>
      <c r="G2594" s="227"/>
      <c r="H2594" s="227"/>
      <c r="I2594" s="350"/>
      <c r="J2594" s="227"/>
      <c r="K2594" s="227"/>
      <c r="L2594" s="224"/>
      <c r="M2594" s="224"/>
      <c r="N2594" s="224"/>
      <c r="O2594" s="224"/>
      <c r="P2594" s="224"/>
      <c r="Q2594" s="224"/>
      <c r="R2594" s="224"/>
      <c r="S2594" s="224"/>
      <c r="T2594" s="224"/>
      <c r="U2594" s="224"/>
      <c r="V2594" s="224"/>
    </row>
    <row r="2595" spans="1:22" x14ac:dyDescent="0.3">
      <c r="A2595" s="222"/>
      <c r="B2595" s="235"/>
      <c r="C2595" s="227"/>
      <c r="D2595" s="344"/>
      <c r="E2595" s="235"/>
      <c r="F2595" s="235"/>
      <c r="G2595" s="227"/>
      <c r="H2595" s="227"/>
      <c r="I2595" s="350"/>
      <c r="J2595" s="227"/>
      <c r="K2595" s="227"/>
      <c r="L2595" s="224"/>
      <c r="M2595" s="224"/>
      <c r="N2595" s="224"/>
      <c r="O2595" s="224"/>
      <c r="P2595" s="224"/>
      <c r="Q2595" s="224"/>
      <c r="R2595" s="224"/>
      <c r="S2595" s="224"/>
      <c r="T2595" s="224"/>
      <c r="U2595" s="224"/>
      <c r="V2595" s="224"/>
    </row>
    <row r="2596" spans="1:22" x14ac:dyDescent="0.3">
      <c r="A2596" s="222"/>
      <c r="B2596" s="235"/>
      <c r="C2596" s="227"/>
      <c r="D2596" s="344"/>
      <c r="E2596" s="235"/>
      <c r="F2596" s="235"/>
      <c r="G2596" s="227"/>
      <c r="H2596" s="227"/>
      <c r="I2596" s="350"/>
      <c r="J2596" s="227"/>
      <c r="K2596" s="227"/>
      <c r="L2596" s="224"/>
      <c r="M2596" s="224"/>
      <c r="N2596" s="224"/>
      <c r="O2596" s="224"/>
      <c r="P2596" s="224"/>
      <c r="Q2596" s="224"/>
      <c r="R2596" s="224"/>
      <c r="S2596" s="224"/>
      <c r="T2596" s="224"/>
      <c r="U2596" s="224"/>
      <c r="V2596" s="224"/>
    </row>
    <row r="2597" spans="1:22" x14ac:dyDescent="0.3">
      <c r="A2597" s="222"/>
      <c r="B2597" s="235"/>
      <c r="C2597" s="227"/>
      <c r="D2597" s="344"/>
      <c r="E2597" s="235"/>
      <c r="F2597" s="235"/>
      <c r="G2597" s="227"/>
      <c r="H2597" s="227"/>
      <c r="I2597" s="350"/>
      <c r="J2597" s="227"/>
      <c r="K2597" s="227"/>
      <c r="L2597" s="224"/>
      <c r="M2597" s="224"/>
      <c r="N2597" s="224"/>
      <c r="O2597" s="224"/>
      <c r="P2597" s="224"/>
      <c r="Q2597" s="224"/>
      <c r="R2597" s="224"/>
      <c r="S2597" s="224"/>
      <c r="T2597" s="224"/>
      <c r="U2597" s="224"/>
      <c r="V2597" s="224"/>
    </row>
    <row r="2598" spans="1:22" x14ac:dyDescent="0.3">
      <c r="A2598" s="222"/>
      <c r="B2598" s="235"/>
      <c r="C2598" s="227"/>
      <c r="D2598" s="344"/>
      <c r="E2598" s="235"/>
      <c r="F2598" s="235"/>
      <c r="G2598" s="227"/>
      <c r="H2598" s="227"/>
      <c r="I2598" s="350"/>
      <c r="J2598" s="227"/>
      <c r="K2598" s="227"/>
      <c r="L2598" s="224"/>
      <c r="M2598" s="224"/>
      <c r="N2598" s="224"/>
      <c r="O2598" s="224"/>
      <c r="P2598" s="224"/>
      <c r="Q2598" s="224"/>
      <c r="R2598" s="224"/>
      <c r="S2598" s="224"/>
      <c r="T2598" s="224"/>
      <c r="U2598" s="224"/>
      <c r="V2598" s="224"/>
    </row>
    <row r="2599" spans="1:22" x14ac:dyDescent="0.3">
      <c r="A2599" s="222"/>
      <c r="B2599" s="235"/>
      <c r="C2599" s="227"/>
      <c r="D2599" s="344"/>
      <c r="E2599" s="235"/>
      <c r="F2599" s="235"/>
      <c r="G2599" s="227"/>
      <c r="H2599" s="227"/>
      <c r="I2599" s="350"/>
      <c r="J2599" s="227"/>
      <c r="K2599" s="227"/>
      <c r="L2599" s="224"/>
      <c r="M2599" s="224"/>
      <c r="N2599" s="224"/>
      <c r="O2599" s="224"/>
      <c r="P2599" s="224"/>
      <c r="Q2599" s="224"/>
      <c r="R2599" s="224"/>
      <c r="S2599" s="224"/>
      <c r="T2599" s="224"/>
      <c r="U2599" s="224"/>
      <c r="V2599" s="224"/>
    </row>
    <row r="2600" spans="1:22" x14ac:dyDescent="0.3">
      <c r="A2600" s="222"/>
      <c r="B2600" s="235"/>
      <c r="C2600" s="227"/>
      <c r="D2600" s="344"/>
      <c r="E2600" s="235"/>
      <c r="F2600" s="235"/>
      <c r="G2600" s="227"/>
      <c r="H2600" s="227"/>
      <c r="I2600" s="350"/>
      <c r="J2600" s="227"/>
      <c r="K2600" s="227"/>
      <c r="L2600" s="224"/>
      <c r="M2600" s="224"/>
      <c r="N2600" s="224"/>
      <c r="O2600" s="224"/>
      <c r="P2600" s="224"/>
      <c r="Q2600" s="224"/>
      <c r="R2600" s="224"/>
      <c r="S2600" s="224"/>
      <c r="T2600" s="224"/>
      <c r="U2600" s="224"/>
      <c r="V2600" s="224"/>
    </row>
    <row r="2601" spans="1:22" x14ac:dyDescent="0.3">
      <c r="A2601" s="222"/>
      <c r="B2601" s="235"/>
      <c r="C2601" s="227"/>
      <c r="D2601" s="344"/>
      <c r="E2601" s="235"/>
      <c r="F2601" s="235"/>
      <c r="G2601" s="227"/>
      <c r="H2601" s="227"/>
      <c r="I2601" s="350"/>
      <c r="J2601" s="227"/>
      <c r="K2601" s="227"/>
      <c r="L2601" s="224"/>
      <c r="M2601" s="224"/>
      <c r="N2601" s="224"/>
      <c r="O2601" s="224"/>
      <c r="P2601" s="224"/>
      <c r="Q2601" s="224"/>
      <c r="R2601" s="224"/>
      <c r="S2601" s="224"/>
      <c r="T2601" s="224"/>
      <c r="U2601" s="224"/>
      <c r="V2601" s="224"/>
    </row>
    <row r="2602" spans="1:22" x14ac:dyDescent="0.3">
      <c r="A2602" s="222"/>
      <c r="B2602" s="235"/>
      <c r="C2602" s="227"/>
      <c r="D2602" s="344"/>
      <c r="E2602" s="235"/>
      <c r="F2602" s="235"/>
      <c r="G2602" s="227"/>
      <c r="H2602" s="227"/>
      <c r="I2602" s="350"/>
      <c r="J2602" s="227"/>
      <c r="K2602" s="227"/>
      <c r="L2602" s="224"/>
      <c r="M2602" s="224"/>
      <c r="N2602" s="224"/>
      <c r="O2602" s="224"/>
      <c r="P2602" s="224"/>
      <c r="Q2602" s="224"/>
      <c r="R2602" s="224"/>
      <c r="S2602" s="224"/>
      <c r="T2602" s="224"/>
      <c r="U2602" s="224"/>
      <c r="V2602" s="224"/>
    </row>
    <row r="2603" spans="1:22" x14ac:dyDescent="0.3">
      <c r="A2603" s="222"/>
      <c r="B2603" s="235"/>
      <c r="C2603" s="227"/>
      <c r="D2603" s="344"/>
      <c r="E2603" s="235"/>
      <c r="F2603" s="235"/>
      <c r="G2603" s="227"/>
      <c r="H2603" s="227"/>
      <c r="I2603" s="350"/>
      <c r="J2603" s="227"/>
      <c r="K2603" s="227"/>
      <c r="L2603" s="224"/>
      <c r="M2603" s="224"/>
      <c r="N2603" s="224"/>
      <c r="O2603" s="224"/>
      <c r="P2603" s="224"/>
      <c r="Q2603" s="224"/>
      <c r="R2603" s="224"/>
      <c r="S2603" s="224"/>
      <c r="T2603" s="224"/>
      <c r="U2603" s="224"/>
      <c r="V2603" s="224"/>
    </row>
    <row r="2604" spans="1:22" x14ac:dyDescent="0.3">
      <c r="A2604" s="222"/>
      <c r="B2604" s="235"/>
      <c r="C2604" s="227"/>
      <c r="D2604" s="344"/>
      <c r="E2604" s="235"/>
      <c r="F2604" s="235"/>
      <c r="G2604" s="227"/>
      <c r="H2604" s="227"/>
      <c r="I2604" s="350"/>
      <c r="J2604" s="227"/>
      <c r="K2604" s="227"/>
      <c r="L2604" s="224"/>
      <c r="M2604" s="224"/>
      <c r="N2604" s="224"/>
      <c r="O2604" s="224"/>
      <c r="P2604" s="224"/>
      <c r="Q2604" s="224"/>
      <c r="R2604" s="224"/>
      <c r="S2604" s="224"/>
      <c r="T2604" s="224"/>
      <c r="U2604" s="224"/>
      <c r="V2604" s="224"/>
    </row>
    <row r="2605" spans="1:22" x14ac:dyDescent="0.3">
      <c r="A2605" s="222"/>
      <c r="B2605" s="235"/>
      <c r="C2605" s="227"/>
      <c r="D2605" s="344"/>
      <c r="E2605" s="235"/>
      <c r="F2605" s="235"/>
      <c r="G2605" s="227"/>
      <c r="H2605" s="227"/>
      <c r="I2605" s="350"/>
      <c r="J2605" s="227"/>
      <c r="K2605" s="227"/>
      <c r="L2605" s="224"/>
      <c r="M2605" s="224"/>
      <c r="N2605" s="224"/>
      <c r="O2605" s="224"/>
      <c r="P2605" s="224"/>
      <c r="Q2605" s="224"/>
      <c r="R2605" s="224"/>
      <c r="S2605" s="224"/>
      <c r="T2605" s="224"/>
      <c r="U2605" s="224"/>
      <c r="V2605" s="224"/>
    </row>
    <row r="2606" spans="1:22" x14ac:dyDescent="0.3">
      <c r="A2606" s="222"/>
      <c r="B2606" s="235"/>
      <c r="C2606" s="227"/>
      <c r="D2606" s="344"/>
      <c r="E2606" s="235"/>
      <c r="F2606" s="235"/>
      <c r="G2606" s="227"/>
      <c r="H2606" s="227"/>
      <c r="I2606" s="350"/>
      <c r="J2606" s="227"/>
      <c r="K2606" s="227"/>
      <c r="L2606" s="224"/>
      <c r="M2606" s="224"/>
      <c r="N2606" s="224"/>
      <c r="O2606" s="224"/>
      <c r="P2606" s="224"/>
      <c r="Q2606" s="224"/>
      <c r="R2606" s="224"/>
      <c r="S2606" s="224"/>
      <c r="T2606" s="224"/>
      <c r="U2606" s="224"/>
      <c r="V2606" s="224"/>
    </row>
    <row r="2607" spans="1:22" x14ac:dyDescent="0.3">
      <c r="A2607" s="222"/>
      <c r="B2607" s="235"/>
      <c r="C2607" s="227"/>
      <c r="D2607" s="344"/>
      <c r="E2607" s="235"/>
      <c r="F2607" s="235"/>
      <c r="G2607" s="227"/>
      <c r="H2607" s="227"/>
      <c r="I2607" s="350"/>
      <c r="J2607" s="227"/>
      <c r="K2607" s="227"/>
      <c r="L2607" s="224"/>
      <c r="M2607" s="224"/>
      <c r="N2607" s="224"/>
      <c r="O2607" s="224"/>
      <c r="P2607" s="224"/>
      <c r="Q2607" s="224"/>
      <c r="R2607" s="224"/>
      <c r="S2607" s="224"/>
      <c r="T2607" s="224"/>
      <c r="U2607" s="224"/>
      <c r="V2607" s="224"/>
    </row>
    <row r="2608" spans="1:22" x14ac:dyDescent="0.3">
      <c r="A2608" s="222"/>
      <c r="B2608" s="235"/>
      <c r="C2608" s="227"/>
      <c r="D2608" s="344"/>
      <c r="E2608" s="235"/>
      <c r="F2608" s="235"/>
      <c r="G2608" s="227"/>
      <c r="H2608" s="227"/>
      <c r="I2608" s="350"/>
      <c r="J2608" s="227"/>
      <c r="K2608" s="227"/>
      <c r="L2608" s="224"/>
      <c r="M2608" s="224"/>
      <c r="N2608" s="224"/>
      <c r="O2608" s="224"/>
      <c r="P2608" s="224"/>
      <c r="Q2608" s="224"/>
      <c r="R2608" s="224"/>
      <c r="S2608" s="224"/>
      <c r="T2608" s="224"/>
      <c r="U2608" s="224"/>
      <c r="V2608" s="224"/>
    </row>
    <row r="2609" spans="1:22" x14ac:dyDescent="0.3">
      <c r="A2609" s="222"/>
      <c r="B2609" s="235"/>
      <c r="C2609" s="227"/>
      <c r="D2609" s="344"/>
      <c r="E2609" s="235"/>
      <c r="F2609" s="235"/>
      <c r="G2609" s="227"/>
      <c r="H2609" s="227"/>
      <c r="I2609" s="350"/>
      <c r="J2609" s="227"/>
      <c r="K2609" s="227"/>
      <c r="L2609" s="224"/>
      <c r="M2609" s="224"/>
      <c r="N2609" s="224"/>
      <c r="O2609" s="224"/>
      <c r="P2609" s="224"/>
      <c r="Q2609" s="224"/>
      <c r="R2609" s="224"/>
      <c r="S2609" s="224"/>
      <c r="T2609" s="224"/>
      <c r="U2609" s="224"/>
      <c r="V2609" s="224"/>
    </row>
    <row r="2610" spans="1:22" x14ac:dyDescent="0.3">
      <c r="A2610" s="222"/>
      <c r="B2610" s="235"/>
      <c r="C2610" s="227"/>
      <c r="D2610" s="344"/>
      <c r="E2610" s="235"/>
      <c r="F2610" s="235"/>
      <c r="G2610" s="227"/>
      <c r="H2610" s="227"/>
      <c r="I2610" s="350"/>
      <c r="J2610" s="227"/>
      <c r="K2610" s="227"/>
      <c r="L2610" s="224"/>
      <c r="M2610" s="224"/>
      <c r="N2610" s="224"/>
      <c r="O2610" s="224"/>
      <c r="P2610" s="224"/>
      <c r="Q2610" s="224"/>
      <c r="R2610" s="224"/>
      <c r="S2610" s="224"/>
      <c r="T2610" s="224"/>
      <c r="U2610" s="224"/>
      <c r="V2610" s="224"/>
    </row>
    <row r="2611" spans="1:22" x14ac:dyDescent="0.3">
      <c r="A2611" s="222"/>
      <c r="B2611" s="235"/>
      <c r="C2611" s="227"/>
      <c r="D2611" s="344"/>
      <c r="E2611" s="235"/>
      <c r="F2611" s="235"/>
      <c r="G2611" s="227"/>
      <c r="H2611" s="227"/>
      <c r="I2611" s="350"/>
      <c r="J2611" s="227"/>
      <c r="K2611" s="227"/>
      <c r="L2611" s="224"/>
      <c r="M2611" s="224"/>
      <c r="N2611" s="224"/>
      <c r="O2611" s="224"/>
      <c r="P2611" s="224"/>
      <c r="Q2611" s="224"/>
      <c r="R2611" s="224"/>
      <c r="S2611" s="224"/>
      <c r="T2611" s="224"/>
      <c r="U2611" s="224"/>
      <c r="V2611" s="224"/>
    </row>
    <row r="2612" spans="1:22" x14ac:dyDescent="0.3">
      <c r="A2612" s="222"/>
      <c r="B2612" s="235"/>
      <c r="C2612" s="227"/>
      <c r="D2612" s="344"/>
      <c r="E2612" s="235"/>
      <c r="F2612" s="235"/>
      <c r="G2612" s="227"/>
      <c r="H2612" s="227"/>
      <c r="I2612" s="350"/>
      <c r="J2612" s="227"/>
      <c r="K2612" s="227"/>
      <c r="L2612" s="224"/>
      <c r="M2612" s="224"/>
      <c r="N2612" s="224"/>
      <c r="O2612" s="224"/>
      <c r="P2612" s="224"/>
      <c r="Q2612" s="224"/>
      <c r="R2612" s="224"/>
      <c r="S2612" s="224"/>
      <c r="T2612" s="224"/>
      <c r="U2612" s="224"/>
      <c r="V2612" s="224"/>
    </row>
    <row r="2613" spans="1:22" x14ac:dyDescent="0.3">
      <c r="A2613" s="222"/>
      <c r="B2613" s="235"/>
      <c r="C2613" s="227"/>
      <c r="D2613" s="344"/>
      <c r="E2613" s="235"/>
      <c r="F2613" s="235"/>
      <c r="G2613" s="227"/>
      <c r="H2613" s="227"/>
      <c r="I2613" s="350"/>
      <c r="J2613" s="227"/>
      <c r="K2613" s="227"/>
      <c r="L2613" s="224"/>
      <c r="M2613" s="224"/>
      <c r="N2613" s="224"/>
      <c r="O2613" s="224"/>
      <c r="P2613" s="224"/>
      <c r="Q2613" s="224"/>
      <c r="R2613" s="224"/>
      <c r="S2613" s="224"/>
      <c r="T2613" s="224"/>
      <c r="U2613" s="224"/>
      <c r="V2613" s="224"/>
    </row>
    <row r="2614" spans="1:22" x14ac:dyDescent="0.3">
      <c r="A2614" s="222"/>
      <c r="B2614" s="235"/>
      <c r="C2614" s="227"/>
      <c r="D2614" s="344"/>
      <c r="E2614" s="235"/>
      <c r="F2614" s="235"/>
      <c r="G2614" s="227"/>
      <c r="H2614" s="227"/>
      <c r="I2614" s="350"/>
      <c r="J2614" s="227"/>
      <c r="K2614" s="227"/>
      <c r="L2614" s="224"/>
      <c r="M2614" s="224"/>
      <c r="N2614" s="224"/>
      <c r="O2614" s="224"/>
      <c r="P2614" s="224"/>
      <c r="Q2614" s="224"/>
      <c r="R2614" s="224"/>
      <c r="S2614" s="224"/>
      <c r="T2614" s="224"/>
      <c r="U2614" s="224"/>
      <c r="V2614" s="224"/>
    </row>
    <row r="2615" spans="1:22" x14ac:dyDescent="0.3">
      <c r="A2615" s="222"/>
      <c r="B2615" s="235"/>
      <c r="C2615" s="227"/>
      <c r="D2615" s="344"/>
      <c r="E2615" s="235"/>
      <c r="F2615" s="235"/>
      <c r="G2615" s="227"/>
      <c r="H2615" s="227"/>
      <c r="I2615" s="350"/>
      <c r="J2615" s="227"/>
      <c r="K2615" s="227"/>
      <c r="L2615" s="224"/>
      <c r="M2615" s="224"/>
      <c r="N2615" s="224"/>
      <c r="O2615" s="224"/>
      <c r="P2615" s="224"/>
      <c r="Q2615" s="224"/>
      <c r="R2615" s="224"/>
      <c r="S2615" s="224"/>
      <c r="T2615" s="224"/>
      <c r="U2615" s="224"/>
      <c r="V2615" s="224"/>
    </row>
    <row r="2616" spans="1:22" x14ac:dyDescent="0.3">
      <c r="A2616" s="222"/>
      <c r="B2616" s="235"/>
      <c r="C2616" s="227"/>
      <c r="D2616" s="344"/>
      <c r="E2616" s="235"/>
      <c r="F2616" s="235"/>
      <c r="G2616" s="227"/>
      <c r="H2616" s="227"/>
      <c r="I2616" s="350"/>
      <c r="J2616" s="227"/>
      <c r="K2616" s="227"/>
      <c r="L2616" s="224"/>
      <c r="M2616" s="224"/>
      <c r="N2616" s="224"/>
      <c r="O2616" s="224"/>
      <c r="P2616" s="224"/>
      <c r="Q2616" s="224"/>
      <c r="R2616" s="224"/>
      <c r="S2616" s="224"/>
      <c r="T2616" s="224"/>
      <c r="U2616" s="224"/>
      <c r="V2616" s="224"/>
    </row>
    <row r="2617" spans="1:22" x14ac:dyDescent="0.3">
      <c r="A2617" s="222"/>
      <c r="B2617" s="235"/>
      <c r="C2617" s="227"/>
      <c r="D2617" s="344"/>
      <c r="E2617" s="235"/>
      <c r="F2617" s="235"/>
      <c r="G2617" s="227"/>
      <c r="H2617" s="227"/>
      <c r="I2617" s="350"/>
      <c r="J2617" s="227"/>
      <c r="K2617" s="227"/>
      <c r="L2617" s="224"/>
      <c r="M2617" s="224"/>
      <c r="N2617" s="224"/>
      <c r="O2617" s="224"/>
      <c r="P2617" s="224"/>
      <c r="Q2617" s="224"/>
      <c r="R2617" s="224"/>
      <c r="S2617" s="224"/>
      <c r="T2617" s="224"/>
      <c r="U2617" s="224"/>
      <c r="V2617" s="224"/>
    </row>
    <row r="2618" spans="1:22" x14ac:dyDescent="0.3">
      <c r="A2618" s="222"/>
      <c r="B2618" s="235"/>
      <c r="C2618" s="227"/>
      <c r="D2618" s="344"/>
      <c r="E2618" s="235"/>
      <c r="F2618" s="235"/>
      <c r="G2618" s="227"/>
      <c r="H2618" s="227"/>
      <c r="I2618" s="350"/>
      <c r="J2618" s="227"/>
      <c r="K2618" s="227"/>
      <c r="L2618" s="224"/>
      <c r="M2618" s="224"/>
      <c r="N2618" s="224"/>
      <c r="O2618" s="224"/>
      <c r="P2618" s="224"/>
      <c r="Q2618" s="224"/>
      <c r="R2618" s="224"/>
      <c r="S2618" s="224"/>
      <c r="T2618" s="224"/>
      <c r="U2618" s="224"/>
      <c r="V2618" s="224"/>
    </row>
    <row r="2619" spans="1:22" x14ac:dyDescent="0.3">
      <c r="A2619" s="222"/>
      <c r="B2619" s="235"/>
      <c r="C2619" s="227"/>
      <c r="D2619" s="344"/>
      <c r="E2619" s="235"/>
      <c r="F2619" s="235"/>
      <c r="G2619" s="227"/>
      <c r="H2619" s="227"/>
      <c r="I2619" s="350"/>
      <c r="J2619" s="227"/>
      <c r="K2619" s="227"/>
      <c r="L2619" s="224"/>
      <c r="M2619" s="224"/>
      <c r="N2619" s="224"/>
      <c r="O2619" s="224"/>
      <c r="P2619" s="224"/>
      <c r="Q2619" s="224"/>
      <c r="R2619" s="224"/>
      <c r="S2619" s="224"/>
      <c r="T2619" s="224"/>
      <c r="U2619" s="224"/>
      <c r="V2619" s="224"/>
    </row>
    <row r="2620" spans="1:22" x14ac:dyDescent="0.3">
      <c r="A2620" s="222"/>
      <c r="B2620" s="235"/>
      <c r="C2620" s="227"/>
      <c r="D2620" s="344"/>
      <c r="E2620" s="235"/>
      <c r="F2620" s="235"/>
      <c r="G2620" s="227"/>
      <c r="H2620" s="227"/>
      <c r="I2620" s="350"/>
      <c r="J2620" s="227"/>
      <c r="K2620" s="227"/>
      <c r="L2620" s="224"/>
      <c r="M2620" s="224"/>
      <c r="N2620" s="224"/>
      <c r="O2620" s="224"/>
      <c r="P2620" s="224"/>
      <c r="Q2620" s="224"/>
      <c r="R2620" s="224"/>
      <c r="S2620" s="224"/>
      <c r="T2620" s="224"/>
      <c r="U2620" s="224"/>
      <c r="V2620" s="224"/>
    </row>
    <row r="2621" spans="1:22" x14ac:dyDescent="0.3">
      <c r="A2621" s="222"/>
      <c r="B2621" s="235"/>
      <c r="C2621" s="227"/>
      <c r="D2621" s="344"/>
      <c r="E2621" s="235"/>
      <c r="F2621" s="235"/>
      <c r="G2621" s="227"/>
      <c r="H2621" s="227"/>
      <c r="I2621" s="350"/>
      <c r="J2621" s="227"/>
      <c r="K2621" s="227"/>
      <c r="L2621" s="224"/>
      <c r="M2621" s="224"/>
      <c r="N2621" s="224"/>
      <c r="O2621" s="224"/>
      <c r="P2621" s="224"/>
      <c r="Q2621" s="224"/>
      <c r="R2621" s="224"/>
      <c r="S2621" s="224"/>
      <c r="T2621" s="224"/>
      <c r="U2621" s="224"/>
      <c r="V2621" s="224"/>
    </row>
    <row r="2622" spans="1:22" x14ac:dyDescent="0.3">
      <c r="A2622" s="222"/>
      <c r="B2622" s="235"/>
      <c r="C2622" s="227"/>
      <c r="D2622" s="344"/>
      <c r="E2622" s="235"/>
      <c r="F2622" s="235"/>
      <c r="G2622" s="227"/>
      <c r="H2622" s="227"/>
      <c r="I2622" s="350"/>
      <c r="J2622" s="227"/>
      <c r="K2622" s="227"/>
      <c r="L2622" s="224"/>
      <c r="M2622" s="224"/>
      <c r="N2622" s="224"/>
      <c r="O2622" s="224"/>
      <c r="P2622" s="224"/>
      <c r="Q2622" s="224"/>
      <c r="R2622" s="224"/>
      <c r="S2622" s="224"/>
      <c r="T2622" s="224"/>
      <c r="U2622" s="224"/>
      <c r="V2622" s="224"/>
    </row>
    <row r="2623" spans="1:22" x14ac:dyDescent="0.3">
      <c r="A2623" s="222"/>
      <c r="B2623" s="235"/>
      <c r="C2623" s="227"/>
      <c r="D2623" s="344"/>
      <c r="E2623" s="235"/>
      <c r="F2623" s="235"/>
      <c r="G2623" s="227"/>
      <c r="H2623" s="227"/>
      <c r="I2623" s="350"/>
      <c r="J2623" s="227"/>
      <c r="K2623" s="227"/>
      <c r="L2623" s="224"/>
      <c r="M2623" s="224"/>
      <c r="N2623" s="224"/>
      <c r="O2623" s="224"/>
      <c r="P2623" s="224"/>
      <c r="Q2623" s="224"/>
      <c r="R2623" s="224"/>
      <c r="S2623" s="224"/>
      <c r="T2623" s="224"/>
      <c r="U2623" s="224"/>
      <c r="V2623" s="224"/>
    </row>
    <row r="2624" spans="1:22" x14ac:dyDescent="0.3">
      <c r="A2624" s="222"/>
      <c r="B2624" s="235"/>
      <c r="C2624" s="227"/>
      <c r="D2624" s="344"/>
      <c r="E2624" s="235"/>
      <c r="F2624" s="235"/>
      <c r="G2624" s="227"/>
      <c r="H2624" s="227"/>
      <c r="I2624" s="350"/>
      <c r="J2624" s="227"/>
      <c r="K2624" s="227"/>
      <c r="L2624" s="224"/>
      <c r="M2624" s="224"/>
      <c r="N2624" s="224"/>
      <c r="O2624" s="224"/>
      <c r="P2624" s="224"/>
      <c r="Q2624" s="224"/>
      <c r="R2624" s="224"/>
      <c r="S2624" s="224"/>
      <c r="T2624" s="224"/>
      <c r="U2624" s="224"/>
      <c r="V2624" s="224"/>
    </row>
    <row r="2625" spans="1:22" x14ac:dyDescent="0.3">
      <c r="A2625" s="222"/>
      <c r="B2625" s="235"/>
      <c r="C2625" s="227"/>
      <c r="D2625" s="344"/>
      <c r="E2625" s="235"/>
      <c r="F2625" s="235"/>
      <c r="G2625" s="227"/>
      <c r="H2625" s="227"/>
      <c r="I2625" s="350"/>
      <c r="J2625" s="227"/>
      <c r="K2625" s="227"/>
      <c r="L2625" s="224"/>
      <c r="M2625" s="224"/>
      <c r="N2625" s="224"/>
      <c r="O2625" s="224"/>
      <c r="P2625" s="224"/>
      <c r="Q2625" s="224"/>
      <c r="R2625" s="224"/>
      <c r="S2625" s="224"/>
      <c r="T2625" s="224"/>
      <c r="U2625" s="224"/>
      <c r="V2625" s="224"/>
    </row>
    <row r="2626" spans="1:22" x14ac:dyDescent="0.3">
      <c r="A2626" s="222"/>
      <c r="B2626" s="235"/>
      <c r="C2626" s="227"/>
      <c r="D2626" s="344"/>
      <c r="E2626" s="235"/>
      <c r="F2626" s="235"/>
      <c r="G2626" s="227"/>
      <c r="H2626" s="227"/>
      <c r="I2626" s="350"/>
      <c r="J2626" s="227"/>
      <c r="K2626" s="227"/>
      <c r="L2626" s="224"/>
      <c r="M2626" s="224"/>
      <c r="N2626" s="224"/>
      <c r="O2626" s="224"/>
      <c r="P2626" s="224"/>
      <c r="Q2626" s="224"/>
      <c r="R2626" s="224"/>
      <c r="S2626" s="224"/>
      <c r="T2626" s="224"/>
      <c r="U2626" s="224"/>
      <c r="V2626" s="224"/>
    </row>
    <row r="2627" spans="1:22" x14ac:dyDescent="0.3">
      <c r="A2627" s="222"/>
      <c r="B2627" s="235"/>
      <c r="C2627" s="227"/>
      <c r="D2627" s="344"/>
      <c r="E2627" s="235"/>
      <c r="F2627" s="235"/>
      <c r="G2627" s="227"/>
      <c r="H2627" s="227"/>
      <c r="I2627" s="350"/>
      <c r="J2627" s="227"/>
      <c r="K2627" s="227"/>
      <c r="L2627" s="224"/>
      <c r="M2627" s="224"/>
      <c r="N2627" s="224"/>
      <c r="O2627" s="224"/>
      <c r="P2627" s="224"/>
      <c r="Q2627" s="224"/>
      <c r="R2627" s="224"/>
      <c r="S2627" s="224"/>
      <c r="T2627" s="224"/>
      <c r="U2627" s="224"/>
      <c r="V2627" s="224"/>
    </row>
    <row r="2628" spans="1:22" x14ac:dyDescent="0.3">
      <c r="A2628" s="222"/>
      <c r="B2628" s="235"/>
      <c r="C2628" s="227"/>
      <c r="D2628" s="344"/>
      <c r="E2628" s="235"/>
      <c r="F2628" s="235"/>
      <c r="G2628" s="227"/>
      <c r="H2628" s="227"/>
      <c r="I2628" s="350"/>
      <c r="J2628" s="227"/>
      <c r="K2628" s="227"/>
      <c r="L2628" s="224"/>
      <c r="M2628" s="224"/>
      <c r="N2628" s="224"/>
      <c r="O2628" s="224"/>
      <c r="P2628" s="224"/>
      <c r="Q2628" s="224"/>
      <c r="R2628" s="224"/>
      <c r="S2628" s="224"/>
      <c r="T2628" s="224"/>
      <c r="U2628" s="224"/>
      <c r="V2628" s="224"/>
    </row>
    <row r="2629" spans="1:22" x14ac:dyDescent="0.3">
      <c r="A2629" s="222"/>
      <c r="B2629" s="235"/>
      <c r="C2629" s="227"/>
      <c r="D2629" s="344"/>
      <c r="E2629" s="235"/>
      <c r="F2629" s="235"/>
      <c r="G2629" s="227"/>
      <c r="H2629" s="227"/>
      <c r="I2629" s="350"/>
      <c r="J2629" s="227"/>
      <c r="K2629" s="227"/>
      <c r="L2629" s="224"/>
      <c r="M2629" s="224"/>
      <c r="N2629" s="224"/>
      <c r="O2629" s="224"/>
      <c r="P2629" s="224"/>
      <c r="Q2629" s="224"/>
      <c r="R2629" s="224"/>
      <c r="S2629" s="224"/>
      <c r="T2629" s="224"/>
      <c r="U2629" s="224"/>
      <c r="V2629" s="224"/>
    </row>
    <row r="2630" spans="1:22" x14ac:dyDescent="0.3">
      <c r="A2630" s="222"/>
      <c r="B2630" s="235"/>
      <c r="C2630" s="227"/>
      <c r="D2630" s="344"/>
      <c r="E2630" s="235"/>
      <c r="F2630" s="235"/>
      <c r="G2630" s="227"/>
      <c r="H2630" s="227"/>
      <c r="I2630" s="350"/>
      <c r="J2630" s="227"/>
      <c r="K2630" s="227"/>
      <c r="L2630" s="224"/>
      <c r="M2630" s="224"/>
      <c r="N2630" s="224"/>
      <c r="O2630" s="224"/>
      <c r="P2630" s="224"/>
      <c r="Q2630" s="224"/>
      <c r="R2630" s="224"/>
      <c r="S2630" s="224"/>
      <c r="T2630" s="224"/>
      <c r="U2630" s="224"/>
      <c r="V2630" s="224"/>
    </row>
    <row r="2631" spans="1:22" x14ac:dyDescent="0.3">
      <c r="A2631" s="222"/>
      <c r="B2631" s="235"/>
      <c r="C2631" s="227"/>
      <c r="D2631" s="344"/>
      <c r="E2631" s="235"/>
      <c r="F2631" s="235"/>
      <c r="G2631" s="227"/>
      <c r="H2631" s="227"/>
      <c r="I2631" s="350"/>
      <c r="J2631" s="227"/>
      <c r="K2631" s="227"/>
      <c r="L2631" s="224"/>
      <c r="M2631" s="224"/>
      <c r="N2631" s="224"/>
      <c r="O2631" s="224"/>
      <c r="P2631" s="224"/>
      <c r="Q2631" s="224"/>
      <c r="R2631" s="224"/>
      <c r="S2631" s="224"/>
      <c r="T2631" s="224"/>
      <c r="U2631" s="224"/>
      <c r="V2631" s="224"/>
    </row>
    <row r="2632" spans="1:22" x14ac:dyDescent="0.3">
      <c r="A2632" s="222"/>
      <c r="B2632" s="235"/>
      <c r="C2632" s="227"/>
      <c r="D2632" s="344"/>
      <c r="E2632" s="235"/>
      <c r="F2632" s="235"/>
      <c r="G2632" s="227"/>
      <c r="H2632" s="227"/>
      <c r="I2632" s="350"/>
      <c r="J2632" s="227"/>
      <c r="K2632" s="227"/>
      <c r="L2632" s="224"/>
      <c r="M2632" s="224"/>
      <c r="N2632" s="224"/>
      <c r="O2632" s="224"/>
      <c r="P2632" s="224"/>
      <c r="Q2632" s="224"/>
      <c r="R2632" s="224"/>
      <c r="S2632" s="224"/>
      <c r="T2632" s="224"/>
      <c r="U2632" s="224"/>
      <c r="V2632" s="224"/>
    </row>
    <row r="2633" spans="1:22" x14ac:dyDescent="0.3">
      <c r="A2633" s="222"/>
      <c r="B2633" s="235"/>
      <c r="C2633" s="227"/>
      <c r="D2633" s="344"/>
      <c r="E2633" s="235"/>
      <c r="F2633" s="235"/>
      <c r="G2633" s="227"/>
      <c r="H2633" s="227"/>
      <c r="I2633" s="350"/>
      <c r="J2633" s="227"/>
      <c r="K2633" s="227"/>
      <c r="L2633" s="224"/>
      <c r="M2633" s="224"/>
      <c r="N2633" s="224"/>
      <c r="O2633" s="224"/>
      <c r="P2633" s="224"/>
      <c r="Q2633" s="224"/>
      <c r="R2633" s="224"/>
      <c r="S2633" s="224"/>
      <c r="T2633" s="224"/>
      <c r="U2633" s="224"/>
      <c r="V2633" s="224"/>
    </row>
    <row r="2634" spans="1:22" x14ac:dyDescent="0.3">
      <c r="A2634" s="222"/>
      <c r="B2634" s="235"/>
      <c r="C2634" s="227"/>
      <c r="D2634" s="344"/>
      <c r="E2634" s="235"/>
      <c r="F2634" s="235"/>
      <c r="G2634" s="227"/>
      <c r="H2634" s="227"/>
      <c r="I2634" s="350"/>
      <c r="J2634" s="227"/>
      <c r="K2634" s="227"/>
      <c r="L2634" s="224"/>
      <c r="M2634" s="224"/>
      <c r="N2634" s="224"/>
      <c r="O2634" s="224"/>
      <c r="P2634" s="224"/>
      <c r="Q2634" s="224"/>
      <c r="R2634" s="224"/>
      <c r="S2634" s="224"/>
      <c r="T2634" s="224"/>
      <c r="U2634" s="224"/>
      <c r="V2634" s="224"/>
    </row>
    <row r="2635" spans="1:22" x14ac:dyDescent="0.3">
      <c r="A2635" s="222"/>
      <c r="B2635" s="235"/>
      <c r="C2635" s="227"/>
      <c r="D2635" s="344"/>
      <c r="E2635" s="235"/>
      <c r="F2635" s="235"/>
      <c r="G2635" s="227"/>
      <c r="H2635" s="227"/>
      <c r="I2635" s="350"/>
      <c r="J2635" s="227"/>
      <c r="K2635" s="227"/>
      <c r="L2635" s="224"/>
      <c r="M2635" s="224"/>
      <c r="N2635" s="224"/>
      <c r="O2635" s="224"/>
      <c r="P2635" s="224"/>
      <c r="Q2635" s="224"/>
      <c r="R2635" s="224"/>
      <c r="S2635" s="224"/>
      <c r="T2635" s="224"/>
      <c r="U2635" s="224"/>
      <c r="V2635" s="224"/>
    </row>
    <row r="2636" spans="1:22" x14ac:dyDescent="0.3">
      <c r="A2636" s="222"/>
      <c r="B2636" s="235"/>
      <c r="C2636" s="227"/>
      <c r="D2636" s="344"/>
      <c r="E2636" s="235"/>
      <c r="F2636" s="235"/>
      <c r="G2636" s="227"/>
      <c r="H2636" s="227"/>
      <c r="I2636" s="350"/>
      <c r="J2636" s="227"/>
      <c r="K2636" s="227"/>
      <c r="L2636" s="224"/>
      <c r="M2636" s="224"/>
      <c r="N2636" s="224"/>
      <c r="O2636" s="224"/>
      <c r="P2636" s="224"/>
      <c r="Q2636" s="224"/>
      <c r="R2636" s="224"/>
      <c r="S2636" s="224"/>
      <c r="T2636" s="224"/>
      <c r="U2636" s="224"/>
      <c r="V2636" s="224"/>
    </row>
    <row r="2637" spans="1:22" x14ac:dyDescent="0.3">
      <c r="A2637" s="222"/>
      <c r="B2637" s="235"/>
      <c r="C2637" s="227"/>
      <c r="D2637" s="344"/>
      <c r="E2637" s="235"/>
      <c r="F2637" s="235"/>
      <c r="G2637" s="227"/>
      <c r="H2637" s="227"/>
      <c r="I2637" s="350"/>
      <c r="J2637" s="227"/>
      <c r="K2637" s="227"/>
      <c r="L2637" s="224"/>
      <c r="M2637" s="224"/>
      <c r="N2637" s="224"/>
      <c r="O2637" s="224"/>
      <c r="P2637" s="224"/>
      <c r="Q2637" s="224"/>
      <c r="R2637" s="224"/>
      <c r="S2637" s="224"/>
      <c r="T2637" s="224"/>
      <c r="U2637" s="224"/>
      <c r="V2637" s="224"/>
    </row>
    <row r="2638" spans="1:22" x14ac:dyDescent="0.3">
      <c r="A2638" s="222"/>
      <c r="B2638" s="235"/>
      <c r="C2638" s="227"/>
      <c r="D2638" s="344"/>
      <c r="E2638" s="235"/>
      <c r="F2638" s="235"/>
      <c r="G2638" s="227"/>
      <c r="H2638" s="227"/>
      <c r="I2638" s="350"/>
      <c r="J2638" s="227"/>
      <c r="K2638" s="227"/>
      <c r="L2638" s="224"/>
      <c r="M2638" s="224"/>
      <c r="N2638" s="224"/>
      <c r="O2638" s="224"/>
      <c r="P2638" s="224"/>
      <c r="Q2638" s="224"/>
      <c r="R2638" s="224"/>
      <c r="S2638" s="224"/>
      <c r="T2638" s="224"/>
      <c r="U2638" s="224"/>
      <c r="V2638" s="224"/>
    </row>
    <row r="2639" spans="1:22" x14ac:dyDescent="0.3">
      <c r="A2639" s="222"/>
      <c r="B2639" s="235"/>
      <c r="C2639" s="227"/>
      <c r="D2639" s="344"/>
      <c r="E2639" s="235"/>
      <c r="F2639" s="235"/>
      <c r="G2639" s="227"/>
      <c r="H2639" s="227"/>
      <c r="I2639" s="350"/>
      <c r="J2639" s="227"/>
      <c r="K2639" s="227"/>
      <c r="L2639" s="224"/>
      <c r="M2639" s="224"/>
      <c r="N2639" s="224"/>
      <c r="O2639" s="224"/>
      <c r="P2639" s="224"/>
      <c r="Q2639" s="224"/>
      <c r="R2639" s="224"/>
      <c r="S2639" s="224"/>
      <c r="T2639" s="224"/>
      <c r="U2639" s="224"/>
      <c r="V2639" s="224"/>
    </row>
    <row r="2640" spans="1:22" x14ac:dyDescent="0.3">
      <c r="A2640" s="222"/>
      <c r="B2640" s="235"/>
      <c r="C2640" s="227"/>
      <c r="D2640" s="344"/>
      <c r="E2640" s="235"/>
      <c r="F2640" s="235"/>
      <c r="G2640" s="227"/>
      <c r="H2640" s="227"/>
      <c r="I2640" s="350"/>
      <c r="J2640" s="227"/>
      <c r="K2640" s="227"/>
      <c r="L2640" s="224"/>
      <c r="M2640" s="224"/>
      <c r="N2640" s="224"/>
      <c r="O2640" s="224"/>
      <c r="P2640" s="224"/>
      <c r="Q2640" s="224"/>
      <c r="R2640" s="224"/>
      <c r="S2640" s="224"/>
      <c r="T2640" s="224"/>
      <c r="U2640" s="224"/>
      <c r="V2640" s="224"/>
    </row>
    <row r="2641" spans="1:22" x14ac:dyDescent="0.3">
      <c r="A2641" s="222"/>
      <c r="B2641" s="235"/>
      <c r="C2641" s="227"/>
      <c r="D2641" s="344"/>
      <c r="E2641" s="235"/>
      <c r="F2641" s="235"/>
      <c r="G2641" s="227"/>
      <c r="H2641" s="227"/>
      <c r="I2641" s="350"/>
      <c r="J2641" s="227"/>
      <c r="K2641" s="227"/>
      <c r="L2641" s="224"/>
      <c r="M2641" s="224"/>
      <c r="N2641" s="224"/>
      <c r="O2641" s="224"/>
      <c r="P2641" s="224"/>
      <c r="Q2641" s="224"/>
      <c r="R2641" s="224"/>
      <c r="S2641" s="224"/>
      <c r="T2641" s="224"/>
      <c r="U2641" s="224"/>
      <c r="V2641" s="224"/>
    </row>
    <row r="2642" spans="1:22" x14ac:dyDescent="0.3">
      <c r="A2642" s="222"/>
      <c r="B2642" s="235"/>
      <c r="C2642" s="227"/>
      <c r="D2642" s="344"/>
      <c r="E2642" s="235"/>
      <c r="F2642" s="235"/>
      <c r="G2642" s="227"/>
      <c r="H2642" s="227"/>
      <c r="I2642" s="350"/>
      <c r="J2642" s="227"/>
      <c r="K2642" s="227"/>
      <c r="L2642" s="224"/>
      <c r="M2642" s="224"/>
      <c r="N2642" s="224"/>
      <c r="O2642" s="224"/>
      <c r="P2642" s="224"/>
      <c r="Q2642" s="224"/>
      <c r="R2642" s="224"/>
      <c r="S2642" s="224"/>
      <c r="T2642" s="224"/>
      <c r="U2642" s="224"/>
      <c r="V2642" s="224"/>
    </row>
    <row r="2643" spans="1:22" x14ac:dyDescent="0.3">
      <c r="A2643" s="222"/>
      <c r="B2643" s="235"/>
      <c r="C2643" s="227"/>
      <c r="D2643" s="344"/>
      <c r="E2643" s="235"/>
      <c r="F2643" s="235"/>
      <c r="G2643" s="227"/>
      <c r="H2643" s="227"/>
      <c r="I2643" s="350"/>
      <c r="J2643" s="227"/>
      <c r="K2643" s="227"/>
      <c r="L2643" s="224"/>
      <c r="M2643" s="224"/>
      <c r="N2643" s="224"/>
      <c r="O2643" s="224"/>
      <c r="P2643" s="224"/>
      <c r="Q2643" s="224"/>
      <c r="R2643" s="224"/>
      <c r="S2643" s="224"/>
      <c r="T2643" s="224"/>
      <c r="U2643" s="224"/>
      <c r="V2643" s="224"/>
    </row>
    <row r="2644" spans="1:22" x14ac:dyDescent="0.3">
      <c r="A2644" s="222"/>
      <c r="B2644" s="235"/>
      <c r="C2644" s="227"/>
      <c r="D2644" s="344"/>
      <c r="E2644" s="235"/>
      <c r="F2644" s="235"/>
      <c r="G2644" s="227"/>
      <c r="H2644" s="227"/>
      <c r="I2644" s="350"/>
      <c r="J2644" s="227"/>
      <c r="K2644" s="227"/>
      <c r="L2644" s="224"/>
      <c r="M2644" s="224"/>
      <c r="N2644" s="224"/>
      <c r="O2644" s="224"/>
      <c r="P2644" s="224"/>
      <c r="Q2644" s="224"/>
      <c r="R2644" s="224"/>
      <c r="S2644" s="224"/>
      <c r="T2644" s="224"/>
      <c r="U2644" s="224"/>
      <c r="V2644" s="224"/>
    </row>
    <row r="2645" spans="1:22" x14ac:dyDescent="0.3">
      <c r="A2645" s="222"/>
      <c r="B2645" s="235"/>
      <c r="C2645" s="227"/>
      <c r="D2645" s="344"/>
      <c r="E2645" s="235"/>
      <c r="F2645" s="235"/>
      <c r="G2645" s="227"/>
      <c r="H2645" s="227"/>
      <c r="I2645" s="350"/>
      <c r="J2645" s="227"/>
      <c r="K2645" s="227"/>
      <c r="L2645" s="224"/>
      <c r="M2645" s="224"/>
      <c r="N2645" s="224"/>
      <c r="O2645" s="224"/>
      <c r="P2645" s="224"/>
      <c r="Q2645" s="224"/>
      <c r="R2645" s="224"/>
      <c r="S2645" s="224"/>
      <c r="T2645" s="224"/>
      <c r="U2645" s="224"/>
      <c r="V2645" s="224"/>
    </row>
    <row r="2646" spans="1:22" x14ac:dyDescent="0.3">
      <c r="A2646" s="222"/>
      <c r="B2646" s="235"/>
      <c r="C2646" s="227"/>
      <c r="D2646" s="344"/>
      <c r="E2646" s="235"/>
      <c r="F2646" s="235"/>
      <c r="G2646" s="227"/>
      <c r="H2646" s="227"/>
      <c r="I2646" s="350"/>
      <c r="J2646" s="227"/>
      <c r="K2646" s="227"/>
      <c r="L2646" s="224"/>
      <c r="M2646" s="224"/>
      <c r="N2646" s="224"/>
      <c r="O2646" s="224"/>
      <c r="P2646" s="224"/>
      <c r="Q2646" s="224"/>
      <c r="R2646" s="224"/>
      <c r="S2646" s="224"/>
      <c r="T2646" s="224"/>
      <c r="U2646" s="224"/>
      <c r="V2646" s="224"/>
    </row>
    <row r="2647" spans="1:22" x14ac:dyDescent="0.3">
      <c r="A2647" s="222"/>
      <c r="B2647" s="235"/>
      <c r="C2647" s="227"/>
      <c r="D2647" s="344"/>
      <c r="E2647" s="235"/>
      <c r="F2647" s="235"/>
      <c r="G2647" s="227"/>
      <c r="H2647" s="227"/>
      <c r="I2647" s="350"/>
      <c r="J2647" s="227"/>
      <c r="K2647" s="227"/>
      <c r="L2647" s="224"/>
      <c r="M2647" s="224"/>
      <c r="N2647" s="224"/>
      <c r="O2647" s="224"/>
      <c r="P2647" s="224"/>
      <c r="Q2647" s="224"/>
      <c r="R2647" s="224"/>
      <c r="S2647" s="224"/>
      <c r="T2647" s="224"/>
      <c r="U2647" s="224"/>
      <c r="V2647" s="224"/>
    </row>
    <row r="2648" spans="1:22" x14ac:dyDescent="0.3">
      <c r="A2648" s="222"/>
      <c r="B2648" s="235"/>
      <c r="C2648" s="227"/>
      <c r="D2648" s="344"/>
      <c r="E2648" s="235"/>
      <c r="F2648" s="235"/>
      <c r="G2648" s="227"/>
      <c r="H2648" s="227"/>
      <c r="I2648" s="350"/>
      <c r="J2648" s="227"/>
      <c r="K2648" s="227"/>
      <c r="L2648" s="224"/>
      <c r="M2648" s="224"/>
      <c r="N2648" s="224"/>
      <c r="O2648" s="224"/>
      <c r="P2648" s="224"/>
      <c r="Q2648" s="224"/>
      <c r="R2648" s="224"/>
      <c r="S2648" s="224"/>
      <c r="T2648" s="224"/>
      <c r="U2648" s="224"/>
      <c r="V2648" s="224"/>
    </row>
    <row r="2649" spans="1:22" x14ac:dyDescent="0.3">
      <c r="A2649" s="222"/>
      <c r="B2649" s="235"/>
      <c r="C2649" s="227"/>
      <c r="D2649" s="344"/>
      <c r="E2649" s="235"/>
      <c r="F2649" s="235"/>
      <c r="G2649" s="227"/>
      <c r="H2649" s="227"/>
      <c r="I2649" s="350"/>
      <c r="J2649" s="227"/>
      <c r="K2649" s="227"/>
      <c r="L2649" s="224"/>
      <c r="M2649" s="224"/>
      <c r="N2649" s="224"/>
      <c r="O2649" s="224"/>
      <c r="P2649" s="224"/>
      <c r="Q2649" s="224"/>
      <c r="R2649" s="224"/>
      <c r="S2649" s="224"/>
      <c r="T2649" s="224"/>
      <c r="U2649" s="224"/>
      <c r="V2649" s="224"/>
    </row>
    <row r="2650" spans="1:22" x14ac:dyDescent="0.3">
      <c r="A2650" s="222"/>
      <c r="B2650" s="235"/>
      <c r="C2650" s="227"/>
      <c r="D2650" s="344"/>
      <c r="E2650" s="235"/>
      <c r="F2650" s="235"/>
      <c r="G2650" s="227"/>
      <c r="H2650" s="227"/>
      <c r="I2650" s="350"/>
      <c r="J2650" s="227"/>
      <c r="K2650" s="227"/>
      <c r="L2650" s="224"/>
      <c r="M2650" s="224"/>
      <c r="N2650" s="224"/>
      <c r="O2650" s="224"/>
      <c r="P2650" s="224"/>
      <c r="Q2650" s="224"/>
      <c r="R2650" s="224"/>
      <c r="S2650" s="224"/>
      <c r="T2650" s="224"/>
      <c r="U2650" s="224"/>
      <c r="V2650" s="224"/>
    </row>
    <row r="2651" spans="1:22" x14ac:dyDescent="0.3">
      <c r="A2651" s="222"/>
      <c r="B2651" s="235"/>
      <c r="C2651" s="227"/>
      <c r="D2651" s="344"/>
      <c r="E2651" s="235"/>
      <c r="F2651" s="235"/>
      <c r="G2651" s="227"/>
      <c r="H2651" s="227"/>
      <c r="I2651" s="350"/>
      <c r="J2651" s="227"/>
      <c r="K2651" s="227"/>
      <c r="L2651" s="224"/>
      <c r="M2651" s="224"/>
      <c r="N2651" s="224"/>
      <c r="O2651" s="224"/>
      <c r="P2651" s="224"/>
      <c r="Q2651" s="224"/>
      <c r="R2651" s="224"/>
      <c r="S2651" s="224"/>
      <c r="T2651" s="224"/>
      <c r="U2651" s="224"/>
      <c r="V2651" s="224"/>
    </row>
    <row r="2652" spans="1:22" x14ac:dyDescent="0.3">
      <c r="A2652" s="222"/>
      <c r="B2652" s="235"/>
      <c r="C2652" s="227"/>
      <c r="D2652" s="344"/>
      <c r="E2652" s="235"/>
      <c r="F2652" s="235"/>
      <c r="G2652" s="227"/>
      <c r="H2652" s="227"/>
      <c r="I2652" s="350"/>
      <c r="J2652" s="227"/>
      <c r="K2652" s="227"/>
      <c r="L2652" s="224"/>
      <c r="M2652" s="224"/>
      <c r="N2652" s="224"/>
      <c r="O2652" s="224"/>
      <c r="P2652" s="224"/>
      <c r="Q2652" s="224"/>
      <c r="R2652" s="224"/>
      <c r="S2652" s="224"/>
      <c r="T2652" s="224"/>
      <c r="U2652" s="224"/>
      <c r="V2652" s="224"/>
    </row>
    <row r="2653" spans="1:22" x14ac:dyDescent="0.3">
      <c r="A2653" s="222"/>
      <c r="B2653" s="235"/>
      <c r="C2653" s="227"/>
      <c r="D2653" s="344"/>
      <c r="E2653" s="235"/>
      <c r="F2653" s="235"/>
      <c r="G2653" s="227"/>
      <c r="H2653" s="227"/>
      <c r="I2653" s="350"/>
      <c r="J2653" s="227"/>
      <c r="K2653" s="227"/>
      <c r="L2653" s="224"/>
      <c r="M2653" s="224"/>
      <c r="N2653" s="224"/>
      <c r="O2653" s="224"/>
      <c r="P2653" s="224"/>
      <c r="Q2653" s="224"/>
      <c r="R2653" s="224"/>
      <c r="S2653" s="224"/>
      <c r="T2653" s="224"/>
      <c r="U2653" s="224"/>
      <c r="V2653" s="224"/>
    </row>
    <row r="2654" spans="1:22" x14ac:dyDescent="0.3">
      <c r="A2654" s="222"/>
      <c r="B2654" s="235"/>
      <c r="C2654" s="227"/>
      <c r="D2654" s="344"/>
      <c r="E2654" s="235"/>
      <c r="F2654" s="235"/>
      <c r="G2654" s="227"/>
      <c r="H2654" s="227"/>
      <c r="I2654" s="350"/>
      <c r="J2654" s="227"/>
      <c r="K2654" s="227"/>
      <c r="L2654" s="224"/>
      <c r="M2654" s="224"/>
      <c r="N2654" s="224"/>
      <c r="O2654" s="224"/>
      <c r="P2654" s="224"/>
      <c r="Q2654" s="224"/>
      <c r="R2654" s="224"/>
      <c r="S2654" s="224"/>
      <c r="T2654" s="224"/>
      <c r="U2654" s="224"/>
      <c r="V2654" s="224"/>
    </row>
    <row r="2655" spans="1:22" x14ac:dyDescent="0.3">
      <c r="A2655" s="222"/>
      <c r="B2655" s="235"/>
      <c r="C2655" s="227"/>
      <c r="D2655" s="344"/>
      <c r="E2655" s="235"/>
      <c r="F2655" s="235"/>
      <c r="G2655" s="227"/>
      <c r="H2655" s="227"/>
      <c r="I2655" s="350"/>
      <c r="J2655" s="227"/>
      <c r="K2655" s="227"/>
      <c r="L2655" s="224"/>
      <c r="M2655" s="224"/>
      <c r="N2655" s="224"/>
      <c r="O2655" s="224"/>
      <c r="P2655" s="224"/>
      <c r="Q2655" s="224"/>
      <c r="R2655" s="224"/>
      <c r="S2655" s="224"/>
      <c r="T2655" s="224"/>
      <c r="U2655" s="224"/>
      <c r="V2655" s="224"/>
    </row>
    <row r="2656" spans="1:22" x14ac:dyDescent="0.3">
      <c r="A2656" s="222"/>
      <c r="B2656" s="235"/>
      <c r="C2656" s="227"/>
      <c r="D2656" s="344"/>
      <c r="E2656" s="235"/>
      <c r="F2656" s="235"/>
      <c r="G2656" s="227"/>
      <c r="H2656" s="227"/>
      <c r="I2656" s="350"/>
      <c r="J2656" s="227"/>
      <c r="K2656" s="227"/>
      <c r="L2656" s="224"/>
      <c r="M2656" s="224"/>
      <c r="N2656" s="224"/>
      <c r="O2656" s="224"/>
      <c r="P2656" s="224"/>
      <c r="Q2656" s="224"/>
      <c r="R2656" s="224"/>
      <c r="S2656" s="224"/>
      <c r="T2656" s="224"/>
      <c r="U2656" s="224"/>
      <c r="V2656" s="224"/>
    </row>
    <row r="2657" spans="1:22" x14ac:dyDescent="0.3">
      <c r="A2657" s="222"/>
      <c r="B2657" s="235"/>
      <c r="C2657" s="227"/>
      <c r="D2657" s="344"/>
      <c r="E2657" s="235"/>
      <c r="F2657" s="235"/>
      <c r="G2657" s="227"/>
      <c r="H2657" s="227"/>
      <c r="I2657" s="350"/>
      <c r="J2657" s="227"/>
      <c r="K2657" s="227"/>
      <c r="L2657" s="224"/>
      <c r="M2657" s="224"/>
      <c r="N2657" s="224"/>
      <c r="O2657" s="224"/>
      <c r="P2657" s="224"/>
      <c r="Q2657" s="224"/>
      <c r="R2657" s="224"/>
      <c r="S2657" s="224"/>
      <c r="T2657" s="224"/>
      <c r="U2657" s="224"/>
      <c r="V2657" s="224"/>
    </row>
    <row r="2658" spans="1:22" x14ac:dyDescent="0.3">
      <c r="A2658" s="222"/>
      <c r="B2658" s="235"/>
      <c r="C2658" s="227"/>
      <c r="D2658" s="344"/>
      <c r="E2658" s="235"/>
      <c r="F2658" s="235"/>
      <c r="G2658" s="227"/>
      <c r="H2658" s="227"/>
      <c r="I2658" s="350"/>
      <c r="J2658" s="227"/>
      <c r="K2658" s="227"/>
      <c r="L2658" s="224"/>
      <c r="M2658" s="224"/>
      <c r="N2658" s="224"/>
      <c r="O2658" s="224"/>
      <c r="P2658" s="224"/>
      <c r="Q2658" s="224"/>
      <c r="R2658" s="224"/>
      <c r="S2658" s="224"/>
      <c r="T2658" s="224"/>
      <c r="U2658" s="224"/>
      <c r="V2658" s="224"/>
    </row>
    <row r="2659" spans="1:22" x14ac:dyDescent="0.3">
      <c r="A2659" s="222"/>
      <c r="B2659" s="235"/>
      <c r="C2659" s="227"/>
      <c r="D2659" s="344"/>
      <c r="E2659" s="235"/>
      <c r="F2659" s="235"/>
      <c r="G2659" s="227"/>
      <c r="H2659" s="227"/>
      <c r="I2659" s="350"/>
      <c r="J2659" s="227"/>
      <c r="K2659" s="227"/>
      <c r="L2659" s="224"/>
      <c r="M2659" s="224"/>
      <c r="N2659" s="224"/>
      <c r="O2659" s="224"/>
      <c r="P2659" s="224"/>
      <c r="Q2659" s="224"/>
      <c r="R2659" s="224"/>
      <c r="S2659" s="224"/>
      <c r="T2659" s="224"/>
      <c r="U2659" s="224"/>
      <c r="V2659" s="224"/>
    </row>
    <row r="2660" spans="1:22" x14ac:dyDescent="0.3">
      <c r="A2660" s="222"/>
      <c r="B2660" s="235"/>
      <c r="C2660" s="227"/>
      <c r="D2660" s="344"/>
      <c r="E2660" s="235"/>
      <c r="F2660" s="235"/>
      <c r="G2660" s="227"/>
      <c r="H2660" s="227"/>
      <c r="I2660" s="350"/>
      <c r="J2660" s="227"/>
      <c r="K2660" s="227"/>
      <c r="L2660" s="224"/>
      <c r="M2660" s="224"/>
      <c r="N2660" s="224"/>
      <c r="O2660" s="224"/>
      <c r="P2660" s="224"/>
      <c r="Q2660" s="224"/>
      <c r="R2660" s="224"/>
      <c r="S2660" s="224"/>
      <c r="T2660" s="224"/>
      <c r="U2660" s="224"/>
      <c r="V2660" s="224"/>
    </row>
    <row r="2661" spans="1:22" x14ac:dyDescent="0.3">
      <c r="A2661" s="222"/>
      <c r="B2661" s="235"/>
      <c r="C2661" s="227"/>
      <c r="D2661" s="344"/>
      <c r="E2661" s="235"/>
      <c r="F2661" s="235"/>
      <c r="G2661" s="227"/>
      <c r="H2661" s="227"/>
      <c r="I2661" s="350"/>
      <c r="J2661" s="227"/>
      <c r="K2661" s="227"/>
      <c r="L2661" s="224"/>
      <c r="M2661" s="224"/>
      <c r="N2661" s="224"/>
      <c r="O2661" s="224"/>
      <c r="P2661" s="224"/>
      <c r="Q2661" s="224"/>
      <c r="R2661" s="224"/>
      <c r="S2661" s="224"/>
      <c r="T2661" s="224"/>
      <c r="U2661" s="224"/>
      <c r="V2661" s="224"/>
    </row>
    <row r="2662" spans="1:22" x14ac:dyDescent="0.3">
      <c r="A2662" s="222"/>
      <c r="B2662" s="235"/>
      <c r="C2662" s="227"/>
      <c r="D2662" s="344"/>
      <c r="E2662" s="235"/>
      <c r="F2662" s="235"/>
      <c r="G2662" s="227"/>
      <c r="H2662" s="227"/>
      <c r="I2662" s="350"/>
      <c r="J2662" s="227"/>
      <c r="K2662" s="227"/>
      <c r="L2662" s="224"/>
      <c r="M2662" s="224"/>
      <c r="N2662" s="224"/>
      <c r="O2662" s="224"/>
      <c r="P2662" s="224"/>
      <c r="Q2662" s="224"/>
      <c r="R2662" s="224"/>
      <c r="S2662" s="224"/>
      <c r="T2662" s="224"/>
      <c r="U2662" s="224"/>
      <c r="V2662" s="224"/>
    </row>
    <row r="2663" spans="1:22" x14ac:dyDescent="0.3">
      <c r="A2663" s="222"/>
      <c r="B2663" s="235"/>
      <c r="C2663" s="227"/>
      <c r="D2663" s="344"/>
      <c r="E2663" s="235"/>
      <c r="F2663" s="235"/>
      <c r="G2663" s="227"/>
      <c r="H2663" s="227"/>
      <c r="I2663" s="350"/>
      <c r="J2663" s="227"/>
      <c r="K2663" s="227"/>
      <c r="L2663" s="224"/>
      <c r="M2663" s="224"/>
      <c r="N2663" s="224"/>
      <c r="O2663" s="224"/>
      <c r="P2663" s="224"/>
      <c r="Q2663" s="224"/>
      <c r="R2663" s="224"/>
      <c r="S2663" s="224"/>
      <c r="T2663" s="224"/>
      <c r="U2663" s="224"/>
      <c r="V2663" s="224"/>
    </row>
    <row r="2664" spans="1:22" x14ac:dyDescent="0.3">
      <c r="A2664" s="222"/>
      <c r="B2664" s="235"/>
      <c r="C2664" s="227"/>
      <c r="D2664" s="344"/>
      <c r="E2664" s="235"/>
      <c r="F2664" s="235"/>
      <c r="G2664" s="227"/>
      <c r="H2664" s="227"/>
      <c r="I2664" s="350"/>
      <c r="J2664" s="227"/>
      <c r="K2664" s="227"/>
      <c r="L2664" s="224"/>
      <c r="M2664" s="224"/>
      <c r="N2664" s="224"/>
      <c r="O2664" s="224"/>
      <c r="P2664" s="224"/>
      <c r="Q2664" s="224"/>
      <c r="R2664" s="224"/>
      <c r="S2664" s="224"/>
      <c r="T2664" s="224"/>
      <c r="U2664" s="224"/>
      <c r="V2664" s="224"/>
    </row>
    <row r="2665" spans="1:22" x14ac:dyDescent="0.3">
      <c r="A2665" s="222"/>
      <c r="B2665" s="235"/>
      <c r="C2665" s="227"/>
      <c r="D2665" s="344"/>
      <c r="E2665" s="235"/>
      <c r="F2665" s="235"/>
      <c r="G2665" s="227"/>
      <c r="H2665" s="227"/>
      <c r="I2665" s="350"/>
      <c r="J2665" s="227"/>
      <c r="K2665" s="227"/>
      <c r="L2665" s="224"/>
      <c r="M2665" s="224"/>
      <c r="N2665" s="224"/>
      <c r="O2665" s="224"/>
      <c r="P2665" s="224"/>
      <c r="Q2665" s="224"/>
      <c r="R2665" s="224"/>
      <c r="S2665" s="224"/>
      <c r="T2665" s="224"/>
      <c r="U2665" s="224"/>
      <c r="V2665" s="224"/>
    </row>
    <row r="2666" spans="1:22" x14ac:dyDescent="0.3">
      <c r="A2666" s="222"/>
      <c r="B2666" s="235"/>
      <c r="C2666" s="227"/>
      <c r="D2666" s="344"/>
      <c r="E2666" s="235"/>
      <c r="F2666" s="235"/>
      <c r="G2666" s="227"/>
      <c r="H2666" s="227"/>
      <c r="I2666" s="350"/>
      <c r="J2666" s="227"/>
      <c r="K2666" s="227"/>
      <c r="L2666" s="224"/>
      <c r="M2666" s="224"/>
      <c r="N2666" s="224"/>
      <c r="O2666" s="224"/>
      <c r="P2666" s="224"/>
      <c r="Q2666" s="224"/>
      <c r="R2666" s="224"/>
      <c r="S2666" s="224"/>
      <c r="T2666" s="224"/>
      <c r="U2666" s="224"/>
      <c r="V2666" s="224"/>
    </row>
    <row r="2667" spans="1:22" x14ac:dyDescent="0.3">
      <c r="A2667" s="222"/>
      <c r="B2667" s="235"/>
      <c r="C2667" s="227"/>
      <c r="D2667" s="344"/>
      <c r="E2667" s="235"/>
      <c r="F2667" s="235"/>
      <c r="G2667" s="227"/>
      <c r="H2667" s="227"/>
      <c r="I2667" s="350"/>
      <c r="J2667" s="227"/>
      <c r="K2667" s="227"/>
      <c r="L2667" s="224"/>
      <c r="M2667" s="224"/>
      <c r="N2667" s="224"/>
      <c r="O2667" s="224"/>
      <c r="P2667" s="224"/>
      <c r="Q2667" s="224"/>
      <c r="R2667" s="224"/>
      <c r="S2667" s="224"/>
      <c r="T2667" s="224"/>
      <c r="U2667" s="224"/>
      <c r="V2667" s="224"/>
    </row>
    <row r="2668" spans="1:22" x14ac:dyDescent="0.3">
      <c r="A2668" s="222"/>
      <c r="B2668" s="235"/>
      <c r="C2668" s="227"/>
      <c r="D2668" s="344"/>
      <c r="E2668" s="235"/>
      <c r="F2668" s="235"/>
      <c r="G2668" s="227"/>
      <c r="H2668" s="227"/>
      <c r="I2668" s="350"/>
      <c r="J2668" s="227"/>
      <c r="K2668" s="227"/>
      <c r="L2668" s="224"/>
      <c r="M2668" s="224"/>
      <c r="N2668" s="224"/>
      <c r="O2668" s="224"/>
      <c r="P2668" s="224"/>
      <c r="Q2668" s="224"/>
      <c r="R2668" s="224"/>
      <c r="S2668" s="224"/>
      <c r="T2668" s="224"/>
      <c r="U2668" s="224"/>
      <c r="V2668" s="224"/>
    </row>
    <row r="2669" spans="1:22" x14ac:dyDescent="0.3">
      <c r="A2669" s="222"/>
      <c r="B2669" s="235"/>
      <c r="C2669" s="227"/>
      <c r="D2669" s="344"/>
      <c r="E2669" s="235"/>
      <c r="F2669" s="235"/>
      <c r="G2669" s="227"/>
      <c r="H2669" s="227"/>
      <c r="I2669" s="350"/>
      <c r="J2669" s="227"/>
      <c r="K2669" s="227"/>
      <c r="L2669" s="224"/>
      <c r="M2669" s="224"/>
      <c r="N2669" s="224"/>
      <c r="O2669" s="224"/>
      <c r="P2669" s="224"/>
      <c r="Q2669" s="224"/>
      <c r="R2669" s="224"/>
      <c r="S2669" s="224"/>
      <c r="T2669" s="224"/>
      <c r="U2669" s="224"/>
      <c r="V2669" s="224"/>
    </row>
    <row r="2670" spans="1:22" x14ac:dyDescent="0.3">
      <c r="A2670" s="222"/>
      <c r="B2670" s="235"/>
      <c r="C2670" s="227"/>
      <c r="D2670" s="344"/>
      <c r="E2670" s="235"/>
      <c r="F2670" s="235"/>
      <c r="G2670" s="227"/>
      <c r="H2670" s="227"/>
      <c r="I2670" s="350"/>
      <c r="J2670" s="227"/>
      <c r="K2670" s="227"/>
      <c r="L2670" s="224"/>
      <c r="M2670" s="224"/>
      <c r="N2670" s="224"/>
      <c r="O2670" s="224"/>
      <c r="P2670" s="224"/>
      <c r="Q2670" s="224"/>
      <c r="R2670" s="224"/>
      <c r="S2670" s="224"/>
      <c r="T2670" s="224"/>
      <c r="U2670" s="224"/>
      <c r="V2670" s="224"/>
    </row>
    <row r="2671" spans="1:22" x14ac:dyDescent="0.3">
      <c r="A2671" s="222"/>
      <c r="B2671" s="235"/>
      <c r="C2671" s="227"/>
      <c r="D2671" s="344"/>
      <c r="E2671" s="235"/>
      <c r="F2671" s="235"/>
      <c r="G2671" s="227"/>
      <c r="H2671" s="227"/>
      <c r="I2671" s="350"/>
      <c r="J2671" s="227"/>
      <c r="K2671" s="227"/>
      <c r="L2671" s="224"/>
      <c r="M2671" s="224"/>
      <c r="N2671" s="224"/>
      <c r="O2671" s="224"/>
      <c r="P2671" s="224"/>
      <c r="Q2671" s="224"/>
      <c r="R2671" s="224"/>
      <c r="S2671" s="224"/>
      <c r="T2671" s="224"/>
      <c r="U2671" s="224"/>
      <c r="V2671" s="224"/>
    </row>
    <row r="2672" spans="1:22" x14ac:dyDescent="0.3">
      <c r="A2672" s="222"/>
      <c r="B2672" s="235"/>
      <c r="C2672" s="227"/>
      <c r="D2672" s="344"/>
      <c r="E2672" s="235"/>
      <c r="F2672" s="235"/>
      <c r="G2672" s="227"/>
      <c r="H2672" s="227"/>
      <c r="I2672" s="350"/>
      <c r="J2672" s="227"/>
      <c r="K2672" s="227"/>
      <c r="L2672" s="224"/>
      <c r="M2672" s="224"/>
      <c r="N2672" s="224"/>
      <c r="O2672" s="224"/>
      <c r="P2672" s="224"/>
      <c r="Q2672" s="224"/>
      <c r="R2672" s="224"/>
      <c r="S2672" s="224"/>
      <c r="T2672" s="224"/>
      <c r="U2672" s="224"/>
      <c r="V2672" s="224"/>
    </row>
    <row r="2673" spans="1:22" x14ac:dyDescent="0.3">
      <c r="A2673" s="222"/>
      <c r="B2673" s="235"/>
      <c r="C2673" s="227"/>
      <c r="D2673" s="344"/>
      <c r="E2673" s="235"/>
      <c r="F2673" s="235"/>
      <c r="G2673" s="227"/>
      <c r="H2673" s="227"/>
      <c r="I2673" s="350"/>
      <c r="J2673" s="227"/>
      <c r="K2673" s="227"/>
      <c r="L2673" s="224"/>
      <c r="M2673" s="224"/>
      <c r="N2673" s="224"/>
      <c r="O2673" s="224"/>
      <c r="P2673" s="224"/>
      <c r="Q2673" s="224"/>
      <c r="R2673" s="224"/>
      <c r="S2673" s="224"/>
      <c r="T2673" s="224"/>
      <c r="U2673" s="224"/>
      <c r="V2673" s="224"/>
    </row>
    <row r="2674" spans="1:22" x14ac:dyDescent="0.3">
      <c r="A2674" s="222"/>
      <c r="B2674" s="235"/>
      <c r="C2674" s="227"/>
      <c r="D2674" s="344"/>
      <c r="E2674" s="235"/>
      <c r="F2674" s="235"/>
      <c r="G2674" s="227"/>
      <c r="H2674" s="227"/>
      <c r="I2674" s="350"/>
      <c r="J2674" s="227"/>
      <c r="K2674" s="227"/>
      <c r="L2674" s="224"/>
      <c r="M2674" s="224"/>
      <c r="N2674" s="224"/>
      <c r="O2674" s="224"/>
      <c r="P2674" s="224"/>
      <c r="Q2674" s="224"/>
      <c r="R2674" s="224"/>
      <c r="S2674" s="224"/>
      <c r="T2674" s="224"/>
      <c r="U2674" s="224"/>
      <c r="V2674" s="224"/>
    </row>
    <row r="2675" spans="1:22" x14ac:dyDescent="0.3">
      <c r="A2675" s="222"/>
      <c r="B2675" s="235"/>
      <c r="C2675" s="227"/>
      <c r="D2675" s="344"/>
      <c r="E2675" s="235"/>
      <c r="F2675" s="235"/>
      <c r="G2675" s="227"/>
      <c r="H2675" s="227"/>
      <c r="I2675" s="350"/>
      <c r="J2675" s="227"/>
      <c r="K2675" s="227"/>
      <c r="L2675" s="224"/>
      <c r="M2675" s="224"/>
      <c r="N2675" s="224"/>
      <c r="O2675" s="224"/>
      <c r="P2675" s="224"/>
      <c r="Q2675" s="224"/>
      <c r="R2675" s="224"/>
      <c r="S2675" s="224"/>
      <c r="T2675" s="224"/>
      <c r="U2675" s="224"/>
      <c r="V2675" s="224"/>
    </row>
    <row r="2676" spans="1:22" x14ac:dyDescent="0.3">
      <c r="A2676" s="222"/>
      <c r="B2676" s="235"/>
      <c r="C2676" s="227"/>
      <c r="D2676" s="344"/>
      <c r="E2676" s="235"/>
      <c r="F2676" s="235"/>
      <c r="G2676" s="227"/>
      <c r="H2676" s="227"/>
      <c r="I2676" s="350"/>
      <c r="J2676" s="227"/>
      <c r="K2676" s="227"/>
      <c r="L2676" s="224"/>
      <c r="M2676" s="224"/>
      <c r="N2676" s="224"/>
      <c r="O2676" s="224"/>
      <c r="P2676" s="224"/>
      <c r="Q2676" s="224"/>
      <c r="R2676" s="224"/>
      <c r="S2676" s="224"/>
      <c r="T2676" s="224"/>
      <c r="U2676" s="224"/>
      <c r="V2676" s="224"/>
    </row>
    <row r="2677" spans="1:22" x14ac:dyDescent="0.3">
      <c r="A2677" s="222"/>
      <c r="B2677" s="235"/>
      <c r="C2677" s="227"/>
      <c r="D2677" s="344"/>
      <c r="E2677" s="235"/>
      <c r="F2677" s="235"/>
      <c r="G2677" s="227"/>
      <c r="H2677" s="227"/>
      <c r="I2677" s="350"/>
      <c r="J2677" s="227"/>
      <c r="K2677" s="227"/>
      <c r="L2677" s="224"/>
      <c r="M2677" s="224"/>
      <c r="N2677" s="224"/>
      <c r="O2677" s="224"/>
      <c r="P2677" s="224"/>
      <c r="Q2677" s="224"/>
      <c r="R2677" s="224"/>
      <c r="S2677" s="224"/>
      <c r="T2677" s="224"/>
      <c r="U2677" s="224"/>
      <c r="V2677" s="224"/>
    </row>
    <row r="2678" spans="1:22" x14ac:dyDescent="0.3">
      <c r="A2678" s="222"/>
      <c r="B2678" s="235"/>
      <c r="C2678" s="227"/>
      <c r="D2678" s="344"/>
      <c r="E2678" s="235"/>
      <c r="F2678" s="235"/>
      <c r="G2678" s="227"/>
      <c r="H2678" s="227"/>
      <c r="I2678" s="350"/>
      <c r="J2678" s="227"/>
      <c r="K2678" s="227"/>
      <c r="L2678" s="224"/>
      <c r="M2678" s="224"/>
      <c r="N2678" s="224"/>
      <c r="O2678" s="224"/>
      <c r="P2678" s="224"/>
      <c r="Q2678" s="224"/>
      <c r="R2678" s="224"/>
      <c r="S2678" s="224"/>
      <c r="T2678" s="224"/>
      <c r="U2678" s="224"/>
      <c r="V2678" s="224"/>
    </row>
    <row r="2679" spans="1:22" x14ac:dyDescent="0.3">
      <c r="A2679" s="222"/>
      <c r="B2679" s="235"/>
      <c r="C2679" s="227"/>
      <c r="D2679" s="344"/>
      <c r="E2679" s="235"/>
      <c r="F2679" s="235"/>
      <c r="G2679" s="227"/>
      <c r="H2679" s="227"/>
      <c r="I2679" s="350"/>
      <c r="J2679" s="227"/>
      <c r="K2679" s="227"/>
      <c r="L2679" s="224"/>
      <c r="M2679" s="224"/>
      <c r="N2679" s="224"/>
      <c r="O2679" s="224"/>
      <c r="P2679" s="224"/>
      <c r="Q2679" s="224"/>
      <c r="R2679" s="224"/>
      <c r="S2679" s="224"/>
      <c r="T2679" s="224"/>
      <c r="U2679" s="224"/>
      <c r="V2679" s="224"/>
    </row>
    <row r="2680" spans="1:22" x14ac:dyDescent="0.3">
      <c r="A2680" s="222"/>
      <c r="B2680" s="235"/>
      <c r="C2680" s="227"/>
      <c r="D2680" s="344"/>
      <c r="E2680" s="235"/>
      <c r="F2680" s="235"/>
      <c r="G2680" s="227"/>
      <c r="H2680" s="227"/>
      <c r="I2680" s="350"/>
      <c r="J2680" s="227"/>
      <c r="K2680" s="227"/>
      <c r="L2680" s="224"/>
      <c r="M2680" s="224"/>
      <c r="N2680" s="224"/>
      <c r="O2680" s="224"/>
      <c r="P2680" s="224"/>
      <c r="Q2680" s="224"/>
      <c r="R2680" s="224"/>
      <c r="S2680" s="224"/>
      <c r="T2680" s="224"/>
      <c r="U2680" s="224"/>
      <c r="V2680" s="224"/>
    </row>
    <row r="2681" spans="1:22" x14ac:dyDescent="0.3">
      <c r="A2681" s="222"/>
      <c r="B2681" s="235"/>
      <c r="C2681" s="227"/>
      <c r="D2681" s="344"/>
      <c r="E2681" s="235"/>
      <c r="F2681" s="235"/>
      <c r="G2681" s="227"/>
      <c r="H2681" s="227"/>
      <c r="I2681" s="350"/>
      <c r="J2681" s="227"/>
      <c r="K2681" s="227"/>
      <c r="L2681" s="224"/>
      <c r="M2681" s="224"/>
      <c r="N2681" s="224"/>
      <c r="O2681" s="224"/>
      <c r="P2681" s="224"/>
      <c r="Q2681" s="224"/>
      <c r="R2681" s="224"/>
      <c r="S2681" s="224"/>
      <c r="T2681" s="224"/>
      <c r="U2681" s="224"/>
      <c r="V2681" s="224"/>
    </row>
    <row r="2682" spans="1:22" x14ac:dyDescent="0.3">
      <c r="A2682" s="222"/>
      <c r="B2682" s="235"/>
      <c r="C2682" s="227"/>
      <c r="D2682" s="344"/>
      <c r="E2682" s="235"/>
      <c r="F2682" s="235"/>
      <c r="G2682" s="227"/>
      <c r="H2682" s="227"/>
      <c r="I2682" s="350"/>
      <c r="J2682" s="227"/>
      <c r="K2682" s="227"/>
      <c r="L2682" s="224"/>
      <c r="M2682" s="224"/>
      <c r="N2682" s="224"/>
      <c r="O2682" s="224"/>
      <c r="P2682" s="224"/>
      <c r="Q2682" s="224"/>
      <c r="R2682" s="224"/>
      <c r="S2682" s="224"/>
      <c r="T2682" s="224"/>
      <c r="U2682" s="224"/>
      <c r="V2682" s="224"/>
    </row>
    <row r="2683" spans="1:22" x14ac:dyDescent="0.3">
      <c r="A2683" s="222"/>
      <c r="B2683" s="235"/>
      <c r="C2683" s="227"/>
      <c r="D2683" s="344"/>
      <c r="E2683" s="235"/>
      <c r="F2683" s="235"/>
      <c r="G2683" s="227"/>
      <c r="H2683" s="227"/>
      <c r="I2683" s="350"/>
      <c r="J2683" s="227"/>
      <c r="K2683" s="227"/>
      <c r="L2683" s="224"/>
      <c r="M2683" s="224"/>
      <c r="N2683" s="224"/>
      <c r="O2683" s="224"/>
      <c r="P2683" s="224"/>
      <c r="Q2683" s="224"/>
      <c r="R2683" s="224"/>
      <c r="S2683" s="224"/>
      <c r="T2683" s="224"/>
      <c r="U2683" s="224"/>
      <c r="V2683" s="224"/>
    </row>
    <row r="2684" spans="1:22" x14ac:dyDescent="0.3">
      <c r="A2684" s="222"/>
      <c r="B2684" s="235"/>
      <c r="C2684" s="227"/>
      <c r="D2684" s="344"/>
      <c r="E2684" s="235"/>
      <c r="F2684" s="235"/>
      <c r="G2684" s="227"/>
      <c r="H2684" s="227"/>
      <c r="I2684" s="350"/>
      <c r="J2684" s="227"/>
      <c r="K2684" s="227"/>
      <c r="L2684" s="224"/>
      <c r="M2684" s="224"/>
      <c r="N2684" s="224"/>
      <c r="O2684" s="224"/>
      <c r="P2684" s="224"/>
      <c r="Q2684" s="224"/>
      <c r="R2684" s="224"/>
      <c r="S2684" s="224"/>
      <c r="T2684" s="224"/>
      <c r="U2684" s="224"/>
      <c r="V2684" s="224"/>
    </row>
    <row r="2685" spans="1:22" x14ac:dyDescent="0.3">
      <c r="A2685" s="222"/>
      <c r="B2685" s="235"/>
      <c r="C2685" s="227"/>
      <c r="D2685" s="344"/>
      <c r="E2685" s="235"/>
      <c r="F2685" s="235"/>
      <c r="G2685" s="227"/>
      <c r="H2685" s="227"/>
      <c r="I2685" s="350"/>
      <c r="J2685" s="227"/>
      <c r="K2685" s="227"/>
      <c r="L2685" s="224"/>
      <c r="M2685" s="224"/>
      <c r="N2685" s="224"/>
      <c r="O2685" s="224"/>
      <c r="P2685" s="224"/>
      <c r="Q2685" s="224"/>
      <c r="R2685" s="224"/>
      <c r="S2685" s="224"/>
      <c r="T2685" s="224"/>
      <c r="U2685" s="224"/>
      <c r="V2685" s="224"/>
    </row>
    <row r="2686" spans="1:22" x14ac:dyDescent="0.3">
      <c r="A2686" s="222"/>
      <c r="B2686" s="235"/>
      <c r="C2686" s="227"/>
      <c r="D2686" s="344"/>
      <c r="E2686" s="235"/>
      <c r="F2686" s="235"/>
      <c r="G2686" s="227"/>
      <c r="H2686" s="227"/>
      <c r="I2686" s="350"/>
      <c r="J2686" s="227"/>
      <c r="K2686" s="227"/>
      <c r="L2686" s="224"/>
      <c r="M2686" s="224"/>
      <c r="N2686" s="224"/>
      <c r="O2686" s="224"/>
      <c r="P2686" s="224"/>
      <c r="Q2686" s="224"/>
      <c r="R2686" s="224"/>
      <c r="S2686" s="224"/>
      <c r="T2686" s="224"/>
      <c r="U2686" s="224"/>
      <c r="V2686" s="224"/>
    </row>
    <row r="2687" spans="1:22" x14ac:dyDescent="0.3">
      <c r="A2687" s="222"/>
      <c r="B2687" s="235"/>
      <c r="C2687" s="227"/>
      <c r="D2687" s="344"/>
      <c r="E2687" s="235"/>
      <c r="F2687" s="235"/>
      <c r="G2687" s="227"/>
      <c r="H2687" s="227"/>
      <c r="I2687" s="350"/>
      <c r="J2687" s="227"/>
      <c r="K2687" s="227"/>
      <c r="L2687" s="224"/>
      <c r="M2687" s="224"/>
      <c r="N2687" s="224"/>
      <c r="O2687" s="224"/>
      <c r="P2687" s="224"/>
      <c r="Q2687" s="224"/>
      <c r="R2687" s="224"/>
      <c r="S2687" s="224"/>
      <c r="T2687" s="224"/>
      <c r="U2687" s="224"/>
      <c r="V2687" s="224"/>
    </row>
    <row r="2688" spans="1:22" x14ac:dyDescent="0.3">
      <c r="A2688" s="222"/>
      <c r="B2688" s="235"/>
      <c r="C2688" s="227"/>
      <c r="D2688" s="344"/>
      <c r="E2688" s="235"/>
      <c r="F2688" s="235"/>
      <c r="G2688" s="227"/>
      <c r="H2688" s="227"/>
      <c r="I2688" s="350"/>
      <c r="J2688" s="227"/>
      <c r="K2688" s="227"/>
      <c r="L2688" s="224"/>
      <c r="M2688" s="224"/>
      <c r="N2688" s="224"/>
      <c r="O2688" s="224"/>
      <c r="P2688" s="224"/>
      <c r="Q2688" s="224"/>
      <c r="R2688" s="224"/>
      <c r="S2688" s="224"/>
      <c r="T2688" s="224"/>
      <c r="U2688" s="224"/>
      <c r="V2688" s="224"/>
    </row>
    <row r="2689" spans="1:22" x14ac:dyDescent="0.3">
      <c r="A2689" s="222"/>
      <c r="B2689" s="235"/>
      <c r="C2689" s="227"/>
      <c r="D2689" s="344"/>
      <c r="E2689" s="235"/>
      <c r="F2689" s="235"/>
      <c r="G2689" s="227"/>
      <c r="H2689" s="227"/>
      <c r="I2689" s="350"/>
      <c r="J2689" s="227"/>
      <c r="K2689" s="227"/>
      <c r="L2689" s="224"/>
      <c r="M2689" s="224"/>
      <c r="N2689" s="224"/>
      <c r="O2689" s="224"/>
      <c r="P2689" s="224"/>
      <c r="Q2689" s="224"/>
      <c r="R2689" s="224"/>
      <c r="S2689" s="224"/>
      <c r="T2689" s="224"/>
      <c r="U2689" s="224"/>
      <c r="V2689" s="224"/>
    </row>
    <row r="2690" spans="1:22" x14ac:dyDescent="0.3">
      <c r="A2690" s="222"/>
      <c r="B2690" s="235"/>
      <c r="C2690" s="227"/>
      <c r="D2690" s="344"/>
      <c r="E2690" s="235"/>
      <c r="F2690" s="235"/>
      <c r="G2690" s="227"/>
      <c r="H2690" s="227"/>
      <c r="I2690" s="350"/>
      <c r="J2690" s="227"/>
      <c r="K2690" s="227"/>
      <c r="L2690" s="224"/>
      <c r="M2690" s="224"/>
      <c r="N2690" s="224"/>
      <c r="O2690" s="224"/>
      <c r="P2690" s="224"/>
      <c r="Q2690" s="224"/>
      <c r="R2690" s="224"/>
      <c r="S2690" s="224"/>
      <c r="T2690" s="224"/>
      <c r="U2690" s="224"/>
      <c r="V2690" s="224"/>
    </row>
    <row r="2691" spans="1:22" x14ac:dyDescent="0.3">
      <c r="A2691" s="222"/>
      <c r="B2691" s="235"/>
      <c r="C2691" s="227"/>
      <c r="D2691" s="344"/>
      <c r="E2691" s="235"/>
      <c r="F2691" s="235"/>
      <c r="G2691" s="227"/>
      <c r="H2691" s="227"/>
      <c r="I2691" s="350"/>
      <c r="J2691" s="227"/>
      <c r="K2691" s="227"/>
      <c r="L2691" s="224"/>
      <c r="M2691" s="224"/>
      <c r="N2691" s="224"/>
      <c r="O2691" s="224"/>
      <c r="P2691" s="224"/>
      <c r="Q2691" s="224"/>
      <c r="R2691" s="224"/>
      <c r="S2691" s="224"/>
      <c r="T2691" s="224"/>
      <c r="U2691" s="224"/>
      <c r="V2691" s="224"/>
    </row>
    <row r="2692" spans="1:22" x14ac:dyDescent="0.3">
      <c r="A2692" s="222"/>
      <c r="B2692" s="235"/>
      <c r="C2692" s="227"/>
      <c r="D2692" s="344"/>
      <c r="E2692" s="235"/>
      <c r="F2692" s="235"/>
      <c r="G2692" s="227"/>
      <c r="H2692" s="227"/>
      <c r="I2692" s="350"/>
      <c r="J2692" s="227"/>
      <c r="K2692" s="227"/>
      <c r="L2692" s="224"/>
      <c r="M2692" s="224"/>
      <c r="N2692" s="224"/>
      <c r="O2692" s="224"/>
      <c r="P2692" s="224"/>
      <c r="Q2692" s="224"/>
      <c r="R2692" s="224"/>
      <c r="S2692" s="224"/>
      <c r="T2692" s="224"/>
      <c r="U2692" s="224"/>
      <c r="V2692" s="224"/>
    </row>
    <row r="2693" spans="1:22" x14ac:dyDescent="0.3">
      <c r="A2693" s="222"/>
      <c r="B2693" s="235"/>
      <c r="C2693" s="227"/>
      <c r="D2693" s="344"/>
      <c r="E2693" s="235"/>
      <c r="F2693" s="235"/>
      <c r="G2693" s="227"/>
      <c r="H2693" s="227"/>
      <c r="I2693" s="350"/>
      <c r="J2693" s="227"/>
      <c r="K2693" s="227"/>
      <c r="L2693" s="224"/>
      <c r="M2693" s="224"/>
      <c r="N2693" s="224"/>
      <c r="O2693" s="224"/>
      <c r="P2693" s="224"/>
      <c r="Q2693" s="224"/>
      <c r="R2693" s="224"/>
      <c r="S2693" s="224"/>
      <c r="T2693" s="224"/>
      <c r="U2693" s="224"/>
      <c r="V2693" s="224"/>
    </row>
    <row r="2694" spans="1:22" x14ac:dyDescent="0.3">
      <c r="A2694" s="222"/>
      <c r="B2694" s="235"/>
      <c r="C2694" s="227"/>
      <c r="D2694" s="344"/>
      <c r="E2694" s="235"/>
      <c r="F2694" s="235"/>
      <c r="G2694" s="227"/>
      <c r="H2694" s="227"/>
      <c r="I2694" s="350"/>
      <c r="J2694" s="227"/>
      <c r="K2694" s="227"/>
      <c r="L2694" s="224"/>
      <c r="M2694" s="224"/>
      <c r="N2694" s="224"/>
      <c r="O2694" s="224"/>
      <c r="P2694" s="224"/>
      <c r="Q2694" s="224"/>
      <c r="R2694" s="224"/>
      <c r="S2694" s="224"/>
      <c r="T2694" s="224"/>
      <c r="U2694" s="224"/>
      <c r="V2694" s="224"/>
    </row>
    <row r="2695" spans="1:22" x14ac:dyDescent="0.3">
      <c r="A2695" s="222"/>
      <c r="B2695" s="235"/>
      <c r="C2695" s="227"/>
      <c r="D2695" s="344"/>
      <c r="E2695" s="235"/>
      <c r="F2695" s="235"/>
      <c r="G2695" s="227"/>
      <c r="H2695" s="227"/>
      <c r="I2695" s="350"/>
      <c r="J2695" s="227"/>
      <c r="K2695" s="227"/>
      <c r="L2695" s="224"/>
      <c r="M2695" s="224"/>
      <c r="N2695" s="224"/>
      <c r="O2695" s="224"/>
      <c r="P2695" s="224"/>
      <c r="Q2695" s="224"/>
      <c r="R2695" s="224"/>
      <c r="S2695" s="224"/>
      <c r="T2695" s="224"/>
      <c r="U2695" s="224"/>
      <c r="V2695" s="224"/>
    </row>
    <row r="2696" spans="1:22" x14ac:dyDescent="0.3">
      <c r="A2696" s="222"/>
      <c r="B2696" s="235"/>
      <c r="C2696" s="227"/>
      <c r="D2696" s="344"/>
      <c r="E2696" s="235"/>
      <c r="F2696" s="235"/>
      <c r="G2696" s="227"/>
      <c r="H2696" s="227"/>
      <c r="I2696" s="350"/>
      <c r="J2696" s="227"/>
      <c r="K2696" s="227"/>
      <c r="L2696" s="224"/>
      <c r="M2696" s="224"/>
      <c r="N2696" s="224"/>
      <c r="O2696" s="224"/>
      <c r="P2696" s="224"/>
      <c r="Q2696" s="224"/>
      <c r="R2696" s="224"/>
      <c r="S2696" s="224"/>
      <c r="T2696" s="224"/>
      <c r="U2696" s="224"/>
      <c r="V2696" s="224"/>
    </row>
    <row r="2697" spans="1:22" x14ac:dyDescent="0.3">
      <c r="A2697" s="222"/>
      <c r="B2697" s="235"/>
      <c r="C2697" s="227"/>
      <c r="D2697" s="344"/>
      <c r="E2697" s="235"/>
      <c r="F2697" s="235"/>
      <c r="G2697" s="227"/>
      <c r="H2697" s="227"/>
      <c r="I2697" s="350"/>
      <c r="J2697" s="227"/>
      <c r="K2697" s="227"/>
      <c r="L2697" s="224"/>
      <c r="M2697" s="224"/>
      <c r="N2697" s="224"/>
      <c r="O2697" s="224"/>
      <c r="P2697" s="224"/>
      <c r="Q2697" s="224"/>
      <c r="R2697" s="224"/>
      <c r="S2697" s="224"/>
      <c r="T2697" s="224"/>
      <c r="U2697" s="224"/>
      <c r="V2697" s="224"/>
    </row>
    <row r="2698" spans="1:22" x14ac:dyDescent="0.3">
      <c r="A2698" s="222"/>
      <c r="B2698" s="235"/>
      <c r="C2698" s="227"/>
      <c r="D2698" s="344"/>
      <c r="E2698" s="235"/>
      <c r="F2698" s="235"/>
      <c r="G2698" s="227"/>
      <c r="H2698" s="227"/>
      <c r="I2698" s="350"/>
      <c r="J2698" s="227"/>
      <c r="K2698" s="227"/>
      <c r="L2698" s="224"/>
      <c r="M2698" s="224"/>
      <c r="N2698" s="224"/>
      <c r="O2698" s="224"/>
      <c r="P2698" s="224"/>
      <c r="Q2698" s="224"/>
      <c r="R2698" s="224"/>
      <c r="S2698" s="224"/>
      <c r="T2698" s="224"/>
      <c r="U2698" s="224"/>
      <c r="V2698" s="224"/>
    </row>
    <row r="2699" spans="1:22" x14ac:dyDescent="0.3">
      <c r="A2699" s="222"/>
      <c r="B2699" s="235"/>
      <c r="C2699" s="227"/>
      <c r="D2699" s="344"/>
      <c r="E2699" s="235"/>
      <c r="F2699" s="235"/>
      <c r="G2699" s="227"/>
      <c r="H2699" s="227"/>
      <c r="I2699" s="350"/>
      <c r="J2699" s="227"/>
      <c r="K2699" s="227"/>
      <c r="L2699" s="224"/>
      <c r="M2699" s="224"/>
      <c r="N2699" s="224"/>
      <c r="O2699" s="224"/>
      <c r="P2699" s="224"/>
      <c r="Q2699" s="224"/>
      <c r="R2699" s="224"/>
      <c r="S2699" s="224"/>
      <c r="T2699" s="224"/>
      <c r="U2699" s="224"/>
      <c r="V2699" s="224"/>
    </row>
    <row r="2700" spans="1:22" x14ac:dyDescent="0.3">
      <c r="A2700" s="222"/>
      <c r="B2700" s="235"/>
      <c r="C2700" s="227"/>
      <c r="D2700" s="344"/>
      <c r="E2700" s="235"/>
      <c r="F2700" s="235"/>
      <c r="G2700" s="227"/>
      <c r="H2700" s="227"/>
      <c r="I2700" s="350"/>
      <c r="J2700" s="227"/>
      <c r="K2700" s="227"/>
      <c r="L2700" s="224"/>
      <c r="M2700" s="224"/>
      <c r="N2700" s="224"/>
      <c r="O2700" s="224"/>
      <c r="P2700" s="224"/>
      <c r="Q2700" s="224"/>
      <c r="R2700" s="224"/>
      <c r="S2700" s="224"/>
      <c r="T2700" s="224"/>
      <c r="U2700" s="224"/>
      <c r="V2700" s="224"/>
    </row>
    <row r="2701" spans="1:22" x14ac:dyDescent="0.3">
      <c r="A2701" s="222"/>
      <c r="B2701" s="235"/>
      <c r="C2701" s="227"/>
      <c r="D2701" s="344"/>
      <c r="E2701" s="235"/>
      <c r="F2701" s="235"/>
      <c r="G2701" s="227"/>
      <c r="H2701" s="227"/>
      <c r="I2701" s="350"/>
      <c r="J2701" s="227"/>
      <c r="K2701" s="227"/>
      <c r="L2701" s="224"/>
      <c r="M2701" s="224"/>
      <c r="N2701" s="224"/>
      <c r="O2701" s="224"/>
      <c r="P2701" s="224"/>
      <c r="Q2701" s="224"/>
      <c r="R2701" s="224"/>
      <c r="S2701" s="224"/>
      <c r="T2701" s="224"/>
      <c r="U2701" s="224"/>
      <c r="V2701" s="224"/>
    </row>
    <row r="2702" spans="1:22" x14ac:dyDescent="0.3">
      <c r="A2702" s="222"/>
      <c r="B2702" s="235"/>
      <c r="C2702" s="227"/>
      <c r="D2702" s="344"/>
      <c r="E2702" s="235"/>
      <c r="F2702" s="235"/>
      <c r="G2702" s="227"/>
      <c r="H2702" s="227"/>
      <c r="I2702" s="350"/>
      <c r="J2702" s="227"/>
      <c r="K2702" s="227"/>
      <c r="L2702" s="224"/>
      <c r="M2702" s="224"/>
      <c r="N2702" s="224"/>
      <c r="O2702" s="224"/>
      <c r="P2702" s="224"/>
      <c r="Q2702" s="224"/>
      <c r="R2702" s="224"/>
      <c r="S2702" s="224"/>
      <c r="T2702" s="224"/>
      <c r="U2702" s="224"/>
      <c r="V2702" s="224"/>
    </row>
    <row r="2703" spans="1:22" x14ac:dyDescent="0.3">
      <c r="A2703" s="222"/>
      <c r="B2703" s="235"/>
      <c r="C2703" s="227"/>
      <c r="D2703" s="344"/>
      <c r="E2703" s="235"/>
      <c r="F2703" s="235"/>
      <c r="G2703" s="227"/>
      <c r="H2703" s="227"/>
      <c r="I2703" s="350"/>
      <c r="J2703" s="227"/>
      <c r="K2703" s="227"/>
      <c r="L2703" s="224"/>
      <c r="M2703" s="224"/>
      <c r="N2703" s="224"/>
      <c r="O2703" s="224"/>
      <c r="P2703" s="224"/>
      <c r="Q2703" s="224"/>
      <c r="R2703" s="224"/>
      <c r="S2703" s="224"/>
      <c r="T2703" s="224"/>
      <c r="U2703" s="224"/>
      <c r="V2703" s="224"/>
    </row>
    <row r="2704" spans="1:22" x14ac:dyDescent="0.3">
      <c r="A2704" s="222"/>
      <c r="B2704" s="235"/>
      <c r="C2704" s="227"/>
      <c r="D2704" s="344"/>
      <c r="E2704" s="235"/>
      <c r="F2704" s="235"/>
      <c r="G2704" s="227"/>
      <c r="H2704" s="227"/>
      <c r="I2704" s="350"/>
      <c r="J2704" s="227"/>
      <c r="K2704" s="227"/>
      <c r="L2704" s="224"/>
      <c r="M2704" s="224"/>
      <c r="N2704" s="224"/>
      <c r="O2704" s="224"/>
      <c r="P2704" s="224"/>
      <c r="Q2704" s="224"/>
      <c r="R2704" s="224"/>
      <c r="S2704" s="224"/>
      <c r="T2704" s="224"/>
      <c r="U2704" s="224"/>
      <c r="V2704" s="224"/>
    </row>
    <row r="2705" spans="1:22" x14ac:dyDescent="0.3">
      <c r="A2705" s="222"/>
      <c r="B2705" s="235"/>
      <c r="C2705" s="227"/>
      <c r="D2705" s="344"/>
      <c r="E2705" s="235"/>
      <c r="F2705" s="235"/>
      <c r="G2705" s="227"/>
      <c r="H2705" s="227"/>
      <c r="I2705" s="350"/>
      <c r="J2705" s="227"/>
      <c r="K2705" s="227"/>
      <c r="L2705" s="224"/>
      <c r="M2705" s="224"/>
      <c r="N2705" s="224"/>
      <c r="O2705" s="224"/>
      <c r="P2705" s="224"/>
      <c r="Q2705" s="224"/>
      <c r="R2705" s="224"/>
      <c r="S2705" s="224"/>
      <c r="T2705" s="224"/>
      <c r="U2705" s="224"/>
      <c r="V2705" s="224"/>
    </row>
    <row r="2706" spans="1:22" x14ac:dyDescent="0.3">
      <c r="A2706" s="222"/>
      <c r="B2706" s="235"/>
      <c r="C2706" s="227"/>
      <c r="D2706" s="344"/>
      <c r="E2706" s="235"/>
      <c r="F2706" s="235"/>
      <c r="G2706" s="227"/>
      <c r="H2706" s="227"/>
      <c r="I2706" s="350"/>
      <c r="J2706" s="227"/>
      <c r="K2706" s="227"/>
      <c r="L2706" s="224"/>
      <c r="M2706" s="224"/>
      <c r="N2706" s="224"/>
      <c r="O2706" s="224"/>
      <c r="P2706" s="224"/>
      <c r="Q2706" s="224"/>
      <c r="R2706" s="224"/>
      <c r="S2706" s="224"/>
      <c r="T2706" s="224"/>
      <c r="U2706" s="224"/>
      <c r="V2706" s="224"/>
    </row>
    <row r="2707" spans="1:22" x14ac:dyDescent="0.3">
      <c r="A2707" s="222"/>
      <c r="B2707" s="235"/>
      <c r="C2707" s="227"/>
      <c r="D2707" s="344"/>
      <c r="E2707" s="235"/>
      <c r="F2707" s="235"/>
      <c r="G2707" s="227"/>
      <c r="H2707" s="227"/>
      <c r="I2707" s="350"/>
      <c r="J2707" s="227"/>
      <c r="K2707" s="227"/>
      <c r="L2707" s="224"/>
      <c r="M2707" s="224"/>
      <c r="N2707" s="224"/>
      <c r="O2707" s="224"/>
      <c r="P2707" s="224"/>
      <c r="Q2707" s="224"/>
      <c r="R2707" s="224"/>
      <c r="S2707" s="224"/>
      <c r="T2707" s="224"/>
      <c r="U2707" s="224"/>
      <c r="V2707" s="224"/>
    </row>
    <row r="2708" spans="1:22" x14ac:dyDescent="0.3">
      <c r="A2708" s="222"/>
      <c r="B2708" s="235"/>
      <c r="C2708" s="227"/>
      <c r="D2708" s="344"/>
      <c r="E2708" s="235"/>
      <c r="F2708" s="235"/>
      <c r="G2708" s="227"/>
      <c r="H2708" s="227"/>
      <c r="I2708" s="350"/>
      <c r="J2708" s="227"/>
      <c r="K2708" s="227"/>
      <c r="L2708" s="224"/>
      <c r="M2708" s="224"/>
      <c r="N2708" s="224"/>
      <c r="O2708" s="224"/>
      <c r="P2708" s="224"/>
      <c r="Q2708" s="224"/>
      <c r="R2708" s="224"/>
      <c r="S2708" s="224"/>
      <c r="T2708" s="224"/>
      <c r="U2708" s="224"/>
      <c r="V2708" s="224"/>
    </row>
    <row r="2709" spans="1:22" x14ac:dyDescent="0.3">
      <c r="A2709" s="222"/>
      <c r="B2709" s="235"/>
      <c r="C2709" s="227"/>
      <c r="D2709" s="344"/>
      <c r="E2709" s="235"/>
      <c r="F2709" s="235"/>
      <c r="G2709" s="227"/>
      <c r="H2709" s="227"/>
      <c r="I2709" s="350"/>
      <c r="J2709" s="227"/>
      <c r="K2709" s="227"/>
      <c r="L2709" s="224"/>
      <c r="M2709" s="224"/>
      <c r="N2709" s="224"/>
      <c r="O2709" s="224"/>
      <c r="P2709" s="224"/>
      <c r="Q2709" s="224"/>
      <c r="R2709" s="224"/>
      <c r="S2709" s="224"/>
      <c r="T2709" s="224"/>
      <c r="U2709" s="224"/>
      <c r="V2709" s="224"/>
    </row>
    <row r="2710" spans="1:22" x14ac:dyDescent="0.3">
      <c r="A2710" s="222"/>
      <c r="B2710" s="235"/>
      <c r="C2710" s="227"/>
      <c r="D2710" s="344"/>
      <c r="E2710" s="235"/>
      <c r="F2710" s="235"/>
      <c r="G2710" s="227"/>
      <c r="H2710" s="227"/>
      <c r="I2710" s="350"/>
      <c r="J2710" s="227"/>
      <c r="K2710" s="227"/>
      <c r="L2710" s="224"/>
      <c r="M2710" s="224"/>
      <c r="N2710" s="224"/>
      <c r="O2710" s="224"/>
      <c r="P2710" s="224"/>
      <c r="Q2710" s="224"/>
      <c r="R2710" s="224"/>
      <c r="S2710" s="224"/>
      <c r="T2710" s="224"/>
      <c r="U2710" s="224"/>
      <c r="V2710" s="224"/>
    </row>
    <row r="2711" spans="1:22" x14ac:dyDescent="0.3">
      <c r="A2711" s="222"/>
      <c r="B2711" s="235"/>
      <c r="C2711" s="227"/>
      <c r="D2711" s="344"/>
      <c r="E2711" s="235"/>
      <c r="F2711" s="235"/>
      <c r="G2711" s="227"/>
      <c r="H2711" s="227"/>
      <c r="I2711" s="350"/>
      <c r="J2711" s="227"/>
      <c r="K2711" s="227"/>
      <c r="L2711" s="224"/>
      <c r="M2711" s="224"/>
      <c r="N2711" s="224"/>
      <c r="O2711" s="224"/>
      <c r="P2711" s="224"/>
      <c r="Q2711" s="224"/>
      <c r="R2711" s="224"/>
      <c r="S2711" s="224"/>
      <c r="T2711" s="224"/>
      <c r="U2711" s="224"/>
      <c r="V2711" s="224"/>
    </row>
    <row r="2712" spans="1:22" x14ac:dyDescent="0.3">
      <c r="A2712" s="222"/>
      <c r="B2712" s="235"/>
      <c r="C2712" s="227"/>
      <c r="D2712" s="344"/>
      <c r="E2712" s="235"/>
      <c r="F2712" s="235"/>
      <c r="G2712" s="227"/>
      <c r="H2712" s="227"/>
      <c r="I2712" s="350"/>
      <c r="J2712" s="227"/>
      <c r="K2712" s="227"/>
      <c r="L2712" s="224"/>
      <c r="M2712" s="224"/>
      <c r="N2712" s="224"/>
      <c r="O2712" s="224"/>
      <c r="P2712" s="224"/>
      <c r="Q2712" s="224"/>
      <c r="R2712" s="224"/>
      <c r="S2712" s="224"/>
      <c r="T2712" s="224"/>
      <c r="U2712" s="224"/>
      <c r="V2712" s="224"/>
    </row>
    <row r="2713" spans="1:22" x14ac:dyDescent="0.3">
      <c r="A2713" s="222"/>
      <c r="B2713" s="235"/>
      <c r="C2713" s="227"/>
      <c r="D2713" s="344"/>
      <c r="E2713" s="235"/>
      <c r="F2713" s="235"/>
      <c r="G2713" s="227"/>
      <c r="H2713" s="227"/>
      <c r="I2713" s="350"/>
      <c r="J2713" s="227"/>
      <c r="K2713" s="227"/>
      <c r="L2713" s="224"/>
      <c r="M2713" s="224"/>
      <c r="N2713" s="224"/>
      <c r="O2713" s="224"/>
      <c r="P2713" s="224"/>
      <c r="Q2713" s="224"/>
      <c r="R2713" s="224"/>
      <c r="S2713" s="224"/>
      <c r="T2713" s="224"/>
      <c r="U2713" s="224"/>
      <c r="V2713" s="224"/>
    </row>
    <row r="2714" spans="1:22" x14ac:dyDescent="0.3">
      <c r="A2714" s="222"/>
      <c r="B2714" s="235"/>
      <c r="C2714" s="227"/>
      <c r="D2714" s="344"/>
      <c r="E2714" s="235"/>
      <c r="F2714" s="235"/>
      <c r="G2714" s="227"/>
      <c r="H2714" s="227"/>
      <c r="I2714" s="350"/>
      <c r="J2714" s="227"/>
      <c r="K2714" s="227"/>
      <c r="L2714" s="224"/>
      <c r="M2714" s="224"/>
      <c r="N2714" s="224"/>
      <c r="O2714" s="224"/>
      <c r="P2714" s="224"/>
      <c r="Q2714" s="224"/>
      <c r="R2714" s="224"/>
      <c r="S2714" s="224"/>
      <c r="T2714" s="224"/>
      <c r="U2714" s="224"/>
      <c r="V2714" s="224"/>
    </row>
    <row r="2715" spans="1:22" x14ac:dyDescent="0.3">
      <c r="A2715" s="222"/>
      <c r="B2715" s="235"/>
      <c r="C2715" s="227"/>
      <c r="D2715" s="344"/>
      <c r="E2715" s="235"/>
      <c r="F2715" s="235"/>
      <c r="G2715" s="227"/>
      <c r="H2715" s="227"/>
      <c r="I2715" s="350"/>
      <c r="J2715" s="227"/>
      <c r="K2715" s="227"/>
      <c r="L2715" s="224"/>
      <c r="M2715" s="224"/>
      <c r="N2715" s="224"/>
      <c r="O2715" s="224"/>
      <c r="P2715" s="224"/>
      <c r="Q2715" s="224"/>
      <c r="R2715" s="224"/>
      <c r="S2715" s="224"/>
      <c r="T2715" s="224"/>
      <c r="U2715" s="224"/>
      <c r="V2715" s="224"/>
    </row>
    <row r="2716" spans="1:22" x14ac:dyDescent="0.3">
      <c r="A2716" s="222"/>
      <c r="B2716" s="235"/>
      <c r="C2716" s="227"/>
      <c r="D2716" s="344"/>
      <c r="E2716" s="235"/>
      <c r="F2716" s="235"/>
      <c r="G2716" s="227"/>
      <c r="H2716" s="227"/>
      <c r="I2716" s="350"/>
      <c r="J2716" s="227"/>
      <c r="K2716" s="227"/>
      <c r="L2716" s="224"/>
      <c r="M2716" s="224"/>
      <c r="N2716" s="224"/>
      <c r="O2716" s="224"/>
      <c r="P2716" s="224"/>
      <c r="Q2716" s="224"/>
      <c r="R2716" s="224"/>
      <c r="S2716" s="224"/>
      <c r="T2716" s="224"/>
      <c r="U2716" s="224"/>
      <c r="V2716" s="224"/>
    </row>
    <row r="2717" spans="1:22" x14ac:dyDescent="0.3">
      <c r="A2717" s="222"/>
      <c r="B2717" s="235"/>
      <c r="C2717" s="227"/>
      <c r="D2717" s="344"/>
      <c r="E2717" s="235"/>
      <c r="F2717" s="235"/>
      <c r="G2717" s="227"/>
      <c r="H2717" s="227"/>
      <c r="I2717" s="350"/>
      <c r="J2717" s="227"/>
      <c r="K2717" s="227"/>
      <c r="L2717" s="224"/>
      <c r="M2717" s="224"/>
      <c r="N2717" s="224"/>
      <c r="O2717" s="224"/>
      <c r="P2717" s="224"/>
      <c r="Q2717" s="224"/>
      <c r="R2717" s="224"/>
      <c r="S2717" s="224"/>
      <c r="T2717" s="224"/>
      <c r="U2717" s="224"/>
      <c r="V2717" s="224"/>
    </row>
    <row r="2718" spans="1:22" x14ac:dyDescent="0.3">
      <c r="A2718" s="222"/>
      <c r="B2718" s="235"/>
      <c r="C2718" s="227"/>
      <c r="D2718" s="344"/>
      <c r="E2718" s="235"/>
      <c r="F2718" s="235"/>
      <c r="G2718" s="227"/>
      <c r="H2718" s="227"/>
      <c r="I2718" s="350"/>
      <c r="J2718" s="227"/>
      <c r="K2718" s="227"/>
      <c r="L2718" s="224"/>
      <c r="M2718" s="224"/>
      <c r="N2718" s="224"/>
      <c r="O2718" s="224"/>
      <c r="P2718" s="224"/>
      <c r="Q2718" s="224"/>
      <c r="R2718" s="224"/>
      <c r="S2718" s="224"/>
      <c r="T2718" s="224"/>
      <c r="U2718" s="224"/>
      <c r="V2718" s="224"/>
    </row>
    <row r="2719" spans="1:22" x14ac:dyDescent="0.3">
      <c r="A2719" s="222"/>
      <c r="B2719" s="235"/>
      <c r="C2719" s="227"/>
      <c r="D2719" s="344"/>
      <c r="E2719" s="235"/>
      <c r="F2719" s="235"/>
      <c r="G2719" s="227"/>
      <c r="H2719" s="227"/>
      <c r="I2719" s="350"/>
      <c r="J2719" s="227"/>
      <c r="K2719" s="227"/>
      <c r="L2719" s="224"/>
      <c r="M2719" s="224"/>
      <c r="N2719" s="224"/>
      <c r="O2719" s="224"/>
      <c r="P2719" s="224"/>
      <c r="Q2719" s="224"/>
      <c r="R2719" s="224"/>
      <c r="S2719" s="224"/>
      <c r="T2719" s="224"/>
      <c r="U2719" s="224"/>
      <c r="V2719" s="224"/>
    </row>
    <row r="2720" spans="1:22" x14ac:dyDescent="0.3">
      <c r="A2720" s="222"/>
      <c r="B2720" s="235"/>
      <c r="C2720" s="227"/>
      <c r="D2720" s="344"/>
      <c r="E2720" s="235"/>
      <c r="F2720" s="235"/>
      <c r="G2720" s="227"/>
      <c r="H2720" s="227"/>
      <c r="I2720" s="350"/>
      <c r="J2720" s="227"/>
      <c r="K2720" s="227"/>
      <c r="L2720" s="224"/>
      <c r="M2720" s="224"/>
      <c r="N2720" s="224"/>
      <c r="O2720" s="224"/>
      <c r="P2720" s="224"/>
      <c r="Q2720" s="224"/>
      <c r="R2720" s="224"/>
      <c r="S2720" s="224"/>
      <c r="T2720" s="224"/>
      <c r="U2720" s="224"/>
      <c r="V2720" s="224"/>
    </row>
    <row r="2721" spans="1:22" x14ac:dyDescent="0.3">
      <c r="A2721" s="222"/>
      <c r="B2721" s="235"/>
      <c r="C2721" s="227"/>
      <c r="D2721" s="344"/>
      <c r="E2721" s="235"/>
      <c r="F2721" s="235"/>
      <c r="G2721" s="227"/>
      <c r="H2721" s="227"/>
      <c r="I2721" s="350"/>
      <c r="J2721" s="227"/>
      <c r="K2721" s="227"/>
      <c r="L2721" s="224"/>
      <c r="M2721" s="224"/>
      <c r="N2721" s="224"/>
      <c r="O2721" s="224"/>
      <c r="P2721" s="224"/>
      <c r="Q2721" s="224"/>
      <c r="R2721" s="224"/>
      <c r="S2721" s="224"/>
      <c r="T2721" s="224"/>
      <c r="U2721" s="224"/>
      <c r="V2721" s="224"/>
    </row>
    <row r="2722" spans="1:22" x14ac:dyDescent="0.3">
      <c r="A2722" s="222"/>
      <c r="B2722" s="235"/>
      <c r="C2722" s="227"/>
      <c r="D2722" s="344"/>
      <c r="E2722" s="235"/>
      <c r="F2722" s="235"/>
      <c r="G2722" s="227"/>
      <c r="H2722" s="227"/>
      <c r="I2722" s="350"/>
      <c r="J2722" s="227"/>
      <c r="K2722" s="227"/>
      <c r="L2722" s="224"/>
      <c r="M2722" s="224"/>
      <c r="N2722" s="224"/>
      <c r="O2722" s="224"/>
      <c r="P2722" s="224"/>
      <c r="Q2722" s="224"/>
      <c r="R2722" s="224"/>
      <c r="S2722" s="224"/>
      <c r="T2722" s="224"/>
      <c r="U2722" s="224"/>
      <c r="V2722" s="224"/>
    </row>
    <row r="2723" spans="1:22" x14ac:dyDescent="0.3">
      <c r="A2723" s="222"/>
      <c r="B2723" s="235"/>
      <c r="C2723" s="227"/>
      <c r="D2723" s="344"/>
      <c r="E2723" s="235"/>
      <c r="F2723" s="235"/>
      <c r="G2723" s="227"/>
      <c r="H2723" s="227"/>
      <c r="I2723" s="350"/>
      <c r="J2723" s="227"/>
      <c r="K2723" s="227"/>
      <c r="L2723" s="224"/>
      <c r="M2723" s="224"/>
      <c r="N2723" s="224"/>
      <c r="O2723" s="224"/>
      <c r="P2723" s="224"/>
      <c r="Q2723" s="224"/>
      <c r="R2723" s="224"/>
      <c r="S2723" s="224"/>
      <c r="T2723" s="224"/>
      <c r="U2723" s="224"/>
      <c r="V2723" s="224"/>
    </row>
    <row r="2724" spans="1:22" x14ac:dyDescent="0.3">
      <c r="A2724" s="222"/>
      <c r="B2724" s="235"/>
      <c r="C2724" s="227"/>
      <c r="D2724" s="344"/>
      <c r="E2724" s="235"/>
      <c r="F2724" s="235"/>
      <c r="G2724" s="227"/>
      <c r="H2724" s="227"/>
      <c r="I2724" s="350"/>
      <c r="J2724" s="227"/>
      <c r="K2724" s="227"/>
      <c r="L2724" s="224"/>
      <c r="M2724" s="224"/>
      <c r="N2724" s="224"/>
      <c r="O2724" s="224"/>
      <c r="P2724" s="224"/>
      <c r="Q2724" s="224"/>
      <c r="R2724" s="224"/>
      <c r="S2724" s="224"/>
      <c r="T2724" s="224"/>
      <c r="U2724" s="224"/>
      <c r="V2724" s="224"/>
    </row>
    <row r="2725" spans="1:22" x14ac:dyDescent="0.3">
      <c r="A2725" s="222"/>
      <c r="B2725" s="235"/>
      <c r="C2725" s="227"/>
      <c r="D2725" s="344"/>
      <c r="E2725" s="235"/>
      <c r="F2725" s="235"/>
      <c r="G2725" s="227"/>
      <c r="H2725" s="227"/>
      <c r="I2725" s="350"/>
      <c r="J2725" s="227"/>
      <c r="K2725" s="227"/>
      <c r="L2725" s="224"/>
      <c r="M2725" s="224"/>
      <c r="N2725" s="224"/>
      <c r="O2725" s="224"/>
      <c r="P2725" s="224"/>
      <c r="Q2725" s="224"/>
      <c r="R2725" s="224"/>
      <c r="S2725" s="224"/>
      <c r="T2725" s="224"/>
      <c r="U2725" s="224"/>
      <c r="V2725" s="224"/>
    </row>
    <row r="2726" spans="1:22" x14ac:dyDescent="0.3">
      <c r="A2726" s="222"/>
      <c r="B2726" s="235"/>
      <c r="C2726" s="227"/>
      <c r="D2726" s="344"/>
      <c r="E2726" s="235"/>
      <c r="F2726" s="235"/>
      <c r="G2726" s="227"/>
      <c r="H2726" s="227"/>
      <c r="I2726" s="350"/>
      <c r="J2726" s="227"/>
      <c r="K2726" s="227"/>
      <c r="L2726" s="224"/>
      <c r="M2726" s="224"/>
      <c r="N2726" s="224"/>
      <c r="O2726" s="224"/>
      <c r="P2726" s="224"/>
      <c r="Q2726" s="224"/>
      <c r="R2726" s="224"/>
      <c r="S2726" s="224"/>
      <c r="T2726" s="224"/>
      <c r="U2726" s="224"/>
      <c r="V2726" s="224"/>
    </row>
    <row r="2727" spans="1:22" x14ac:dyDescent="0.3">
      <c r="A2727" s="222"/>
      <c r="B2727" s="235"/>
      <c r="C2727" s="227"/>
      <c r="D2727" s="344"/>
      <c r="E2727" s="235"/>
      <c r="F2727" s="235"/>
      <c r="G2727" s="227"/>
      <c r="H2727" s="227"/>
      <c r="I2727" s="350"/>
      <c r="J2727" s="227"/>
      <c r="K2727" s="227"/>
      <c r="L2727" s="224"/>
      <c r="M2727" s="224"/>
      <c r="N2727" s="224"/>
      <c r="O2727" s="224"/>
      <c r="P2727" s="224"/>
      <c r="Q2727" s="224"/>
      <c r="R2727" s="224"/>
      <c r="S2727" s="224"/>
      <c r="T2727" s="224"/>
      <c r="U2727" s="224"/>
      <c r="V2727" s="224"/>
    </row>
    <row r="2728" spans="1:22" x14ac:dyDescent="0.3">
      <c r="A2728" s="222"/>
      <c r="B2728" s="235"/>
      <c r="C2728" s="227"/>
      <c r="D2728" s="344"/>
      <c r="E2728" s="235"/>
      <c r="F2728" s="235"/>
      <c r="G2728" s="227"/>
      <c r="H2728" s="227"/>
      <c r="I2728" s="350"/>
      <c r="J2728" s="227"/>
      <c r="K2728" s="227"/>
      <c r="L2728" s="224"/>
      <c r="M2728" s="224"/>
      <c r="N2728" s="224"/>
      <c r="O2728" s="224"/>
      <c r="P2728" s="224"/>
      <c r="Q2728" s="224"/>
      <c r="R2728" s="224"/>
      <c r="S2728" s="224"/>
      <c r="T2728" s="224"/>
      <c r="U2728" s="224"/>
      <c r="V2728" s="224"/>
    </row>
    <row r="2729" spans="1:22" x14ac:dyDescent="0.3">
      <c r="A2729" s="222"/>
      <c r="B2729" s="235"/>
      <c r="C2729" s="227"/>
      <c r="D2729" s="344"/>
      <c r="E2729" s="235"/>
      <c r="F2729" s="235"/>
      <c r="G2729" s="227"/>
      <c r="H2729" s="227"/>
      <c r="I2729" s="350"/>
      <c r="J2729" s="227"/>
      <c r="K2729" s="227"/>
      <c r="L2729" s="224"/>
      <c r="M2729" s="224"/>
      <c r="N2729" s="224"/>
      <c r="O2729" s="224"/>
      <c r="P2729" s="224"/>
      <c r="Q2729" s="224"/>
      <c r="R2729" s="224"/>
      <c r="S2729" s="224"/>
      <c r="T2729" s="224"/>
      <c r="U2729" s="224"/>
      <c r="V2729" s="224"/>
    </row>
    <row r="2730" spans="1:22" x14ac:dyDescent="0.3">
      <c r="A2730" s="222"/>
      <c r="B2730" s="235"/>
      <c r="C2730" s="227"/>
      <c r="D2730" s="344"/>
      <c r="E2730" s="235"/>
      <c r="F2730" s="235"/>
      <c r="G2730" s="227"/>
      <c r="H2730" s="227"/>
      <c r="I2730" s="350"/>
      <c r="J2730" s="227"/>
      <c r="K2730" s="227"/>
      <c r="L2730" s="224"/>
      <c r="M2730" s="224"/>
      <c r="N2730" s="224"/>
      <c r="O2730" s="224"/>
      <c r="P2730" s="224"/>
      <c r="Q2730" s="224"/>
      <c r="R2730" s="224"/>
      <c r="S2730" s="224"/>
      <c r="T2730" s="224"/>
      <c r="U2730" s="224"/>
      <c r="V2730" s="224"/>
    </row>
    <row r="2731" spans="1:22" x14ac:dyDescent="0.3">
      <c r="A2731" s="222"/>
      <c r="B2731" s="235"/>
      <c r="C2731" s="227"/>
      <c r="D2731" s="344"/>
      <c r="E2731" s="235"/>
      <c r="F2731" s="235"/>
      <c r="G2731" s="227"/>
      <c r="H2731" s="227"/>
      <c r="I2731" s="350"/>
      <c r="J2731" s="227"/>
      <c r="K2731" s="227"/>
      <c r="L2731" s="224"/>
      <c r="M2731" s="224"/>
      <c r="N2731" s="224"/>
      <c r="O2731" s="224"/>
      <c r="P2731" s="224"/>
      <c r="Q2731" s="224"/>
      <c r="R2731" s="224"/>
      <c r="S2731" s="224"/>
      <c r="T2731" s="224"/>
      <c r="U2731" s="224"/>
      <c r="V2731" s="224"/>
    </row>
    <row r="2732" spans="1:22" x14ac:dyDescent="0.3">
      <c r="A2732" s="222"/>
      <c r="B2732" s="235"/>
      <c r="C2732" s="227"/>
      <c r="D2732" s="344"/>
      <c r="E2732" s="235"/>
      <c r="F2732" s="235"/>
      <c r="G2732" s="227"/>
      <c r="H2732" s="227"/>
      <c r="I2732" s="350"/>
      <c r="J2732" s="227"/>
      <c r="K2732" s="227"/>
      <c r="L2732" s="224"/>
      <c r="M2732" s="224"/>
      <c r="N2732" s="224"/>
      <c r="O2732" s="224"/>
      <c r="P2732" s="224"/>
      <c r="Q2732" s="224"/>
      <c r="R2732" s="224"/>
      <c r="S2732" s="224"/>
      <c r="T2732" s="224"/>
      <c r="U2732" s="224"/>
      <c r="V2732" s="224"/>
    </row>
    <row r="2733" spans="1:22" x14ac:dyDescent="0.3">
      <c r="A2733" s="222"/>
      <c r="B2733" s="235"/>
      <c r="C2733" s="227"/>
      <c r="D2733" s="344"/>
      <c r="E2733" s="235"/>
      <c r="F2733" s="235"/>
      <c r="G2733" s="227"/>
      <c r="H2733" s="227"/>
      <c r="I2733" s="350"/>
      <c r="J2733" s="227"/>
      <c r="K2733" s="227"/>
      <c r="L2733" s="224"/>
      <c r="M2733" s="224"/>
      <c r="N2733" s="224"/>
      <c r="O2733" s="224"/>
      <c r="P2733" s="224"/>
      <c r="Q2733" s="224"/>
      <c r="R2733" s="224"/>
      <c r="S2733" s="224"/>
      <c r="T2733" s="224"/>
      <c r="U2733" s="224"/>
      <c r="V2733" s="224"/>
    </row>
    <row r="2734" spans="1:22" x14ac:dyDescent="0.3">
      <c r="A2734" s="222"/>
      <c r="B2734" s="235"/>
      <c r="C2734" s="227"/>
      <c r="D2734" s="344"/>
      <c r="E2734" s="235"/>
      <c r="F2734" s="235"/>
      <c r="G2734" s="227"/>
      <c r="H2734" s="227"/>
      <c r="I2734" s="350"/>
      <c r="J2734" s="227"/>
      <c r="K2734" s="227"/>
      <c r="L2734" s="224"/>
      <c r="M2734" s="224"/>
      <c r="N2734" s="224"/>
      <c r="O2734" s="224"/>
      <c r="P2734" s="224"/>
      <c r="Q2734" s="224"/>
      <c r="R2734" s="224"/>
      <c r="S2734" s="224"/>
      <c r="T2734" s="224"/>
      <c r="U2734" s="224"/>
      <c r="V2734" s="224"/>
    </row>
    <row r="2735" spans="1:22" x14ac:dyDescent="0.3">
      <c r="A2735" s="222"/>
      <c r="B2735" s="235"/>
      <c r="C2735" s="227"/>
      <c r="D2735" s="344"/>
      <c r="E2735" s="235"/>
      <c r="F2735" s="235"/>
      <c r="G2735" s="227"/>
      <c r="H2735" s="227"/>
      <c r="I2735" s="350"/>
      <c r="J2735" s="227"/>
      <c r="K2735" s="227"/>
      <c r="L2735" s="224"/>
      <c r="M2735" s="224"/>
      <c r="N2735" s="224"/>
      <c r="O2735" s="224"/>
      <c r="P2735" s="224"/>
      <c r="Q2735" s="224"/>
      <c r="R2735" s="224"/>
      <c r="S2735" s="224"/>
      <c r="T2735" s="224"/>
      <c r="U2735" s="224"/>
      <c r="V2735" s="224"/>
    </row>
    <row r="2736" spans="1:22" x14ac:dyDescent="0.3">
      <c r="A2736" s="222"/>
      <c r="B2736" s="235"/>
      <c r="C2736" s="227"/>
      <c r="D2736" s="344"/>
      <c r="E2736" s="235"/>
      <c r="F2736" s="235"/>
      <c r="G2736" s="227"/>
      <c r="H2736" s="227"/>
      <c r="I2736" s="350"/>
      <c r="J2736" s="227"/>
      <c r="K2736" s="227"/>
      <c r="L2736" s="224"/>
      <c r="M2736" s="224"/>
      <c r="N2736" s="224"/>
      <c r="O2736" s="224"/>
      <c r="P2736" s="224"/>
      <c r="Q2736" s="224"/>
      <c r="R2736" s="224"/>
      <c r="S2736" s="224"/>
      <c r="T2736" s="224"/>
      <c r="U2736" s="224"/>
      <c r="V2736" s="224"/>
    </row>
    <row r="2737" spans="1:22" x14ac:dyDescent="0.3">
      <c r="A2737" s="222"/>
      <c r="B2737" s="235"/>
      <c r="C2737" s="227"/>
      <c r="D2737" s="344"/>
      <c r="E2737" s="235"/>
      <c r="F2737" s="235"/>
      <c r="G2737" s="227"/>
      <c r="H2737" s="227"/>
      <c r="I2737" s="350"/>
      <c r="J2737" s="227"/>
      <c r="K2737" s="227"/>
      <c r="L2737" s="224"/>
      <c r="M2737" s="224"/>
      <c r="N2737" s="224"/>
      <c r="O2737" s="224"/>
      <c r="P2737" s="224"/>
      <c r="Q2737" s="224"/>
      <c r="R2737" s="224"/>
      <c r="S2737" s="224"/>
      <c r="T2737" s="224"/>
      <c r="U2737" s="224"/>
      <c r="V2737" s="224"/>
    </row>
    <row r="2738" spans="1:22" x14ac:dyDescent="0.3">
      <c r="A2738" s="222"/>
      <c r="B2738" s="235"/>
      <c r="C2738" s="227"/>
      <c r="D2738" s="344"/>
      <c r="E2738" s="235"/>
      <c r="F2738" s="235"/>
      <c r="G2738" s="227"/>
      <c r="H2738" s="227"/>
      <c r="I2738" s="350"/>
      <c r="J2738" s="227"/>
      <c r="K2738" s="227"/>
      <c r="L2738" s="224"/>
      <c r="M2738" s="224"/>
      <c r="N2738" s="224"/>
      <c r="O2738" s="224"/>
      <c r="P2738" s="224"/>
      <c r="Q2738" s="224"/>
      <c r="R2738" s="224"/>
      <c r="S2738" s="224"/>
      <c r="T2738" s="224"/>
      <c r="U2738" s="224"/>
      <c r="V2738" s="224"/>
    </row>
    <row r="2739" spans="1:22" x14ac:dyDescent="0.3">
      <c r="A2739" s="222"/>
      <c r="B2739" s="235"/>
      <c r="C2739" s="227"/>
      <c r="D2739" s="344"/>
      <c r="E2739" s="235"/>
      <c r="F2739" s="235"/>
      <c r="G2739" s="227"/>
      <c r="H2739" s="227"/>
      <c r="I2739" s="350"/>
      <c r="J2739" s="227"/>
      <c r="K2739" s="227"/>
      <c r="L2739" s="224"/>
      <c r="M2739" s="224"/>
      <c r="N2739" s="224"/>
      <c r="O2739" s="224"/>
      <c r="P2739" s="224"/>
      <c r="Q2739" s="224"/>
      <c r="R2739" s="224"/>
      <c r="S2739" s="224"/>
      <c r="T2739" s="224"/>
      <c r="U2739" s="224"/>
      <c r="V2739" s="224"/>
    </row>
    <row r="2740" spans="1:22" x14ac:dyDescent="0.3">
      <c r="A2740" s="222"/>
      <c r="B2740" s="235"/>
      <c r="C2740" s="227"/>
      <c r="D2740" s="344"/>
      <c r="E2740" s="235"/>
      <c r="F2740" s="235"/>
      <c r="G2740" s="227"/>
      <c r="H2740" s="227"/>
      <c r="I2740" s="350"/>
      <c r="J2740" s="227"/>
      <c r="K2740" s="227"/>
      <c r="L2740" s="224"/>
      <c r="M2740" s="224"/>
      <c r="N2740" s="224"/>
      <c r="O2740" s="224"/>
      <c r="P2740" s="224"/>
      <c r="Q2740" s="224"/>
      <c r="R2740" s="224"/>
      <c r="S2740" s="224"/>
      <c r="T2740" s="224"/>
      <c r="U2740" s="224"/>
      <c r="V2740" s="224"/>
    </row>
    <row r="2741" spans="1:22" x14ac:dyDescent="0.3">
      <c r="A2741" s="222"/>
      <c r="B2741" s="235"/>
      <c r="C2741" s="227"/>
      <c r="D2741" s="344"/>
      <c r="E2741" s="235"/>
      <c r="F2741" s="235"/>
      <c r="G2741" s="227"/>
      <c r="H2741" s="227"/>
      <c r="I2741" s="350"/>
      <c r="J2741" s="227"/>
      <c r="K2741" s="227"/>
      <c r="L2741" s="224"/>
      <c r="M2741" s="224"/>
      <c r="N2741" s="224"/>
      <c r="O2741" s="224"/>
      <c r="P2741" s="224"/>
      <c r="Q2741" s="224"/>
      <c r="R2741" s="224"/>
      <c r="S2741" s="224"/>
      <c r="T2741" s="224"/>
      <c r="U2741" s="224"/>
      <c r="V2741" s="224"/>
    </row>
    <row r="2742" spans="1:22" x14ac:dyDescent="0.3">
      <c r="A2742" s="222"/>
      <c r="B2742" s="235"/>
      <c r="C2742" s="227"/>
      <c r="D2742" s="344"/>
      <c r="E2742" s="235"/>
      <c r="F2742" s="235"/>
      <c r="G2742" s="227"/>
      <c r="H2742" s="227"/>
      <c r="I2742" s="350"/>
      <c r="J2742" s="227"/>
      <c r="K2742" s="227"/>
      <c r="L2742" s="224"/>
      <c r="M2742" s="224"/>
      <c r="N2742" s="224"/>
      <c r="O2742" s="224"/>
      <c r="P2742" s="224"/>
      <c r="Q2742" s="224"/>
      <c r="R2742" s="224"/>
      <c r="S2742" s="224"/>
      <c r="T2742" s="224"/>
      <c r="U2742" s="224"/>
      <c r="V2742" s="224"/>
    </row>
    <row r="2743" spans="1:22" x14ac:dyDescent="0.3">
      <c r="A2743" s="222"/>
      <c r="B2743" s="235"/>
      <c r="C2743" s="227"/>
      <c r="D2743" s="344"/>
      <c r="E2743" s="235"/>
      <c r="F2743" s="235"/>
      <c r="G2743" s="227"/>
      <c r="H2743" s="227"/>
      <c r="I2743" s="350"/>
      <c r="J2743" s="227"/>
      <c r="K2743" s="227"/>
      <c r="L2743" s="224"/>
      <c r="M2743" s="224"/>
      <c r="N2743" s="224"/>
      <c r="O2743" s="224"/>
      <c r="P2743" s="224"/>
      <c r="Q2743" s="224"/>
      <c r="R2743" s="224"/>
      <c r="S2743" s="224"/>
      <c r="T2743" s="224"/>
      <c r="U2743" s="224"/>
      <c r="V2743" s="224"/>
    </row>
    <row r="2744" spans="1:22" x14ac:dyDescent="0.3">
      <c r="A2744" s="222"/>
      <c r="B2744" s="235"/>
      <c r="C2744" s="227"/>
      <c r="D2744" s="344"/>
      <c r="E2744" s="235"/>
      <c r="F2744" s="235"/>
      <c r="G2744" s="227"/>
      <c r="H2744" s="227"/>
      <c r="I2744" s="350"/>
      <c r="J2744" s="227"/>
      <c r="K2744" s="227"/>
      <c r="L2744" s="224"/>
      <c r="M2744" s="224"/>
      <c r="N2744" s="224"/>
      <c r="O2744" s="224"/>
      <c r="P2744" s="224"/>
      <c r="Q2744" s="224"/>
      <c r="R2744" s="224"/>
      <c r="S2744" s="224"/>
      <c r="T2744" s="224"/>
      <c r="U2744" s="224"/>
      <c r="V2744" s="224"/>
    </row>
    <row r="2745" spans="1:22" x14ac:dyDescent="0.3">
      <c r="A2745" s="222"/>
      <c r="B2745" s="235"/>
      <c r="C2745" s="227"/>
      <c r="D2745" s="344"/>
      <c r="E2745" s="235"/>
      <c r="F2745" s="235"/>
      <c r="G2745" s="227"/>
      <c r="H2745" s="227"/>
      <c r="I2745" s="350"/>
      <c r="J2745" s="227"/>
      <c r="K2745" s="227"/>
      <c r="L2745" s="224"/>
      <c r="M2745" s="224"/>
      <c r="N2745" s="224"/>
      <c r="O2745" s="224"/>
      <c r="P2745" s="224"/>
      <c r="Q2745" s="224"/>
      <c r="R2745" s="224"/>
      <c r="S2745" s="224"/>
      <c r="T2745" s="224"/>
      <c r="U2745" s="224"/>
      <c r="V2745" s="224"/>
    </row>
    <row r="2746" spans="1:22" x14ac:dyDescent="0.3">
      <c r="A2746" s="222"/>
      <c r="B2746" s="235"/>
      <c r="C2746" s="227"/>
      <c r="D2746" s="344"/>
      <c r="E2746" s="235"/>
      <c r="F2746" s="235"/>
      <c r="G2746" s="227"/>
      <c r="H2746" s="227"/>
      <c r="I2746" s="350"/>
      <c r="J2746" s="227"/>
      <c r="K2746" s="227"/>
      <c r="L2746" s="224"/>
      <c r="M2746" s="224"/>
      <c r="N2746" s="224"/>
      <c r="O2746" s="224"/>
      <c r="P2746" s="224"/>
      <c r="Q2746" s="224"/>
      <c r="R2746" s="224"/>
      <c r="S2746" s="224"/>
      <c r="T2746" s="224"/>
      <c r="U2746" s="224"/>
      <c r="V2746" s="224"/>
    </row>
    <row r="2747" spans="1:22" x14ac:dyDescent="0.3">
      <c r="A2747" s="222"/>
      <c r="B2747" s="235"/>
      <c r="C2747" s="227"/>
      <c r="D2747" s="344"/>
      <c r="E2747" s="235"/>
      <c r="F2747" s="235"/>
      <c r="G2747" s="227"/>
      <c r="H2747" s="227"/>
      <c r="I2747" s="350"/>
      <c r="J2747" s="227"/>
      <c r="K2747" s="227"/>
      <c r="L2747" s="224"/>
      <c r="M2747" s="224"/>
      <c r="N2747" s="224"/>
      <c r="O2747" s="224"/>
      <c r="P2747" s="224"/>
      <c r="Q2747" s="224"/>
      <c r="R2747" s="224"/>
      <c r="S2747" s="224"/>
      <c r="T2747" s="224"/>
      <c r="U2747" s="224"/>
      <c r="V2747" s="224"/>
    </row>
    <row r="2748" spans="1:22" x14ac:dyDescent="0.3">
      <c r="A2748" s="222"/>
      <c r="B2748" s="235"/>
      <c r="C2748" s="227"/>
      <c r="D2748" s="344"/>
      <c r="E2748" s="235"/>
      <c r="F2748" s="235"/>
      <c r="G2748" s="227"/>
      <c r="H2748" s="227"/>
      <c r="I2748" s="350"/>
      <c r="J2748" s="227"/>
      <c r="K2748" s="227"/>
      <c r="L2748" s="224"/>
      <c r="M2748" s="224"/>
      <c r="N2748" s="224"/>
      <c r="O2748" s="224"/>
      <c r="P2748" s="224"/>
      <c r="Q2748" s="224"/>
      <c r="R2748" s="224"/>
      <c r="S2748" s="224"/>
      <c r="T2748" s="224"/>
      <c r="U2748" s="224"/>
      <c r="V2748" s="224"/>
    </row>
    <row r="2749" spans="1:22" x14ac:dyDescent="0.3">
      <c r="A2749" s="222"/>
      <c r="B2749" s="235"/>
      <c r="C2749" s="227"/>
      <c r="D2749" s="344"/>
      <c r="E2749" s="235"/>
      <c r="F2749" s="235"/>
      <c r="G2749" s="227"/>
      <c r="H2749" s="227"/>
      <c r="I2749" s="350"/>
      <c r="J2749" s="227"/>
      <c r="K2749" s="227"/>
      <c r="L2749" s="224"/>
      <c r="M2749" s="224"/>
      <c r="N2749" s="224"/>
      <c r="O2749" s="224"/>
      <c r="P2749" s="224"/>
      <c r="Q2749" s="224"/>
      <c r="R2749" s="224"/>
      <c r="S2749" s="224"/>
      <c r="T2749" s="224"/>
      <c r="U2749" s="224"/>
      <c r="V2749" s="224"/>
    </row>
    <row r="2750" spans="1:22" x14ac:dyDescent="0.3">
      <c r="A2750" s="222"/>
      <c r="B2750" s="235"/>
      <c r="C2750" s="227"/>
      <c r="D2750" s="344"/>
      <c r="E2750" s="235"/>
      <c r="F2750" s="235"/>
      <c r="G2750" s="227"/>
      <c r="H2750" s="227"/>
      <c r="I2750" s="350"/>
      <c r="J2750" s="227"/>
      <c r="K2750" s="227"/>
      <c r="L2750" s="224"/>
      <c r="M2750" s="224"/>
      <c r="N2750" s="224"/>
      <c r="O2750" s="224"/>
      <c r="P2750" s="224"/>
      <c r="Q2750" s="224"/>
      <c r="R2750" s="224"/>
      <c r="S2750" s="224"/>
      <c r="T2750" s="224"/>
      <c r="U2750" s="224"/>
      <c r="V2750" s="224"/>
    </row>
    <row r="2751" spans="1:22" x14ac:dyDescent="0.3">
      <c r="A2751" s="222"/>
      <c r="B2751" s="235"/>
      <c r="C2751" s="227"/>
      <c r="D2751" s="344"/>
      <c r="E2751" s="235"/>
      <c r="F2751" s="235"/>
      <c r="G2751" s="227"/>
      <c r="H2751" s="227"/>
      <c r="I2751" s="350"/>
      <c r="J2751" s="227"/>
      <c r="K2751" s="227"/>
      <c r="L2751" s="224"/>
      <c r="M2751" s="224"/>
      <c r="N2751" s="224"/>
      <c r="O2751" s="224"/>
      <c r="P2751" s="224"/>
      <c r="Q2751" s="224"/>
      <c r="R2751" s="224"/>
      <c r="S2751" s="224"/>
      <c r="T2751" s="224"/>
      <c r="U2751" s="224"/>
      <c r="V2751" s="224"/>
    </row>
    <row r="2752" spans="1:22" x14ac:dyDescent="0.3">
      <c r="A2752" s="222"/>
      <c r="B2752" s="235"/>
      <c r="C2752" s="227"/>
      <c r="D2752" s="344"/>
      <c r="E2752" s="235"/>
      <c r="F2752" s="235"/>
      <c r="G2752" s="227"/>
      <c r="H2752" s="227"/>
      <c r="I2752" s="350"/>
      <c r="J2752" s="227"/>
      <c r="K2752" s="227"/>
      <c r="L2752" s="224"/>
      <c r="M2752" s="224"/>
      <c r="N2752" s="224"/>
      <c r="O2752" s="224"/>
      <c r="P2752" s="224"/>
      <c r="Q2752" s="224"/>
      <c r="R2752" s="224"/>
      <c r="S2752" s="224"/>
      <c r="T2752" s="224"/>
      <c r="U2752" s="224"/>
      <c r="V2752" s="224"/>
    </row>
    <row r="2753" spans="1:22" x14ac:dyDescent="0.3">
      <c r="A2753" s="222"/>
      <c r="B2753" s="235"/>
      <c r="C2753" s="227"/>
      <c r="D2753" s="344"/>
      <c r="E2753" s="235"/>
      <c r="F2753" s="235"/>
      <c r="G2753" s="227"/>
      <c r="H2753" s="227"/>
      <c r="I2753" s="350"/>
      <c r="J2753" s="227"/>
      <c r="K2753" s="227"/>
      <c r="L2753" s="224"/>
      <c r="M2753" s="224"/>
      <c r="N2753" s="224"/>
      <c r="O2753" s="224"/>
      <c r="P2753" s="224"/>
      <c r="Q2753" s="224"/>
      <c r="R2753" s="224"/>
      <c r="S2753" s="224"/>
      <c r="T2753" s="224"/>
      <c r="U2753" s="224"/>
      <c r="V2753" s="224"/>
    </row>
    <row r="2754" spans="1:22" x14ac:dyDescent="0.3">
      <c r="A2754" s="222"/>
      <c r="B2754" s="235"/>
      <c r="C2754" s="227"/>
      <c r="D2754" s="344"/>
      <c r="E2754" s="235"/>
      <c r="F2754" s="235"/>
      <c r="G2754" s="227"/>
      <c r="H2754" s="227"/>
      <c r="I2754" s="350"/>
      <c r="J2754" s="227"/>
      <c r="K2754" s="227"/>
      <c r="L2754" s="224"/>
      <c r="M2754" s="224"/>
      <c r="N2754" s="224"/>
      <c r="O2754" s="224"/>
      <c r="P2754" s="224"/>
      <c r="Q2754" s="224"/>
      <c r="R2754" s="224"/>
      <c r="S2754" s="224"/>
      <c r="T2754" s="224"/>
      <c r="U2754" s="224"/>
      <c r="V2754" s="224"/>
    </row>
    <row r="2755" spans="1:22" x14ac:dyDescent="0.3">
      <c r="A2755" s="222"/>
      <c r="B2755" s="235"/>
      <c r="C2755" s="227"/>
      <c r="D2755" s="344"/>
      <c r="E2755" s="235"/>
      <c r="F2755" s="235"/>
      <c r="G2755" s="227"/>
      <c r="H2755" s="227"/>
      <c r="I2755" s="350"/>
      <c r="J2755" s="227"/>
      <c r="K2755" s="227"/>
      <c r="L2755" s="224"/>
      <c r="M2755" s="224"/>
      <c r="N2755" s="224"/>
      <c r="O2755" s="224"/>
      <c r="P2755" s="224"/>
      <c r="Q2755" s="224"/>
      <c r="R2755" s="224"/>
      <c r="S2755" s="224"/>
      <c r="T2755" s="224"/>
      <c r="U2755" s="224"/>
      <c r="V2755" s="224"/>
    </row>
    <row r="2756" spans="1:22" x14ac:dyDescent="0.3">
      <c r="A2756" s="222"/>
      <c r="B2756" s="235"/>
      <c r="C2756" s="227"/>
      <c r="D2756" s="344"/>
      <c r="E2756" s="235"/>
      <c r="F2756" s="235"/>
      <c r="G2756" s="227"/>
      <c r="H2756" s="227"/>
      <c r="I2756" s="350"/>
      <c r="J2756" s="227"/>
      <c r="K2756" s="227"/>
      <c r="L2756" s="224"/>
      <c r="M2756" s="224"/>
      <c r="N2756" s="224"/>
      <c r="O2756" s="224"/>
      <c r="P2756" s="224"/>
      <c r="Q2756" s="224"/>
      <c r="R2756" s="224"/>
      <c r="S2756" s="224"/>
      <c r="T2756" s="224"/>
      <c r="U2756" s="224"/>
      <c r="V2756" s="224"/>
    </row>
    <row r="2757" spans="1:22" x14ac:dyDescent="0.3">
      <c r="A2757" s="222"/>
      <c r="B2757" s="235"/>
      <c r="C2757" s="227"/>
      <c r="D2757" s="344"/>
      <c r="E2757" s="235"/>
      <c r="F2757" s="235"/>
      <c r="G2757" s="227"/>
      <c r="H2757" s="227"/>
      <c r="I2757" s="350"/>
      <c r="J2757" s="227"/>
      <c r="K2757" s="227"/>
      <c r="L2757" s="224"/>
      <c r="M2757" s="224"/>
      <c r="N2757" s="224"/>
      <c r="O2757" s="224"/>
      <c r="P2757" s="224"/>
      <c r="Q2757" s="224"/>
      <c r="R2757" s="224"/>
      <c r="S2757" s="224"/>
      <c r="T2757" s="224"/>
      <c r="U2757" s="224"/>
      <c r="V2757" s="224"/>
    </row>
    <row r="2758" spans="1:22" x14ac:dyDescent="0.3">
      <c r="A2758" s="222"/>
      <c r="B2758" s="235"/>
      <c r="C2758" s="227"/>
      <c r="D2758" s="344"/>
      <c r="E2758" s="235"/>
      <c r="F2758" s="235"/>
      <c r="G2758" s="227"/>
      <c r="H2758" s="227"/>
      <c r="I2758" s="350"/>
      <c r="J2758" s="227"/>
      <c r="K2758" s="227"/>
      <c r="L2758" s="224"/>
      <c r="M2758" s="224"/>
      <c r="N2758" s="224"/>
      <c r="O2758" s="224"/>
      <c r="P2758" s="224"/>
      <c r="Q2758" s="224"/>
      <c r="R2758" s="224"/>
      <c r="S2758" s="224"/>
      <c r="T2758" s="224"/>
      <c r="U2758" s="224"/>
      <c r="V2758" s="224"/>
    </row>
    <row r="2759" spans="1:22" x14ac:dyDescent="0.3">
      <c r="A2759" s="222"/>
      <c r="B2759" s="235"/>
      <c r="C2759" s="227"/>
      <c r="D2759" s="344"/>
      <c r="E2759" s="235"/>
      <c r="F2759" s="235"/>
      <c r="G2759" s="227"/>
      <c r="H2759" s="227"/>
      <c r="I2759" s="350"/>
      <c r="J2759" s="227"/>
      <c r="K2759" s="227"/>
      <c r="L2759" s="224"/>
      <c r="M2759" s="224"/>
      <c r="N2759" s="224"/>
      <c r="O2759" s="224"/>
      <c r="P2759" s="224"/>
      <c r="Q2759" s="224"/>
      <c r="R2759" s="224"/>
      <c r="S2759" s="224"/>
      <c r="T2759" s="224"/>
      <c r="U2759" s="224"/>
      <c r="V2759" s="224"/>
    </row>
    <row r="2760" spans="1:22" x14ac:dyDescent="0.3">
      <c r="A2760" s="222"/>
      <c r="B2760" s="235"/>
      <c r="C2760" s="227"/>
      <c r="D2760" s="344"/>
      <c r="E2760" s="235"/>
      <c r="F2760" s="235"/>
      <c r="G2760" s="227"/>
      <c r="H2760" s="227"/>
      <c r="I2760" s="350"/>
      <c r="J2760" s="227"/>
      <c r="K2760" s="227"/>
      <c r="L2760" s="224"/>
      <c r="M2760" s="224"/>
      <c r="N2760" s="224"/>
      <c r="O2760" s="224"/>
      <c r="P2760" s="224"/>
      <c r="Q2760" s="224"/>
      <c r="R2760" s="224"/>
      <c r="S2760" s="224"/>
      <c r="T2760" s="224"/>
      <c r="U2760" s="224"/>
      <c r="V2760" s="224"/>
    </row>
    <row r="2761" spans="1:22" x14ac:dyDescent="0.3">
      <c r="A2761" s="222"/>
      <c r="B2761" s="235"/>
      <c r="C2761" s="227"/>
      <c r="D2761" s="344"/>
      <c r="E2761" s="235"/>
      <c r="F2761" s="235"/>
      <c r="G2761" s="227"/>
      <c r="H2761" s="227"/>
      <c r="I2761" s="350"/>
      <c r="J2761" s="227"/>
      <c r="K2761" s="227"/>
      <c r="L2761" s="224"/>
      <c r="M2761" s="224"/>
      <c r="N2761" s="224"/>
      <c r="O2761" s="224"/>
      <c r="P2761" s="224"/>
      <c r="Q2761" s="224"/>
      <c r="R2761" s="224"/>
      <c r="S2761" s="224"/>
      <c r="T2761" s="224"/>
      <c r="U2761" s="224"/>
      <c r="V2761" s="224"/>
    </row>
    <row r="2762" spans="1:22" x14ac:dyDescent="0.3">
      <c r="A2762" s="222"/>
      <c r="B2762" s="235"/>
      <c r="C2762" s="227"/>
      <c r="D2762" s="344"/>
      <c r="E2762" s="235"/>
      <c r="F2762" s="235"/>
      <c r="G2762" s="227"/>
      <c r="H2762" s="227"/>
      <c r="I2762" s="350"/>
      <c r="J2762" s="227"/>
      <c r="K2762" s="227"/>
      <c r="L2762" s="224"/>
      <c r="M2762" s="224"/>
      <c r="N2762" s="224"/>
      <c r="O2762" s="224"/>
      <c r="P2762" s="224"/>
      <c r="Q2762" s="224"/>
      <c r="R2762" s="224"/>
      <c r="S2762" s="224"/>
      <c r="T2762" s="224"/>
      <c r="U2762" s="224"/>
      <c r="V2762" s="224"/>
    </row>
    <row r="2763" spans="1:22" x14ac:dyDescent="0.3">
      <c r="A2763" s="222"/>
      <c r="B2763" s="235"/>
      <c r="C2763" s="227"/>
      <c r="D2763" s="344"/>
      <c r="E2763" s="235"/>
      <c r="F2763" s="235"/>
      <c r="G2763" s="227"/>
      <c r="H2763" s="227"/>
      <c r="I2763" s="350"/>
      <c r="J2763" s="227"/>
      <c r="K2763" s="227"/>
      <c r="L2763" s="224"/>
      <c r="M2763" s="224"/>
      <c r="N2763" s="224"/>
      <c r="O2763" s="224"/>
      <c r="P2763" s="224"/>
      <c r="Q2763" s="224"/>
      <c r="R2763" s="224"/>
      <c r="S2763" s="224"/>
      <c r="T2763" s="224"/>
      <c r="U2763" s="224"/>
      <c r="V2763" s="224"/>
    </row>
    <row r="2764" spans="1:22" x14ac:dyDescent="0.3">
      <c r="A2764" s="222"/>
      <c r="B2764" s="235"/>
      <c r="C2764" s="227"/>
      <c r="D2764" s="344"/>
      <c r="E2764" s="235"/>
      <c r="F2764" s="235"/>
      <c r="G2764" s="227"/>
      <c r="H2764" s="227"/>
      <c r="I2764" s="350"/>
      <c r="J2764" s="227"/>
      <c r="K2764" s="227"/>
      <c r="L2764" s="224"/>
      <c r="M2764" s="224"/>
      <c r="N2764" s="224"/>
      <c r="O2764" s="224"/>
      <c r="P2764" s="224"/>
      <c r="Q2764" s="224"/>
      <c r="R2764" s="224"/>
      <c r="S2764" s="224"/>
      <c r="T2764" s="224"/>
      <c r="U2764" s="224"/>
      <c r="V2764" s="224"/>
    </row>
    <row r="2765" spans="1:22" x14ac:dyDescent="0.3">
      <c r="A2765" s="222"/>
      <c r="B2765" s="235"/>
      <c r="C2765" s="227"/>
      <c r="D2765" s="344"/>
      <c r="E2765" s="235"/>
      <c r="F2765" s="235"/>
      <c r="G2765" s="227"/>
      <c r="H2765" s="227"/>
      <c r="I2765" s="350"/>
      <c r="J2765" s="227"/>
      <c r="K2765" s="227"/>
      <c r="L2765" s="224"/>
      <c r="M2765" s="224"/>
      <c r="N2765" s="224"/>
      <c r="O2765" s="224"/>
      <c r="P2765" s="224"/>
      <c r="Q2765" s="224"/>
      <c r="R2765" s="224"/>
      <c r="S2765" s="224"/>
      <c r="T2765" s="224"/>
      <c r="U2765" s="224"/>
      <c r="V2765" s="224"/>
    </row>
    <row r="2766" spans="1:22" x14ac:dyDescent="0.3">
      <c r="A2766" s="222"/>
      <c r="B2766" s="235"/>
      <c r="C2766" s="227"/>
      <c r="D2766" s="344"/>
      <c r="E2766" s="235"/>
      <c r="F2766" s="235"/>
      <c r="G2766" s="227"/>
      <c r="H2766" s="227"/>
      <c r="I2766" s="350"/>
      <c r="J2766" s="227"/>
      <c r="K2766" s="227"/>
      <c r="L2766" s="224"/>
      <c r="M2766" s="224"/>
      <c r="N2766" s="224"/>
      <c r="O2766" s="224"/>
      <c r="P2766" s="224"/>
      <c r="Q2766" s="224"/>
      <c r="R2766" s="224"/>
      <c r="S2766" s="224"/>
      <c r="T2766" s="224"/>
      <c r="U2766" s="224"/>
      <c r="V2766" s="224"/>
    </row>
    <row r="2767" spans="1:22" x14ac:dyDescent="0.3">
      <c r="A2767" s="222"/>
      <c r="B2767" s="235"/>
      <c r="C2767" s="227"/>
      <c r="D2767" s="344"/>
      <c r="E2767" s="235"/>
      <c r="F2767" s="235"/>
      <c r="G2767" s="227"/>
      <c r="H2767" s="227"/>
      <c r="I2767" s="350"/>
      <c r="J2767" s="227"/>
      <c r="K2767" s="227"/>
      <c r="L2767" s="224"/>
      <c r="M2767" s="224"/>
      <c r="N2767" s="224"/>
      <c r="O2767" s="224"/>
      <c r="P2767" s="224"/>
      <c r="Q2767" s="224"/>
      <c r="R2767" s="224"/>
      <c r="S2767" s="224"/>
      <c r="T2767" s="224"/>
      <c r="U2767" s="224"/>
      <c r="V2767" s="224"/>
    </row>
    <row r="2768" spans="1:22" x14ac:dyDescent="0.3">
      <c r="A2768" s="222"/>
      <c r="B2768" s="235"/>
      <c r="C2768" s="227"/>
      <c r="D2768" s="344"/>
      <c r="E2768" s="235"/>
      <c r="F2768" s="235"/>
      <c r="G2768" s="227"/>
      <c r="H2768" s="227"/>
      <c r="I2768" s="350"/>
      <c r="J2768" s="227"/>
      <c r="K2768" s="227"/>
      <c r="L2768" s="224"/>
      <c r="M2768" s="224"/>
      <c r="N2768" s="224"/>
      <c r="O2768" s="224"/>
      <c r="P2768" s="224"/>
      <c r="Q2768" s="224"/>
      <c r="R2768" s="224"/>
      <c r="S2768" s="224"/>
      <c r="T2768" s="224"/>
      <c r="U2768" s="224"/>
      <c r="V2768" s="224"/>
    </row>
    <row r="2769" spans="1:22" x14ac:dyDescent="0.3">
      <c r="A2769" s="222"/>
      <c r="B2769" s="235"/>
      <c r="C2769" s="227"/>
      <c r="D2769" s="344"/>
      <c r="E2769" s="235"/>
      <c r="F2769" s="235"/>
      <c r="G2769" s="227"/>
      <c r="H2769" s="227"/>
      <c r="I2769" s="350"/>
      <c r="J2769" s="227"/>
      <c r="K2769" s="227"/>
      <c r="L2769" s="224"/>
      <c r="M2769" s="224"/>
      <c r="N2769" s="224"/>
      <c r="O2769" s="224"/>
      <c r="P2769" s="224"/>
      <c r="Q2769" s="224"/>
      <c r="R2769" s="224"/>
      <c r="S2769" s="224"/>
      <c r="T2769" s="224"/>
      <c r="U2769" s="224"/>
      <c r="V2769" s="224"/>
    </row>
    <row r="2770" spans="1:22" x14ac:dyDescent="0.3">
      <c r="A2770" s="222"/>
      <c r="B2770" s="235"/>
      <c r="C2770" s="227"/>
      <c r="D2770" s="344"/>
      <c r="E2770" s="235"/>
      <c r="F2770" s="235"/>
      <c r="G2770" s="227"/>
      <c r="H2770" s="227"/>
      <c r="I2770" s="350"/>
      <c r="J2770" s="227"/>
      <c r="K2770" s="227"/>
      <c r="L2770" s="224"/>
      <c r="M2770" s="224"/>
      <c r="N2770" s="224"/>
      <c r="O2770" s="224"/>
      <c r="P2770" s="224"/>
      <c r="Q2770" s="224"/>
      <c r="R2770" s="224"/>
      <c r="S2770" s="224"/>
      <c r="T2770" s="224"/>
      <c r="U2770" s="224"/>
      <c r="V2770" s="224"/>
    </row>
    <row r="2771" spans="1:22" x14ac:dyDescent="0.3">
      <c r="A2771" s="222"/>
      <c r="B2771" s="235"/>
      <c r="C2771" s="227"/>
      <c r="D2771" s="344"/>
      <c r="E2771" s="235"/>
      <c r="F2771" s="235"/>
      <c r="G2771" s="227"/>
      <c r="H2771" s="227"/>
      <c r="I2771" s="350"/>
      <c r="J2771" s="227"/>
      <c r="K2771" s="227"/>
      <c r="L2771" s="224"/>
      <c r="M2771" s="224"/>
      <c r="N2771" s="224"/>
      <c r="O2771" s="224"/>
      <c r="P2771" s="224"/>
      <c r="Q2771" s="224"/>
      <c r="R2771" s="224"/>
      <c r="S2771" s="224"/>
      <c r="T2771" s="224"/>
      <c r="U2771" s="224"/>
      <c r="V2771" s="224"/>
    </row>
    <row r="2772" spans="1:22" x14ac:dyDescent="0.3">
      <c r="A2772" s="222"/>
      <c r="B2772" s="235"/>
      <c r="C2772" s="227"/>
      <c r="D2772" s="344"/>
      <c r="E2772" s="235"/>
      <c r="F2772" s="235"/>
      <c r="G2772" s="227"/>
      <c r="H2772" s="227"/>
      <c r="I2772" s="350"/>
      <c r="J2772" s="227"/>
      <c r="K2772" s="227"/>
      <c r="L2772" s="224"/>
      <c r="M2772" s="224"/>
      <c r="N2772" s="224"/>
      <c r="O2772" s="224"/>
      <c r="P2772" s="224"/>
      <c r="Q2772" s="224"/>
      <c r="R2772" s="224"/>
      <c r="S2772" s="224"/>
      <c r="T2772" s="224"/>
      <c r="U2772" s="224"/>
      <c r="V2772" s="224"/>
    </row>
    <row r="2773" spans="1:22" x14ac:dyDescent="0.3">
      <c r="A2773" s="222"/>
      <c r="B2773" s="235"/>
      <c r="C2773" s="227"/>
      <c r="D2773" s="344"/>
      <c r="E2773" s="235"/>
      <c r="F2773" s="235"/>
      <c r="G2773" s="227"/>
      <c r="H2773" s="227"/>
      <c r="I2773" s="350"/>
      <c r="J2773" s="227"/>
      <c r="K2773" s="227"/>
      <c r="L2773" s="224"/>
      <c r="M2773" s="224"/>
      <c r="N2773" s="224"/>
      <c r="O2773" s="224"/>
      <c r="P2773" s="224"/>
      <c r="Q2773" s="224"/>
      <c r="R2773" s="224"/>
      <c r="S2773" s="224"/>
      <c r="T2773" s="224"/>
      <c r="U2773" s="224"/>
      <c r="V2773" s="224"/>
    </row>
    <row r="2774" spans="1:22" x14ac:dyDescent="0.3">
      <c r="A2774" s="222"/>
      <c r="B2774" s="235"/>
      <c r="C2774" s="227"/>
      <c r="D2774" s="344"/>
      <c r="E2774" s="235"/>
      <c r="F2774" s="235"/>
      <c r="G2774" s="227"/>
      <c r="H2774" s="227"/>
      <c r="I2774" s="350"/>
      <c r="J2774" s="227"/>
      <c r="K2774" s="227"/>
      <c r="L2774" s="224"/>
      <c r="M2774" s="224"/>
      <c r="N2774" s="224"/>
      <c r="O2774" s="224"/>
      <c r="P2774" s="224"/>
      <c r="Q2774" s="224"/>
      <c r="R2774" s="224"/>
      <c r="S2774" s="224"/>
      <c r="T2774" s="224"/>
      <c r="U2774" s="224"/>
      <c r="V2774" s="224"/>
    </row>
    <row r="2775" spans="1:22" x14ac:dyDescent="0.3">
      <c r="A2775" s="222"/>
      <c r="B2775" s="235"/>
      <c r="C2775" s="227"/>
      <c r="D2775" s="344"/>
      <c r="E2775" s="235"/>
      <c r="F2775" s="235"/>
      <c r="G2775" s="227"/>
      <c r="H2775" s="227"/>
      <c r="I2775" s="350"/>
      <c r="J2775" s="227"/>
      <c r="K2775" s="227"/>
      <c r="L2775" s="224"/>
      <c r="M2775" s="224"/>
      <c r="N2775" s="224"/>
      <c r="O2775" s="224"/>
      <c r="P2775" s="224"/>
      <c r="Q2775" s="224"/>
      <c r="R2775" s="224"/>
      <c r="S2775" s="224"/>
      <c r="T2775" s="224"/>
      <c r="U2775" s="224"/>
      <c r="V2775" s="224"/>
    </row>
    <row r="2776" spans="1:22" x14ac:dyDescent="0.3">
      <c r="A2776" s="222"/>
      <c r="B2776" s="235"/>
      <c r="C2776" s="227"/>
      <c r="D2776" s="344"/>
      <c r="E2776" s="235"/>
      <c r="F2776" s="235"/>
      <c r="G2776" s="227"/>
      <c r="H2776" s="227"/>
      <c r="I2776" s="350"/>
      <c r="J2776" s="227"/>
      <c r="K2776" s="227"/>
      <c r="L2776" s="224"/>
      <c r="M2776" s="224"/>
      <c r="N2776" s="224"/>
      <c r="O2776" s="224"/>
      <c r="P2776" s="224"/>
      <c r="Q2776" s="224"/>
      <c r="R2776" s="224"/>
      <c r="S2776" s="224"/>
      <c r="T2776" s="224"/>
      <c r="U2776" s="224"/>
      <c r="V2776" s="224"/>
    </row>
    <row r="2777" spans="1:22" x14ac:dyDescent="0.3">
      <c r="A2777" s="222"/>
      <c r="B2777" s="235"/>
      <c r="C2777" s="227"/>
      <c r="D2777" s="344"/>
      <c r="E2777" s="235"/>
      <c r="F2777" s="235"/>
      <c r="G2777" s="227"/>
      <c r="H2777" s="227"/>
      <c r="I2777" s="350"/>
      <c r="J2777" s="227"/>
      <c r="K2777" s="227"/>
      <c r="L2777" s="224"/>
      <c r="M2777" s="224"/>
      <c r="N2777" s="224"/>
      <c r="O2777" s="224"/>
      <c r="P2777" s="224"/>
      <c r="Q2777" s="224"/>
      <c r="R2777" s="224"/>
      <c r="S2777" s="224"/>
      <c r="T2777" s="224"/>
      <c r="U2777" s="224"/>
      <c r="V2777" s="224"/>
    </row>
    <row r="2778" spans="1:22" x14ac:dyDescent="0.3">
      <c r="A2778" s="222"/>
      <c r="B2778" s="235"/>
      <c r="C2778" s="227"/>
      <c r="D2778" s="344"/>
      <c r="E2778" s="235"/>
      <c r="F2778" s="235"/>
      <c r="G2778" s="227"/>
      <c r="H2778" s="227"/>
      <c r="I2778" s="350"/>
      <c r="J2778" s="227"/>
      <c r="K2778" s="227"/>
      <c r="L2778" s="224"/>
      <c r="M2778" s="224"/>
      <c r="N2778" s="224"/>
      <c r="O2778" s="224"/>
      <c r="P2778" s="224"/>
      <c r="Q2778" s="224"/>
      <c r="R2778" s="224"/>
      <c r="S2778" s="224"/>
      <c r="T2778" s="224"/>
      <c r="U2778" s="224"/>
      <c r="V2778" s="224"/>
    </row>
    <row r="2779" spans="1:22" x14ac:dyDescent="0.3">
      <c r="A2779" s="222"/>
      <c r="B2779" s="235"/>
      <c r="C2779" s="227"/>
      <c r="D2779" s="344"/>
      <c r="E2779" s="235"/>
      <c r="F2779" s="235"/>
      <c r="G2779" s="227"/>
      <c r="H2779" s="227"/>
      <c r="I2779" s="350"/>
      <c r="J2779" s="227"/>
      <c r="K2779" s="227"/>
      <c r="L2779" s="224"/>
      <c r="M2779" s="224"/>
      <c r="N2779" s="224"/>
      <c r="O2779" s="224"/>
      <c r="P2779" s="224"/>
      <c r="Q2779" s="224"/>
      <c r="R2779" s="224"/>
      <c r="S2779" s="224"/>
      <c r="T2779" s="224"/>
      <c r="U2779" s="224"/>
      <c r="V2779" s="224"/>
    </row>
    <row r="2780" spans="1:22" x14ac:dyDescent="0.3">
      <c r="A2780" s="222"/>
      <c r="B2780" s="235"/>
      <c r="C2780" s="227"/>
      <c r="D2780" s="344"/>
      <c r="E2780" s="235"/>
      <c r="F2780" s="235"/>
      <c r="G2780" s="227"/>
      <c r="H2780" s="227"/>
      <c r="I2780" s="350"/>
      <c r="J2780" s="227"/>
      <c r="K2780" s="227"/>
      <c r="L2780" s="224"/>
      <c r="M2780" s="224"/>
      <c r="N2780" s="224"/>
      <c r="O2780" s="224"/>
      <c r="P2780" s="224"/>
      <c r="Q2780" s="224"/>
      <c r="R2780" s="224"/>
      <c r="S2780" s="224"/>
      <c r="T2780" s="224"/>
      <c r="U2780" s="224"/>
      <c r="V2780" s="224"/>
    </row>
    <row r="2781" spans="1:22" x14ac:dyDescent="0.3">
      <c r="A2781" s="222"/>
      <c r="B2781" s="235"/>
      <c r="C2781" s="227"/>
      <c r="D2781" s="344"/>
      <c r="E2781" s="235"/>
      <c r="F2781" s="235"/>
      <c r="G2781" s="227"/>
      <c r="H2781" s="227"/>
      <c r="I2781" s="350"/>
      <c r="J2781" s="227"/>
      <c r="K2781" s="227"/>
      <c r="L2781" s="224"/>
      <c r="M2781" s="224"/>
      <c r="N2781" s="224"/>
      <c r="O2781" s="224"/>
      <c r="P2781" s="224"/>
      <c r="Q2781" s="224"/>
      <c r="R2781" s="224"/>
      <c r="S2781" s="224"/>
      <c r="T2781" s="224"/>
      <c r="U2781" s="224"/>
      <c r="V2781" s="224"/>
    </row>
    <row r="2782" spans="1:22" x14ac:dyDescent="0.3">
      <c r="A2782" s="222"/>
      <c r="B2782" s="235"/>
      <c r="C2782" s="227"/>
      <c r="D2782" s="344"/>
      <c r="E2782" s="235"/>
      <c r="F2782" s="235"/>
      <c r="G2782" s="227"/>
      <c r="H2782" s="227"/>
      <c r="I2782" s="350"/>
      <c r="J2782" s="227"/>
      <c r="K2782" s="227"/>
      <c r="L2782" s="224"/>
      <c r="M2782" s="224"/>
      <c r="N2782" s="224"/>
      <c r="O2782" s="224"/>
      <c r="P2782" s="224"/>
      <c r="Q2782" s="224"/>
      <c r="R2782" s="224"/>
      <c r="S2782" s="224"/>
      <c r="T2782" s="224"/>
      <c r="U2782" s="224"/>
      <c r="V2782" s="224"/>
    </row>
    <row r="2783" spans="1:22" x14ac:dyDescent="0.3">
      <c r="A2783" s="222"/>
      <c r="B2783" s="235"/>
      <c r="C2783" s="227"/>
      <c r="D2783" s="344"/>
      <c r="E2783" s="235"/>
      <c r="F2783" s="235"/>
      <c r="G2783" s="227"/>
      <c r="H2783" s="227"/>
      <c r="I2783" s="350"/>
      <c r="J2783" s="227"/>
      <c r="K2783" s="227"/>
      <c r="L2783" s="224"/>
      <c r="M2783" s="224"/>
      <c r="N2783" s="224"/>
      <c r="O2783" s="224"/>
      <c r="P2783" s="224"/>
      <c r="Q2783" s="224"/>
      <c r="R2783" s="224"/>
      <c r="S2783" s="224"/>
      <c r="T2783" s="224"/>
      <c r="U2783" s="224"/>
      <c r="V2783" s="224"/>
    </row>
    <row r="2784" spans="1:22" x14ac:dyDescent="0.3">
      <c r="A2784" s="222"/>
      <c r="B2784" s="235"/>
      <c r="C2784" s="227"/>
      <c r="D2784" s="344"/>
      <c r="E2784" s="235"/>
      <c r="F2784" s="235"/>
      <c r="G2784" s="227"/>
      <c r="H2784" s="227"/>
      <c r="I2784" s="350"/>
      <c r="J2784" s="227"/>
      <c r="K2784" s="227"/>
      <c r="L2784" s="224"/>
      <c r="M2784" s="224"/>
      <c r="N2784" s="224"/>
      <c r="O2784" s="224"/>
      <c r="P2784" s="224"/>
      <c r="Q2784" s="224"/>
      <c r="R2784" s="224"/>
      <c r="S2784" s="224"/>
      <c r="T2784" s="224"/>
      <c r="U2784" s="224"/>
      <c r="V2784" s="224"/>
    </row>
    <row r="2785" spans="1:22" x14ac:dyDescent="0.3">
      <c r="A2785" s="222"/>
      <c r="B2785" s="235"/>
      <c r="C2785" s="227"/>
      <c r="D2785" s="344"/>
      <c r="E2785" s="235"/>
      <c r="F2785" s="235"/>
      <c r="G2785" s="227"/>
      <c r="H2785" s="227"/>
      <c r="I2785" s="350"/>
      <c r="J2785" s="227"/>
      <c r="K2785" s="227"/>
      <c r="L2785" s="224"/>
      <c r="M2785" s="224"/>
      <c r="N2785" s="224"/>
      <c r="O2785" s="224"/>
      <c r="P2785" s="224"/>
      <c r="Q2785" s="224"/>
      <c r="R2785" s="224"/>
      <c r="S2785" s="224"/>
      <c r="T2785" s="224"/>
      <c r="U2785" s="224"/>
      <c r="V2785" s="224"/>
    </row>
    <row r="2786" spans="1:22" x14ac:dyDescent="0.3">
      <c r="A2786" s="222"/>
      <c r="B2786" s="235"/>
      <c r="C2786" s="227"/>
      <c r="D2786" s="344"/>
      <c r="E2786" s="235"/>
      <c r="F2786" s="235"/>
      <c r="G2786" s="227"/>
      <c r="H2786" s="227"/>
      <c r="I2786" s="350"/>
      <c r="J2786" s="227"/>
      <c r="K2786" s="227"/>
      <c r="L2786" s="224"/>
      <c r="M2786" s="224"/>
      <c r="N2786" s="224"/>
      <c r="O2786" s="224"/>
      <c r="P2786" s="224"/>
      <c r="Q2786" s="224"/>
      <c r="R2786" s="224"/>
      <c r="S2786" s="224"/>
      <c r="T2786" s="224"/>
      <c r="U2786" s="224"/>
      <c r="V2786" s="224"/>
    </row>
    <row r="2787" spans="1:22" x14ac:dyDescent="0.3">
      <c r="A2787" s="222"/>
      <c r="B2787" s="235"/>
      <c r="C2787" s="227"/>
      <c r="D2787" s="344"/>
      <c r="E2787" s="235"/>
      <c r="F2787" s="235"/>
      <c r="G2787" s="227"/>
      <c r="H2787" s="227"/>
      <c r="I2787" s="350"/>
      <c r="J2787" s="227"/>
      <c r="K2787" s="227"/>
      <c r="L2787" s="224"/>
      <c r="M2787" s="224"/>
      <c r="N2787" s="224"/>
      <c r="O2787" s="224"/>
      <c r="P2787" s="224"/>
      <c r="Q2787" s="224"/>
      <c r="R2787" s="224"/>
      <c r="S2787" s="224"/>
      <c r="T2787" s="224"/>
      <c r="U2787" s="224"/>
      <c r="V2787" s="224"/>
    </row>
    <row r="2788" spans="1:22" x14ac:dyDescent="0.3">
      <c r="A2788" s="222"/>
      <c r="B2788" s="235"/>
      <c r="C2788" s="227"/>
      <c r="D2788" s="344"/>
      <c r="E2788" s="235"/>
      <c r="F2788" s="235"/>
      <c r="G2788" s="227"/>
      <c r="H2788" s="227"/>
      <c r="I2788" s="350"/>
      <c r="J2788" s="227"/>
      <c r="K2788" s="227"/>
      <c r="L2788" s="224"/>
      <c r="M2788" s="224"/>
      <c r="N2788" s="224"/>
      <c r="O2788" s="224"/>
      <c r="P2788" s="224"/>
      <c r="Q2788" s="224"/>
      <c r="R2788" s="224"/>
      <c r="S2788" s="224"/>
      <c r="T2788" s="224"/>
      <c r="U2788" s="224"/>
      <c r="V2788" s="224"/>
    </row>
    <row r="2789" spans="1:22" x14ac:dyDescent="0.3">
      <c r="A2789" s="222"/>
      <c r="B2789" s="235"/>
      <c r="C2789" s="227"/>
      <c r="D2789" s="344"/>
      <c r="E2789" s="235"/>
      <c r="F2789" s="235"/>
      <c r="G2789" s="227"/>
      <c r="H2789" s="227"/>
      <c r="I2789" s="350"/>
      <c r="J2789" s="227"/>
      <c r="K2789" s="227"/>
      <c r="L2789" s="224"/>
      <c r="M2789" s="224"/>
      <c r="N2789" s="224"/>
      <c r="O2789" s="224"/>
      <c r="P2789" s="224"/>
      <c r="Q2789" s="224"/>
      <c r="R2789" s="224"/>
      <c r="S2789" s="224"/>
      <c r="T2789" s="224"/>
      <c r="U2789" s="224"/>
      <c r="V2789" s="224"/>
    </row>
    <row r="2790" spans="1:22" x14ac:dyDescent="0.3">
      <c r="A2790" s="222"/>
      <c r="B2790" s="235"/>
      <c r="C2790" s="227"/>
      <c r="D2790" s="344"/>
      <c r="E2790" s="235"/>
      <c r="F2790" s="235"/>
      <c r="G2790" s="227"/>
      <c r="H2790" s="227"/>
      <c r="I2790" s="350"/>
      <c r="J2790" s="227"/>
      <c r="K2790" s="227"/>
      <c r="L2790" s="224"/>
      <c r="M2790" s="224"/>
      <c r="N2790" s="224"/>
      <c r="O2790" s="224"/>
      <c r="P2790" s="224"/>
      <c r="Q2790" s="224"/>
      <c r="R2790" s="224"/>
      <c r="S2790" s="224"/>
      <c r="T2790" s="224"/>
      <c r="U2790" s="224"/>
      <c r="V2790" s="224"/>
    </row>
    <row r="2791" spans="1:22" x14ac:dyDescent="0.3">
      <c r="A2791" s="222"/>
      <c r="B2791" s="235"/>
      <c r="C2791" s="227"/>
      <c r="D2791" s="344"/>
      <c r="E2791" s="235"/>
      <c r="F2791" s="235"/>
      <c r="G2791" s="227"/>
      <c r="H2791" s="227"/>
      <c r="I2791" s="350"/>
      <c r="J2791" s="227"/>
      <c r="K2791" s="227"/>
      <c r="L2791" s="224"/>
      <c r="M2791" s="224"/>
      <c r="N2791" s="224"/>
      <c r="O2791" s="224"/>
      <c r="P2791" s="224"/>
      <c r="Q2791" s="224"/>
      <c r="R2791" s="224"/>
      <c r="S2791" s="224"/>
      <c r="T2791" s="224"/>
      <c r="U2791" s="224"/>
      <c r="V2791" s="224"/>
    </row>
    <row r="2792" spans="1:22" x14ac:dyDescent="0.3">
      <c r="A2792" s="222"/>
      <c r="B2792" s="235"/>
      <c r="C2792" s="227"/>
      <c r="D2792" s="344"/>
      <c r="E2792" s="235"/>
      <c r="F2792" s="235"/>
      <c r="G2792" s="227"/>
      <c r="H2792" s="227"/>
      <c r="I2792" s="350"/>
      <c r="J2792" s="227"/>
      <c r="K2792" s="227"/>
      <c r="L2792" s="224"/>
      <c r="M2792" s="224"/>
      <c r="N2792" s="224"/>
      <c r="O2792" s="224"/>
      <c r="P2792" s="224"/>
      <c r="Q2792" s="224"/>
      <c r="R2792" s="224"/>
      <c r="S2792" s="224"/>
      <c r="T2792" s="224"/>
      <c r="U2792" s="224"/>
      <c r="V2792" s="224"/>
    </row>
    <row r="2793" spans="1:22" x14ac:dyDescent="0.3">
      <c r="A2793" s="222"/>
      <c r="B2793" s="235"/>
      <c r="C2793" s="227"/>
      <c r="D2793" s="344"/>
      <c r="E2793" s="235"/>
      <c r="F2793" s="235"/>
      <c r="G2793" s="227"/>
      <c r="H2793" s="227"/>
      <c r="I2793" s="350"/>
      <c r="J2793" s="227"/>
      <c r="K2793" s="227"/>
      <c r="L2793" s="224"/>
      <c r="M2793" s="224"/>
      <c r="N2793" s="224"/>
      <c r="O2793" s="224"/>
      <c r="P2793" s="224"/>
      <c r="Q2793" s="224"/>
      <c r="R2793" s="224"/>
      <c r="S2793" s="224"/>
      <c r="T2793" s="224"/>
      <c r="U2793" s="224"/>
      <c r="V2793" s="224"/>
    </row>
    <row r="2794" spans="1:22" x14ac:dyDescent="0.3">
      <c r="A2794" s="222"/>
      <c r="B2794" s="235"/>
      <c r="C2794" s="227"/>
      <c r="D2794" s="344"/>
      <c r="E2794" s="235"/>
      <c r="F2794" s="235"/>
      <c r="G2794" s="227"/>
      <c r="H2794" s="227"/>
      <c r="I2794" s="350"/>
      <c r="J2794" s="227"/>
      <c r="K2794" s="227"/>
      <c r="L2794" s="224"/>
      <c r="M2794" s="224"/>
      <c r="N2794" s="224"/>
      <c r="O2794" s="224"/>
      <c r="P2794" s="224"/>
      <c r="Q2794" s="224"/>
      <c r="R2794" s="224"/>
      <c r="S2794" s="224"/>
      <c r="T2794" s="224"/>
      <c r="U2794" s="224"/>
      <c r="V2794" s="224"/>
    </row>
    <row r="2795" spans="1:22" x14ac:dyDescent="0.3">
      <c r="A2795" s="222"/>
      <c r="B2795" s="235"/>
      <c r="C2795" s="227"/>
      <c r="D2795" s="344"/>
      <c r="E2795" s="235"/>
      <c r="F2795" s="235"/>
      <c r="G2795" s="227"/>
      <c r="H2795" s="227"/>
      <c r="I2795" s="350"/>
      <c r="J2795" s="227"/>
      <c r="K2795" s="227"/>
      <c r="L2795" s="224"/>
      <c r="M2795" s="224"/>
      <c r="N2795" s="224"/>
      <c r="O2795" s="224"/>
      <c r="P2795" s="224"/>
      <c r="Q2795" s="224"/>
      <c r="R2795" s="224"/>
      <c r="S2795" s="224"/>
      <c r="T2795" s="224"/>
      <c r="U2795" s="224"/>
      <c r="V2795" s="224"/>
    </row>
    <row r="2796" spans="1:22" x14ac:dyDescent="0.3">
      <c r="A2796" s="222"/>
      <c r="B2796" s="235"/>
      <c r="C2796" s="227"/>
      <c r="D2796" s="344"/>
      <c r="E2796" s="235"/>
      <c r="F2796" s="235"/>
      <c r="G2796" s="227"/>
      <c r="H2796" s="227"/>
      <c r="I2796" s="350"/>
      <c r="J2796" s="227"/>
      <c r="K2796" s="227"/>
      <c r="L2796" s="224"/>
      <c r="M2796" s="224"/>
      <c r="N2796" s="224"/>
      <c r="O2796" s="224"/>
      <c r="P2796" s="224"/>
      <c r="Q2796" s="224"/>
      <c r="R2796" s="224"/>
      <c r="S2796" s="224"/>
      <c r="T2796" s="224"/>
      <c r="U2796" s="224"/>
      <c r="V2796" s="224"/>
    </row>
    <row r="2797" spans="1:22" x14ac:dyDescent="0.3">
      <c r="A2797" s="222"/>
      <c r="B2797" s="235"/>
      <c r="C2797" s="227"/>
      <c r="D2797" s="344"/>
      <c r="E2797" s="235"/>
      <c r="F2797" s="235"/>
      <c r="G2797" s="227"/>
      <c r="H2797" s="227"/>
      <c r="I2797" s="350"/>
      <c r="J2797" s="227"/>
      <c r="K2797" s="227"/>
      <c r="L2797" s="224"/>
      <c r="M2797" s="224"/>
      <c r="N2797" s="224"/>
      <c r="O2797" s="224"/>
      <c r="P2797" s="224"/>
      <c r="Q2797" s="224"/>
      <c r="R2797" s="224"/>
      <c r="S2797" s="224"/>
      <c r="T2797" s="224"/>
      <c r="U2797" s="224"/>
      <c r="V2797" s="224"/>
    </row>
    <row r="2798" spans="1:22" x14ac:dyDescent="0.3">
      <c r="A2798" s="222"/>
      <c r="B2798" s="235"/>
      <c r="C2798" s="227"/>
      <c r="D2798" s="344"/>
      <c r="E2798" s="235"/>
      <c r="F2798" s="235"/>
      <c r="G2798" s="227"/>
      <c r="H2798" s="227"/>
      <c r="I2798" s="350"/>
      <c r="J2798" s="227"/>
      <c r="K2798" s="227"/>
      <c r="L2798" s="224"/>
      <c r="M2798" s="224"/>
      <c r="N2798" s="224"/>
      <c r="O2798" s="224"/>
      <c r="P2798" s="224"/>
      <c r="Q2798" s="224"/>
      <c r="R2798" s="224"/>
      <c r="S2798" s="224"/>
      <c r="T2798" s="224"/>
      <c r="U2798" s="224"/>
      <c r="V2798" s="224"/>
    </row>
    <row r="2799" spans="1:22" x14ac:dyDescent="0.3">
      <c r="A2799" s="222"/>
      <c r="B2799" s="235"/>
      <c r="C2799" s="227"/>
      <c r="D2799" s="344"/>
      <c r="E2799" s="235"/>
      <c r="F2799" s="235"/>
      <c r="G2799" s="227"/>
      <c r="H2799" s="227"/>
      <c r="I2799" s="350"/>
      <c r="J2799" s="227"/>
      <c r="K2799" s="227"/>
      <c r="L2799" s="224"/>
      <c r="M2799" s="224"/>
      <c r="N2799" s="224"/>
      <c r="O2799" s="224"/>
      <c r="P2799" s="224"/>
      <c r="Q2799" s="224"/>
      <c r="R2799" s="224"/>
      <c r="S2799" s="224"/>
      <c r="T2799" s="224"/>
      <c r="U2799" s="224"/>
      <c r="V2799" s="224"/>
    </row>
    <row r="2800" spans="1:22" x14ac:dyDescent="0.3">
      <c r="A2800" s="222"/>
      <c r="B2800" s="235"/>
      <c r="C2800" s="227"/>
      <c r="D2800" s="344"/>
      <c r="E2800" s="235"/>
      <c r="F2800" s="235"/>
      <c r="G2800" s="227"/>
      <c r="H2800" s="227"/>
      <c r="I2800" s="350"/>
      <c r="J2800" s="227"/>
      <c r="K2800" s="227"/>
      <c r="L2800" s="224"/>
      <c r="M2800" s="224"/>
      <c r="N2800" s="224"/>
      <c r="O2800" s="224"/>
      <c r="P2800" s="224"/>
      <c r="Q2800" s="224"/>
      <c r="R2800" s="224"/>
      <c r="S2800" s="224"/>
      <c r="T2800" s="224"/>
      <c r="U2800" s="224"/>
      <c r="V2800" s="224"/>
    </row>
    <row r="2801" spans="1:22" x14ac:dyDescent="0.3">
      <c r="A2801" s="222"/>
      <c r="B2801" s="235"/>
      <c r="C2801" s="227"/>
      <c r="D2801" s="344"/>
      <c r="E2801" s="235"/>
      <c r="F2801" s="235"/>
      <c r="G2801" s="227"/>
      <c r="H2801" s="227"/>
      <c r="I2801" s="350"/>
      <c r="J2801" s="227"/>
      <c r="K2801" s="227"/>
      <c r="L2801" s="224"/>
      <c r="M2801" s="224"/>
      <c r="N2801" s="224"/>
      <c r="O2801" s="224"/>
      <c r="P2801" s="224"/>
      <c r="Q2801" s="224"/>
      <c r="R2801" s="224"/>
      <c r="S2801" s="224"/>
      <c r="T2801" s="224"/>
      <c r="U2801" s="224"/>
      <c r="V2801" s="224"/>
    </row>
    <row r="2802" spans="1:22" x14ac:dyDescent="0.3">
      <c r="A2802" s="222"/>
      <c r="B2802" s="235"/>
      <c r="C2802" s="227"/>
      <c r="D2802" s="344"/>
      <c r="E2802" s="235"/>
      <c r="F2802" s="235"/>
      <c r="G2802" s="227"/>
      <c r="H2802" s="227"/>
      <c r="I2802" s="350"/>
      <c r="J2802" s="227"/>
      <c r="K2802" s="227"/>
      <c r="L2802" s="224"/>
      <c r="M2802" s="224"/>
      <c r="N2802" s="224"/>
      <c r="O2802" s="224"/>
      <c r="P2802" s="224"/>
      <c r="Q2802" s="224"/>
      <c r="R2802" s="224"/>
      <c r="S2802" s="224"/>
      <c r="T2802" s="224"/>
      <c r="U2802" s="224"/>
      <c r="V2802" s="224"/>
    </row>
    <row r="2803" spans="1:22" x14ac:dyDescent="0.3">
      <c r="A2803" s="222"/>
      <c r="B2803" s="235"/>
      <c r="C2803" s="227"/>
      <c r="D2803" s="344"/>
      <c r="E2803" s="235"/>
      <c r="F2803" s="235"/>
      <c r="G2803" s="227"/>
      <c r="H2803" s="227"/>
      <c r="I2803" s="350"/>
      <c r="J2803" s="227"/>
      <c r="K2803" s="227"/>
      <c r="L2803" s="224"/>
      <c r="M2803" s="224"/>
      <c r="N2803" s="224"/>
      <c r="O2803" s="224"/>
      <c r="P2803" s="224"/>
      <c r="Q2803" s="224"/>
      <c r="R2803" s="224"/>
      <c r="S2803" s="224"/>
      <c r="T2803" s="224"/>
      <c r="U2803" s="224"/>
      <c r="V2803" s="224"/>
    </row>
    <row r="2804" spans="1:22" x14ac:dyDescent="0.3">
      <c r="A2804" s="222"/>
      <c r="B2804" s="235"/>
      <c r="C2804" s="227"/>
      <c r="D2804" s="344"/>
      <c r="E2804" s="235"/>
      <c r="F2804" s="235"/>
      <c r="G2804" s="227"/>
      <c r="H2804" s="227"/>
      <c r="I2804" s="350"/>
      <c r="J2804" s="227"/>
      <c r="K2804" s="227"/>
      <c r="L2804" s="224"/>
      <c r="M2804" s="224"/>
      <c r="N2804" s="224"/>
      <c r="O2804" s="224"/>
      <c r="P2804" s="224"/>
      <c r="Q2804" s="224"/>
      <c r="R2804" s="224"/>
      <c r="S2804" s="224"/>
      <c r="T2804" s="224"/>
      <c r="U2804" s="224"/>
      <c r="V2804" s="224"/>
    </row>
    <row r="2805" spans="1:22" x14ac:dyDescent="0.3">
      <c r="A2805" s="222"/>
      <c r="B2805" s="235"/>
      <c r="C2805" s="227"/>
      <c r="D2805" s="344"/>
      <c r="E2805" s="235"/>
      <c r="F2805" s="235"/>
      <c r="G2805" s="227"/>
      <c r="H2805" s="227"/>
      <c r="I2805" s="350"/>
      <c r="J2805" s="227"/>
      <c r="K2805" s="227"/>
      <c r="L2805" s="224"/>
      <c r="M2805" s="224"/>
      <c r="N2805" s="224"/>
      <c r="O2805" s="224"/>
      <c r="P2805" s="224"/>
      <c r="Q2805" s="224"/>
      <c r="R2805" s="224"/>
      <c r="S2805" s="224"/>
      <c r="T2805" s="224"/>
      <c r="U2805" s="224"/>
      <c r="V2805" s="224"/>
    </row>
    <row r="2806" spans="1:22" x14ac:dyDescent="0.3">
      <c r="A2806" s="222"/>
      <c r="B2806" s="235"/>
      <c r="C2806" s="227"/>
      <c r="D2806" s="344"/>
      <c r="E2806" s="235"/>
      <c r="F2806" s="235"/>
      <c r="G2806" s="227"/>
      <c r="H2806" s="227"/>
      <c r="I2806" s="350"/>
      <c r="J2806" s="227"/>
      <c r="K2806" s="227"/>
      <c r="L2806" s="224"/>
      <c r="M2806" s="224"/>
      <c r="N2806" s="224"/>
      <c r="O2806" s="224"/>
      <c r="P2806" s="224"/>
      <c r="Q2806" s="224"/>
      <c r="R2806" s="224"/>
      <c r="S2806" s="224"/>
      <c r="T2806" s="224"/>
      <c r="U2806" s="224"/>
      <c r="V2806" s="224"/>
    </row>
    <row r="2807" spans="1:22" x14ac:dyDescent="0.3">
      <c r="A2807" s="222"/>
      <c r="B2807" s="235"/>
      <c r="C2807" s="227"/>
      <c r="D2807" s="344"/>
      <c r="E2807" s="235"/>
      <c r="F2807" s="235"/>
      <c r="G2807" s="227"/>
      <c r="H2807" s="227"/>
      <c r="I2807" s="350"/>
      <c r="J2807" s="227"/>
      <c r="K2807" s="227"/>
      <c r="L2807" s="224"/>
      <c r="M2807" s="224"/>
      <c r="N2807" s="224"/>
      <c r="O2807" s="224"/>
      <c r="P2807" s="224"/>
      <c r="Q2807" s="224"/>
      <c r="R2807" s="224"/>
      <c r="S2807" s="224"/>
      <c r="T2807" s="224"/>
      <c r="U2807" s="224"/>
      <c r="V2807" s="224"/>
    </row>
    <row r="2808" spans="1:22" x14ac:dyDescent="0.3">
      <c r="A2808" s="222"/>
      <c r="B2808" s="235"/>
      <c r="C2808" s="227"/>
      <c r="D2808" s="344"/>
      <c r="E2808" s="235"/>
      <c r="F2808" s="235"/>
      <c r="G2808" s="227"/>
      <c r="H2808" s="227"/>
      <c r="I2808" s="350"/>
      <c r="J2808" s="227"/>
      <c r="K2808" s="227"/>
      <c r="L2808" s="224"/>
      <c r="M2808" s="224"/>
      <c r="N2808" s="224"/>
      <c r="O2808" s="224"/>
      <c r="P2808" s="224"/>
      <c r="Q2808" s="224"/>
      <c r="R2808" s="224"/>
      <c r="S2808" s="224"/>
      <c r="T2808" s="224"/>
      <c r="U2808" s="224"/>
      <c r="V2808" s="224"/>
    </row>
    <row r="2809" spans="1:22" x14ac:dyDescent="0.3">
      <c r="A2809" s="222"/>
      <c r="B2809" s="235"/>
      <c r="C2809" s="227"/>
      <c r="D2809" s="344"/>
      <c r="E2809" s="235"/>
      <c r="F2809" s="235"/>
      <c r="G2809" s="227"/>
      <c r="H2809" s="227"/>
      <c r="I2809" s="350"/>
      <c r="J2809" s="227"/>
      <c r="K2809" s="227"/>
      <c r="L2809" s="224"/>
      <c r="M2809" s="224"/>
      <c r="N2809" s="224"/>
      <c r="O2809" s="224"/>
      <c r="P2809" s="224"/>
      <c r="Q2809" s="224"/>
      <c r="R2809" s="224"/>
      <c r="S2809" s="224"/>
      <c r="T2809" s="224"/>
      <c r="U2809" s="224"/>
      <c r="V2809" s="224"/>
    </row>
    <row r="2810" spans="1:22" x14ac:dyDescent="0.3">
      <c r="A2810" s="222"/>
      <c r="B2810" s="235"/>
      <c r="C2810" s="227"/>
      <c r="D2810" s="344"/>
      <c r="E2810" s="235"/>
      <c r="F2810" s="235"/>
      <c r="G2810" s="227"/>
      <c r="H2810" s="227"/>
      <c r="I2810" s="350"/>
      <c r="J2810" s="227"/>
      <c r="K2810" s="227"/>
      <c r="L2810" s="224"/>
      <c r="M2810" s="224"/>
      <c r="N2810" s="224"/>
      <c r="O2810" s="224"/>
      <c r="P2810" s="224"/>
      <c r="Q2810" s="224"/>
      <c r="R2810" s="224"/>
      <c r="S2810" s="224"/>
      <c r="T2810" s="224"/>
      <c r="U2810" s="224"/>
      <c r="V2810" s="224"/>
    </row>
    <row r="2811" spans="1:22" x14ac:dyDescent="0.3">
      <c r="A2811" s="222"/>
      <c r="B2811" s="235"/>
      <c r="C2811" s="227"/>
      <c r="D2811" s="344"/>
      <c r="E2811" s="235"/>
      <c r="F2811" s="235"/>
      <c r="G2811" s="227"/>
      <c r="H2811" s="227"/>
      <c r="I2811" s="350"/>
      <c r="J2811" s="227"/>
      <c r="K2811" s="227"/>
      <c r="L2811" s="224"/>
      <c r="M2811" s="224"/>
      <c r="N2811" s="224"/>
      <c r="O2811" s="224"/>
      <c r="P2811" s="224"/>
      <c r="Q2811" s="224"/>
      <c r="R2811" s="224"/>
      <c r="S2811" s="224"/>
      <c r="T2811" s="224"/>
      <c r="U2811" s="224"/>
      <c r="V2811" s="224"/>
    </row>
    <row r="2812" spans="1:22" x14ac:dyDescent="0.3">
      <c r="A2812" s="222"/>
      <c r="B2812" s="235"/>
      <c r="C2812" s="227"/>
      <c r="D2812" s="344"/>
      <c r="E2812" s="235"/>
      <c r="F2812" s="235"/>
      <c r="G2812" s="227"/>
      <c r="H2812" s="227"/>
      <c r="I2812" s="350"/>
      <c r="J2812" s="227"/>
      <c r="K2812" s="227"/>
      <c r="L2812" s="224"/>
      <c r="M2812" s="224"/>
      <c r="N2812" s="224"/>
      <c r="O2812" s="224"/>
      <c r="P2812" s="224"/>
      <c r="Q2812" s="224"/>
      <c r="R2812" s="224"/>
      <c r="S2812" s="224"/>
      <c r="T2812" s="224"/>
      <c r="U2812" s="224"/>
      <c r="V2812" s="224"/>
    </row>
    <row r="2813" spans="1:22" x14ac:dyDescent="0.3">
      <c r="A2813" s="222"/>
      <c r="B2813" s="235"/>
      <c r="C2813" s="227"/>
      <c r="D2813" s="344"/>
      <c r="E2813" s="235"/>
      <c r="F2813" s="235"/>
      <c r="G2813" s="227"/>
      <c r="H2813" s="227"/>
      <c r="I2813" s="350"/>
      <c r="J2813" s="227"/>
      <c r="K2813" s="227"/>
      <c r="L2813" s="224"/>
      <c r="M2813" s="224"/>
      <c r="N2813" s="224"/>
      <c r="O2813" s="224"/>
      <c r="P2813" s="224"/>
      <c r="Q2813" s="224"/>
      <c r="R2813" s="224"/>
      <c r="S2813" s="224"/>
      <c r="T2813" s="224"/>
      <c r="U2813" s="224"/>
      <c r="V2813" s="224"/>
    </row>
    <row r="2814" spans="1:22" x14ac:dyDescent="0.3">
      <c r="A2814" s="222"/>
      <c r="B2814" s="235"/>
      <c r="C2814" s="227"/>
      <c r="D2814" s="344"/>
      <c r="E2814" s="235"/>
      <c r="F2814" s="235"/>
      <c r="G2814" s="227"/>
      <c r="H2814" s="227"/>
      <c r="I2814" s="350"/>
      <c r="J2814" s="227"/>
      <c r="K2814" s="227"/>
      <c r="L2814" s="224"/>
      <c r="M2814" s="224"/>
      <c r="N2814" s="224"/>
      <c r="O2814" s="224"/>
      <c r="P2814" s="224"/>
      <c r="Q2814" s="224"/>
      <c r="R2814" s="224"/>
      <c r="S2814" s="224"/>
      <c r="T2814" s="224"/>
      <c r="U2814" s="224"/>
      <c r="V2814" s="224"/>
    </row>
    <row r="2815" spans="1:22" x14ac:dyDescent="0.3">
      <c r="A2815" s="222"/>
      <c r="B2815" s="235"/>
      <c r="C2815" s="227"/>
      <c r="D2815" s="344"/>
      <c r="E2815" s="235"/>
      <c r="F2815" s="235"/>
      <c r="G2815" s="227"/>
      <c r="H2815" s="227"/>
      <c r="I2815" s="350"/>
      <c r="J2815" s="227"/>
      <c r="K2815" s="227"/>
      <c r="L2815" s="224"/>
      <c r="M2815" s="224"/>
      <c r="N2815" s="224"/>
      <c r="O2815" s="224"/>
      <c r="P2815" s="224"/>
      <c r="Q2815" s="224"/>
      <c r="R2815" s="224"/>
      <c r="S2815" s="224"/>
      <c r="T2815" s="224"/>
      <c r="U2815" s="224"/>
      <c r="V2815" s="224"/>
    </row>
    <row r="2816" spans="1:22" x14ac:dyDescent="0.3">
      <c r="A2816" s="222"/>
      <c r="B2816" s="235"/>
      <c r="C2816" s="227"/>
      <c r="D2816" s="344"/>
      <c r="E2816" s="235"/>
      <c r="F2816" s="235"/>
      <c r="G2816" s="227"/>
      <c r="H2816" s="227"/>
      <c r="I2816" s="350"/>
      <c r="J2816" s="227"/>
      <c r="K2816" s="227"/>
      <c r="L2816" s="224"/>
      <c r="M2816" s="224"/>
      <c r="N2816" s="224"/>
      <c r="O2816" s="224"/>
      <c r="P2816" s="224"/>
      <c r="Q2816" s="224"/>
      <c r="R2816" s="224"/>
      <c r="S2816" s="224"/>
      <c r="T2816" s="224"/>
      <c r="U2816" s="224"/>
      <c r="V2816" s="224"/>
    </row>
    <row r="2817" spans="1:22" x14ac:dyDescent="0.3">
      <c r="A2817" s="222"/>
      <c r="B2817" s="235"/>
      <c r="C2817" s="227"/>
      <c r="D2817" s="344"/>
      <c r="E2817" s="235"/>
      <c r="F2817" s="235"/>
      <c r="G2817" s="227"/>
      <c r="H2817" s="227"/>
      <c r="I2817" s="350"/>
      <c r="J2817" s="227"/>
      <c r="K2817" s="227"/>
      <c r="L2817" s="224"/>
      <c r="M2817" s="224"/>
      <c r="N2817" s="224"/>
      <c r="O2817" s="224"/>
      <c r="P2817" s="224"/>
      <c r="Q2817" s="224"/>
      <c r="R2817" s="224"/>
      <c r="S2817" s="224"/>
      <c r="T2817" s="224"/>
      <c r="U2817" s="224"/>
      <c r="V2817" s="224"/>
    </row>
    <row r="2818" spans="1:22" x14ac:dyDescent="0.3">
      <c r="A2818" s="222"/>
      <c r="B2818" s="235"/>
      <c r="C2818" s="227"/>
      <c r="D2818" s="344"/>
      <c r="E2818" s="235"/>
      <c r="F2818" s="235"/>
      <c r="G2818" s="227"/>
      <c r="H2818" s="227"/>
      <c r="I2818" s="350"/>
      <c r="J2818" s="227"/>
      <c r="K2818" s="227"/>
      <c r="L2818" s="224"/>
      <c r="M2818" s="224"/>
      <c r="N2818" s="224"/>
      <c r="O2818" s="224"/>
      <c r="P2818" s="224"/>
      <c r="Q2818" s="224"/>
      <c r="R2818" s="224"/>
      <c r="S2818" s="224"/>
      <c r="T2818" s="224"/>
      <c r="U2818" s="224"/>
      <c r="V2818" s="224"/>
    </row>
    <row r="2819" spans="1:22" x14ac:dyDescent="0.3">
      <c r="A2819" s="222"/>
      <c r="B2819" s="235"/>
      <c r="C2819" s="227"/>
      <c r="D2819" s="344"/>
      <c r="E2819" s="235"/>
      <c r="F2819" s="235"/>
      <c r="G2819" s="227"/>
      <c r="H2819" s="227"/>
      <c r="I2819" s="350"/>
      <c r="J2819" s="227"/>
      <c r="K2819" s="227"/>
      <c r="L2819" s="224"/>
      <c r="M2819" s="224"/>
      <c r="N2819" s="224"/>
      <c r="O2819" s="224"/>
      <c r="P2819" s="224"/>
      <c r="Q2819" s="224"/>
      <c r="R2819" s="224"/>
      <c r="S2819" s="224"/>
      <c r="T2819" s="224"/>
      <c r="U2819" s="224"/>
      <c r="V2819" s="224"/>
    </row>
    <row r="2820" spans="1:22" x14ac:dyDescent="0.3">
      <c r="A2820" s="222"/>
      <c r="B2820" s="235"/>
      <c r="C2820" s="227"/>
      <c r="D2820" s="344"/>
      <c r="E2820" s="235"/>
      <c r="F2820" s="235"/>
      <c r="G2820" s="227"/>
      <c r="H2820" s="227"/>
      <c r="I2820" s="350"/>
      <c r="J2820" s="227"/>
      <c r="K2820" s="227"/>
      <c r="L2820" s="224"/>
      <c r="M2820" s="224"/>
      <c r="N2820" s="224"/>
      <c r="O2820" s="224"/>
      <c r="P2820" s="224"/>
      <c r="Q2820" s="224"/>
      <c r="R2820" s="224"/>
      <c r="S2820" s="224"/>
      <c r="T2820" s="224"/>
      <c r="U2820" s="224"/>
      <c r="V2820" s="224"/>
    </row>
    <row r="2821" spans="1:22" x14ac:dyDescent="0.3">
      <c r="A2821" s="222"/>
      <c r="B2821" s="235"/>
      <c r="C2821" s="227"/>
      <c r="D2821" s="344"/>
      <c r="E2821" s="235"/>
      <c r="F2821" s="235"/>
      <c r="G2821" s="227"/>
      <c r="H2821" s="227"/>
      <c r="I2821" s="350"/>
      <c r="J2821" s="227"/>
      <c r="K2821" s="227"/>
      <c r="L2821" s="224"/>
      <c r="M2821" s="224"/>
      <c r="N2821" s="224"/>
      <c r="O2821" s="224"/>
      <c r="P2821" s="224"/>
      <c r="Q2821" s="224"/>
      <c r="R2821" s="224"/>
      <c r="S2821" s="224"/>
      <c r="T2821" s="224"/>
      <c r="U2821" s="224"/>
      <c r="V2821" s="224"/>
    </row>
    <row r="2822" spans="1:22" x14ac:dyDescent="0.3">
      <c r="A2822" s="222"/>
      <c r="B2822" s="235"/>
      <c r="C2822" s="227"/>
      <c r="D2822" s="344"/>
      <c r="E2822" s="235"/>
      <c r="F2822" s="235"/>
      <c r="G2822" s="227"/>
      <c r="H2822" s="227"/>
      <c r="I2822" s="350"/>
      <c r="J2822" s="227"/>
      <c r="K2822" s="227"/>
      <c r="L2822" s="224"/>
      <c r="M2822" s="224"/>
      <c r="N2822" s="224"/>
      <c r="O2822" s="224"/>
      <c r="P2822" s="224"/>
      <c r="Q2822" s="224"/>
      <c r="R2822" s="224"/>
      <c r="S2822" s="224"/>
      <c r="T2822" s="224"/>
      <c r="U2822" s="224"/>
      <c r="V2822" s="224"/>
    </row>
    <row r="2823" spans="1:22" x14ac:dyDescent="0.3">
      <c r="A2823" s="222"/>
      <c r="B2823" s="235"/>
      <c r="C2823" s="227"/>
      <c r="D2823" s="344"/>
      <c r="E2823" s="235"/>
      <c r="F2823" s="235"/>
      <c r="G2823" s="227"/>
      <c r="H2823" s="227"/>
      <c r="I2823" s="350"/>
      <c r="J2823" s="227"/>
      <c r="K2823" s="227"/>
      <c r="L2823" s="224"/>
      <c r="M2823" s="224"/>
      <c r="N2823" s="224"/>
      <c r="O2823" s="224"/>
      <c r="P2823" s="224"/>
      <c r="Q2823" s="224"/>
      <c r="R2823" s="224"/>
      <c r="S2823" s="224"/>
      <c r="T2823" s="224"/>
      <c r="U2823" s="224"/>
      <c r="V2823" s="224"/>
    </row>
    <row r="2824" spans="1:22" x14ac:dyDescent="0.3">
      <c r="A2824" s="222"/>
      <c r="B2824" s="235"/>
      <c r="C2824" s="227"/>
      <c r="D2824" s="344"/>
      <c r="E2824" s="235"/>
      <c r="F2824" s="235"/>
      <c r="G2824" s="227"/>
      <c r="H2824" s="227"/>
      <c r="I2824" s="350"/>
      <c r="J2824" s="227"/>
      <c r="K2824" s="227"/>
      <c r="L2824" s="224"/>
      <c r="M2824" s="224"/>
      <c r="N2824" s="224"/>
      <c r="O2824" s="224"/>
      <c r="P2824" s="224"/>
      <c r="Q2824" s="224"/>
      <c r="R2824" s="224"/>
      <c r="S2824" s="224"/>
      <c r="T2824" s="224"/>
      <c r="U2824" s="224"/>
      <c r="V2824" s="224"/>
    </row>
    <row r="2825" spans="1:22" x14ac:dyDescent="0.3">
      <c r="A2825" s="222"/>
      <c r="B2825" s="235"/>
      <c r="C2825" s="227"/>
      <c r="D2825" s="344"/>
      <c r="E2825" s="235"/>
      <c r="F2825" s="235"/>
      <c r="G2825" s="227"/>
      <c r="H2825" s="227"/>
      <c r="I2825" s="350"/>
      <c r="J2825" s="227"/>
      <c r="K2825" s="227"/>
      <c r="L2825" s="224"/>
      <c r="M2825" s="224"/>
      <c r="N2825" s="224"/>
      <c r="O2825" s="224"/>
      <c r="P2825" s="224"/>
      <c r="Q2825" s="224"/>
      <c r="R2825" s="224"/>
      <c r="S2825" s="224"/>
      <c r="T2825" s="224"/>
      <c r="U2825" s="224"/>
      <c r="V2825" s="224"/>
    </row>
    <row r="2826" spans="1:22" x14ac:dyDescent="0.3">
      <c r="A2826" s="222"/>
      <c r="B2826" s="235"/>
      <c r="C2826" s="227"/>
      <c r="D2826" s="344"/>
      <c r="E2826" s="235"/>
      <c r="F2826" s="235"/>
      <c r="G2826" s="227"/>
      <c r="H2826" s="227"/>
      <c r="I2826" s="350"/>
      <c r="J2826" s="227"/>
      <c r="K2826" s="227"/>
      <c r="L2826" s="224"/>
      <c r="M2826" s="224"/>
      <c r="N2826" s="224"/>
      <c r="O2826" s="224"/>
      <c r="P2826" s="224"/>
      <c r="Q2826" s="224"/>
      <c r="R2826" s="224"/>
      <c r="S2826" s="224"/>
      <c r="T2826" s="224"/>
      <c r="U2826" s="224"/>
      <c r="V2826" s="224"/>
    </row>
    <row r="2827" spans="1:22" x14ac:dyDescent="0.3">
      <c r="A2827" s="222"/>
      <c r="B2827" s="235"/>
      <c r="C2827" s="227"/>
      <c r="D2827" s="344"/>
      <c r="E2827" s="235"/>
      <c r="F2827" s="235"/>
      <c r="G2827" s="227"/>
      <c r="H2827" s="227"/>
      <c r="I2827" s="350"/>
      <c r="J2827" s="227"/>
      <c r="K2827" s="227"/>
      <c r="L2827" s="224"/>
      <c r="M2827" s="224"/>
      <c r="N2827" s="224"/>
      <c r="O2827" s="224"/>
      <c r="P2827" s="224"/>
      <c r="Q2827" s="224"/>
      <c r="R2827" s="224"/>
      <c r="S2827" s="224"/>
      <c r="T2827" s="224"/>
      <c r="U2827" s="224"/>
      <c r="V2827" s="224"/>
    </row>
    <row r="2828" spans="1:22" x14ac:dyDescent="0.3">
      <c r="A2828" s="222"/>
      <c r="B2828" s="235"/>
      <c r="C2828" s="227"/>
      <c r="D2828" s="344"/>
      <c r="E2828" s="235"/>
      <c r="F2828" s="235"/>
      <c r="G2828" s="227"/>
      <c r="H2828" s="227"/>
      <c r="I2828" s="350"/>
      <c r="J2828" s="227"/>
      <c r="K2828" s="227"/>
      <c r="L2828" s="224"/>
      <c r="M2828" s="224"/>
      <c r="N2828" s="224"/>
      <c r="O2828" s="224"/>
      <c r="P2828" s="224"/>
      <c r="Q2828" s="224"/>
      <c r="R2828" s="224"/>
      <c r="S2828" s="224"/>
      <c r="T2828" s="224"/>
      <c r="U2828" s="224"/>
      <c r="V2828" s="224"/>
    </row>
    <row r="2829" spans="1:22" x14ac:dyDescent="0.3">
      <c r="A2829" s="222"/>
      <c r="B2829" s="235"/>
      <c r="C2829" s="227"/>
      <c r="D2829" s="344"/>
      <c r="E2829" s="235"/>
      <c r="F2829" s="235"/>
      <c r="G2829" s="227"/>
      <c r="H2829" s="227"/>
      <c r="I2829" s="350"/>
      <c r="J2829" s="227"/>
      <c r="K2829" s="227"/>
      <c r="L2829" s="224"/>
      <c r="M2829" s="224"/>
      <c r="N2829" s="224"/>
      <c r="O2829" s="224"/>
      <c r="P2829" s="224"/>
      <c r="Q2829" s="224"/>
      <c r="R2829" s="224"/>
      <c r="S2829" s="224"/>
      <c r="T2829" s="224"/>
      <c r="U2829" s="224"/>
      <c r="V2829" s="224"/>
    </row>
    <row r="2830" spans="1:22" x14ac:dyDescent="0.3">
      <c r="A2830" s="222"/>
      <c r="B2830" s="235"/>
      <c r="C2830" s="227"/>
      <c r="D2830" s="344"/>
      <c r="E2830" s="235"/>
      <c r="F2830" s="235"/>
      <c r="G2830" s="227"/>
      <c r="H2830" s="227"/>
      <c r="I2830" s="350"/>
      <c r="J2830" s="227"/>
      <c r="K2830" s="227"/>
      <c r="L2830" s="224"/>
      <c r="M2830" s="224"/>
      <c r="N2830" s="224"/>
      <c r="O2830" s="224"/>
      <c r="P2830" s="224"/>
      <c r="Q2830" s="224"/>
      <c r="R2830" s="224"/>
      <c r="S2830" s="224"/>
      <c r="T2830" s="224"/>
      <c r="U2830" s="224"/>
      <c r="V2830" s="224"/>
    </row>
    <row r="2831" spans="1:22" x14ac:dyDescent="0.3">
      <c r="A2831" s="222"/>
      <c r="B2831" s="235"/>
      <c r="C2831" s="227"/>
      <c r="D2831" s="344"/>
      <c r="E2831" s="235"/>
      <c r="F2831" s="235"/>
      <c r="G2831" s="227"/>
      <c r="H2831" s="227"/>
      <c r="I2831" s="350"/>
      <c r="J2831" s="227"/>
      <c r="K2831" s="227"/>
      <c r="L2831" s="224"/>
      <c r="M2831" s="224"/>
      <c r="N2831" s="224"/>
      <c r="O2831" s="224"/>
      <c r="P2831" s="224"/>
      <c r="Q2831" s="224"/>
      <c r="R2831" s="224"/>
      <c r="S2831" s="224"/>
      <c r="T2831" s="224"/>
      <c r="U2831" s="224"/>
      <c r="V2831" s="224"/>
    </row>
    <row r="2832" spans="1:22" x14ac:dyDescent="0.3">
      <c r="A2832" s="222"/>
      <c r="B2832" s="235"/>
      <c r="C2832" s="227"/>
      <c r="D2832" s="344"/>
      <c r="E2832" s="235"/>
      <c r="F2832" s="235"/>
      <c r="G2832" s="227"/>
      <c r="H2832" s="227"/>
      <c r="I2832" s="350"/>
      <c r="J2832" s="227"/>
      <c r="K2832" s="227"/>
      <c r="L2832" s="224"/>
      <c r="M2832" s="224"/>
      <c r="N2832" s="224"/>
      <c r="O2832" s="224"/>
      <c r="P2832" s="224"/>
      <c r="Q2832" s="224"/>
      <c r="R2832" s="224"/>
      <c r="S2832" s="224"/>
      <c r="T2832" s="224"/>
      <c r="U2832" s="224"/>
      <c r="V2832" s="224"/>
    </row>
    <row r="2833" spans="1:22" x14ac:dyDescent="0.3">
      <c r="A2833" s="222"/>
      <c r="B2833" s="235"/>
      <c r="C2833" s="227"/>
      <c r="D2833" s="344"/>
      <c r="E2833" s="235"/>
      <c r="F2833" s="235"/>
      <c r="G2833" s="227"/>
      <c r="H2833" s="227"/>
      <c r="I2833" s="350"/>
      <c r="J2833" s="227"/>
      <c r="K2833" s="227"/>
      <c r="L2833" s="224"/>
      <c r="M2833" s="224"/>
      <c r="N2833" s="224"/>
      <c r="O2833" s="224"/>
      <c r="P2833" s="224"/>
      <c r="Q2833" s="224"/>
      <c r="R2833" s="224"/>
      <c r="S2833" s="224"/>
      <c r="T2833" s="224"/>
      <c r="U2833" s="224"/>
      <c r="V2833" s="224"/>
    </row>
    <row r="2834" spans="1:22" x14ac:dyDescent="0.3">
      <c r="A2834" s="222"/>
      <c r="B2834" s="235"/>
      <c r="C2834" s="227"/>
      <c r="D2834" s="344"/>
      <c r="E2834" s="235"/>
      <c r="F2834" s="235"/>
      <c r="G2834" s="227"/>
      <c r="H2834" s="227"/>
      <c r="I2834" s="350"/>
      <c r="J2834" s="227"/>
      <c r="K2834" s="227"/>
      <c r="L2834" s="224"/>
      <c r="M2834" s="224"/>
      <c r="N2834" s="224"/>
      <c r="O2834" s="224"/>
      <c r="P2834" s="224"/>
      <c r="Q2834" s="224"/>
      <c r="R2834" s="224"/>
      <c r="S2834" s="224"/>
      <c r="T2834" s="224"/>
      <c r="U2834" s="224"/>
      <c r="V2834" s="224"/>
    </row>
    <row r="2835" spans="1:22" x14ac:dyDescent="0.3">
      <c r="A2835" s="222"/>
      <c r="B2835" s="235"/>
      <c r="C2835" s="227"/>
      <c r="D2835" s="344"/>
      <c r="E2835" s="235"/>
      <c r="F2835" s="235"/>
      <c r="G2835" s="227"/>
      <c r="H2835" s="227"/>
      <c r="I2835" s="350"/>
      <c r="J2835" s="227"/>
      <c r="K2835" s="227"/>
      <c r="L2835" s="224"/>
      <c r="M2835" s="224"/>
      <c r="N2835" s="224"/>
      <c r="O2835" s="224"/>
      <c r="P2835" s="224"/>
      <c r="Q2835" s="224"/>
      <c r="R2835" s="224"/>
      <c r="S2835" s="224"/>
      <c r="T2835" s="224"/>
      <c r="U2835" s="224"/>
      <c r="V2835" s="224"/>
    </row>
    <row r="2836" spans="1:22" x14ac:dyDescent="0.3">
      <c r="A2836" s="222"/>
      <c r="B2836" s="235"/>
      <c r="C2836" s="227"/>
      <c r="D2836" s="344"/>
      <c r="E2836" s="235"/>
      <c r="F2836" s="235"/>
      <c r="G2836" s="227"/>
      <c r="H2836" s="227"/>
      <c r="I2836" s="350"/>
      <c r="J2836" s="227"/>
      <c r="K2836" s="227"/>
      <c r="L2836" s="224"/>
      <c r="M2836" s="224"/>
      <c r="N2836" s="224"/>
      <c r="O2836" s="224"/>
      <c r="P2836" s="224"/>
      <c r="Q2836" s="224"/>
      <c r="R2836" s="224"/>
      <c r="S2836" s="224"/>
      <c r="T2836" s="224"/>
      <c r="U2836" s="224"/>
      <c r="V2836" s="224"/>
    </row>
    <row r="2837" spans="1:22" x14ac:dyDescent="0.3">
      <c r="A2837" s="222"/>
      <c r="B2837" s="235"/>
      <c r="C2837" s="227"/>
      <c r="D2837" s="344"/>
      <c r="E2837" s="235"/>
      <c r="F2837" s="235"/>
      <c r="G2837" s="227"/>
      <c r="H2837" s="227"/>
      <c r="I2837" s="350"/>
      <c r="J2837" s="227"/>
      <c r="K2837" s="227"/>
      <c r="L2837" s="224"/>
      <c r="M2837" s="224"/>
      <c r="N2837" s="224"/>
      <c r="O2837" s="224"/>
      <c r="P2837" s="224"/>
      <c r="Q2837" s="224"/>
      <c r="R2837" s="224"/>
      <c r="S2837" s="224"/>
      <c r="T2837" s="224"/>
      <c r="U2837" s="224"/>
      <c r="V2837" s="224"/>
    </row>
    <row r="2838" spans="1:22" x14ac:dyDescent="0.3">
      <c r="A2838" s="222"/>
      <c r="B2838" s="235"/>
      <c r="C2838" s="227"/>
      <c r="D2838" s="344"/>
      <c r="E2838" s="235"/>
      <c r="F2838" s="235"/>
      <c r="G2838" s="227"/>
      <c r="H2838" s="227"/>
      <c r="I2838" s="350"/>
      <c r="J2838" s="227"/>
      <c r="K2838" s="227"/>
      <c r="L2838" s="224"/>
      <c r="M2838" s="224"/>
      <c r="N2838" s="224"/>
      <c r="O2838" s="224"/>
      <c r="P2838" s="224"/>
      <c r="Q2838" s="224"/>
      <c r="R2838" s="224"/>
      <c r="S2838" s="224"/>
      <c r="T2838" s="224"/>
      <c r="U2838" s="224"/>
      <c r="V2838" s="224"/>
    </row>
    <row r="2839" spans="1:22" x14ac:dyDescent="0.3">
      <c r="A2839" s="222"/>
      <c r="B2839" s="235"/>
      <c r="C2839" s="227"/>
      <c r="D2839" s="344"/>
      <c r="E2839" s="235"/>
      <c r="F2839" s="235"/>
      <c r="G2839" s="227"/>
      <c r="H2839" s="227"/>
      <c r="I2839" s="350"/>
      <c r="J2839" s="227"/>
      <c r="K2839" s="227"/>
      <c r="L2839" s="224"/>
      <c r="M2839" s="224"/>
      <c r="N2839" s="224"/>
      <c r="O2839" s="224"/>
      <c r="P2839" s="224"/>
      <c r="Q2839" s="224"/>
      <c r="R2839" s="224"/>
      <c r="S2839" s="224"/>
      <c r="T2839" s="224"/>
      <c r="U2839" s="224"/>
      <c r="V2839" s="224"/>
    </row>
    <row r="2840" spans="1:22" x14ac:dyDescent="0.3">
      <c r="A2840" s="222"/>
      <c r="B2840" s="235"/>
      <c r="C2840" s="227"/>
      <c r="D2840" s="344"/>
      <c r="E2840" s="235"/>
      <c r="F2840" s="235"/>
      <c r="G2840" s="227"/>
      <c r="H2840" s="227"/>
      <c r="I2840" s="350"/>
      <c r="J2840" s="227"/>
      <c r="K2840" s="227"/>
      <c r="L2840" s="224"/>
      <c r="M2840" s="224"/>
      <c r="N2840" s="224"/>
      <c r="O2840" s="224"/>
      <c r="P2840" s="224"/>
      <c r="Q2840" s="224"/>
      <c r="R2840" s="224"/>
      <c r="S2840" s="224"/>
      <c r="T2840" s="224"/>
      <c r="U2840" s="224"/>
      <c r="V2840" s="224"/>
    </row>
    <row r="2841" spans="1:22" x14ac:dyDescent="0.3">
      <c r="A2841" s="222"/>
      <c r="B2841" s="235"/>
      <c r="C2841" s="227"/>
      <c r="D2841" s="344"/>
      <c r="E2841" s="235"/>
      <c r="F2841" s="235"/>
      <c r="G2841" s="227"/>
      <c r="H2841" s="227"/>
      <c r="I2841" s="350"/>
      <c r="J2841" s="227"/>
      <c r="K2841" s="227"/>
      <c r="L2841" s="224"/>
      <c r="M2841" s="224"/>
      <c r="N2841" s="224"/>
      <c r="O2841" s="224"/>
      <c r="P2841" s="224"/>
      <c r="Q2841" s="224"/>
      <c r="R2841" s="224"/>
      <c r="S2841" s="224"/>
      <c r="T2841" s="224"/>
      <c r="U2841" s="224"/>
      <c r="V2841" s="224"/>
    </row>
    <row r="2842" spans="1:22" x14ac:dyDescent="0.3">
      <c r="A2842" s="222"/>
      <c r="B2842" s="235"/>
      <c r="C2842" s="227"/>
      <c r="D2842" s="344"/>
      <c r="E2842" s="235"/>
      <c r="F2842" s="235"/>
      <c r="G2842" s="227"/>
      <c r="H2842" s="227"/>
      <c r="I2842" s="350"/>
      <c r="J2842" s="227"/>
      <c r="K2842" s="227"/>
      <c r="L2842" s="224"/>
      <c r="M2842" s="224"/>
      <c r="N2842" s="224"/>
      <c r="O2842" s="224"/>
      <c r="P2842" s="224"/>
      <c r="Q2842" s="224"/>
      <c r="R2842" s="224"/>
      <c r="S2842" s="224"/>
      <c r="T2842" s="224"/>
      <c r="U2842" s="224"/>
      <c r="V2842" s="224"/>
    </row>
    <row r="2843" spans="1:22" x14ac:dyDescent="0.3">
      <c r="A2843" s="222"/>
      <c r="B2843" s="235"/>
      <c r="C2843" s="227"/>
      <c r="D2843" s="344"/>
      <c r="E2843" s="235"/>
      <c r="F2843" s="235"/>
      <c r="G2843" s="227"/>
      <c r="H2843" s="227"/>
      <c r="I2843" s="350"/>
      <c r="J2843" s="227"/>
      <c r="K2843" s="227"/>
      <c r="L2843" s="224"/>
      <c r="M2843" s="224"/>
      <c r="N2843" s="224"/>
      <c r="O2843" s="224"/>
      <c r="P2843" s="224"/>
      <c r="Q2843" s="224"/>
      <c r="R2843" s="224"/>
      <c r="S2843" s="224"/>
      <c r="T2843" s="224"/>
      <c r="U2843" s="224"/>
      <c r="V2843" s="224"/>
    </row>
    <row r="2844" spans="1:22" x14ac:dyDescent="0.3">
      <c r="A2844" s="222"/>
      <c r="B2844" s="235"/>
      <c r="C2844" s="227"/>
      <c r="D2844" s="344"/>
      <c r="E2844" s="235"/>
      <c r="F2844" s="235"/>
      <c r="G2844" s="227"/>
      <c r="H2844" s="227"/>
      <c r="I2844" s="350"/>
      <c r="J2844" s="227"/>
      <c r="K2844" s="227"/>
      <c r="L2844" s="224"/>
      <c r="M2844" s="224"/>
      <c r="N2844" s="224"/>
      <c r="O2844" s="224"/>
      <c r="P2844" s="224"/>
      <c r="Q2844" s="224"/>
      <c r="R2844" s="224"/>
      <c r="S2844" s="224"/>
      <c r="T2844" s="224"/>
      <c r="U2844" s="224"/>
      <c r="V2844" s="224"/>
    </row>
    <row r="2845" spans="1:22" x14ac:dyDescent="0.3">
      <c r="A2845" s="222"/>
      <c r="B2845" s="235"/>
      <c r="C2845" s="227"/>
      <c r="D2845" s="344"/>
      <c r="E2845" s="235"/>
      <c r="F2845" s="235"/>
      <c r="G2845" s="227"/>
      <c r="H2845" s="227"/>
      <c r="I2845" s="350"/>
      <c r="J2845" s="227"/>
      <c r="K2845" s="227"/>
      <c r="L2845" s="224"/>
      <c r="M2845" s="224"/>
      <c r="N2845" s="224"/>
      <c r="O2845" s="224"/>
      <c r="P2845" s="224"/>
      <c r="Q2845" s="224"/>
      <c r="R2845" s="224"/>
      <c r="S2845" s="224"/>
      <c r="T2845" s="224"/>
      <c r="U2845" s="224"/>
      <c r="V2845" s="224"/>
    </row>
    <row r="2846" spans="1:22" x14ac:dyDescent="0.3">
      <c r="A2846" s="222"/>
      <c r="B2846" s="235"/>
      <c r="C2846" s="227"/>
      <c r="D2846" s="344"/>
      <c r="E2846" s="235"/>
      <c r="F2846" s="235"/>
      <c r="G2846" s="227"/>
      <c r="H2846" s="227"/>
      <c r="I2846" s="350"/>
      <c r="J2846" s="227"/>
      <c r="K2846" s="227"/>
      <c r="L2846" s="224"/>
      <c r="M2846" s="224"/>
      <c r="N2846" s="224"/>
      <c r="O2846" s="224"/>
      <c r="P2846" s="224"/>
      <c r="Q2846" s="224"/>
      <c r="R2846" s="224"/>
      <c r="S2846" s="224"/>
      <c r="T2846" s="224"/>
      <c r="U2846" s="224"/>
      <c r="V2846" s="224"/>
    </row>
    <row r="2847" spans="1:22" x14ac:dyDescent="0.3">
      <c r="A2847" s="222"/>
      <c r="B2847" s="235"/>
      <c r="C2847" s="227"/>
      <c r="D2847" s="344"/>
      <c r="E2847" s="235"/>
      <c r="F2847" s="235"/>
      <c r="G2847" s="227"/>
      <c r="H2847" s="227"/>
      <c r="I2847" s="350"/>
      <c r="J2847" s="227"/>
      <c r="K2847" s="227"/>
      <c r="L2847" s="224"/>
      <c r="M2847" s="224"/>
      <c r="N2847" s="224"/>
      <c r="O2847" s="224"/>
      <c r="P2847" s="224"/>
      <c r="Q2847" s="224"/>
      <c r="R2847" s="224"/>
      <c r="S2847" s="224"/>
      <c r="T2847" s="224"/>
      <c r="U2847" s="224"/>
      <c r="V2847" s="224"/>
    </row>
    <row r="2848" spans="1:22" x14ac:dyDescent="0.3">
      <c r="A2848" s="222"/>
      <c r="B2848" s="235"/>
      <c r="C2848" s="227"/>
      <c r="D2848" s="344"/>
      <c r="E2848" s="235"/>
      <c r="F2848" s="235"/>
      <c r="G2848" s="227"/>
      <c r="H2848" s="227"/>
      <c r="I2848" s="350"/>
      <c r="J2848" s="227"/>
      <c r="K2848" s="227"/>
      <c r="L2848" s="224"/>
      <c r="M2848" s="224"/>
      <c r="N2848" s="224"/>
      <c r="O2848" s="224"/>
      <c r="P2848" s="224"/>
      <c r="Q2848" s="224"/>
      <c r="R2848" s="224"/>
      <c r="S2848" s="224"/>
      <c r="T2848" s="224"/>
      <c r="U2848" s="224"/>
      <c r="V2848" s="224"/>
    </row>
    <row r="2849" spans="1:22" x14ac:dyDescent="0.3">
      <c r="A2849" s="222"/>
      <c r="B2849" s="235"/>
      <c r="C2849" s="227"/>
      <c r="D2849" s="344"/>
      <c r="E2849" s="235"/>
      <c r="F2849" s="235"/>
      <c r="G2849" s="227"/>
      <c r="H2849" s="227"/>
      <c r="I2849" s="350"/>
      <c r="J2849" s="227"/>
      <c r="K2849" s="227"/>
      <c r="L2849" s="224"/>
      <c r="M2849" s="224"/>
      <c r="N2849" s="224"/>
      <c r="O2849" s="224"/>
      <c r="P2849" s="224"/>
      <c r="Q2849" s="224"/>
      <c r="R2849" s="224"/>
      <c r="S2849" s="224"/>
      <c r="T2849" s="224"/>
      <c r="U2849" s="224"/>
      <c r="V2849" s="224"/>
    </row>
    <row r="2850" spans="1:22" x14ac:dyDescent="0.3">
      <c r="A2850" s="222"/>
      <c r="B2850" s="235"/>
      <c r="C2850" s="227"/>
      <c r="D2850" s="344"/>
      <c r="E2850" s="235"/>
      <c r="F2850" s="235"/>
      <c r="G2850" s="227"/>
      <c r="H2850" s="227"/>
      <c r="I2850" s="350"/>
      <c r="J2850" s="227"/>
      <c r="K2850" s="227"/>
      <c r="L2850" s="224"/>
      <c r="M2850" s="224"/>
      <c r="N2850" s="224"/>
      <c r="O2850" s="224"/>
      <c r="P2850" s="224"/>
      <c r="Q2850" s="224"/>
      <c r="R2850" s="224"/>
      <c r="S2850" s="224"/>
      <c r="T2850" s="224"/>
      <c r="U2850" s="224"/>
      <c r="V2850" s="224"/>
    </row>
    <row r="2851" spans="1:22" x14ac:dyDescent="0.3">
      <c r="A2851" s="222"/>
      <c r="B2851" s="235"/>
      <c r="C2851" s="227"/>
      <c r="D2851" s="344"/>
      <c r="E2851" s="235"/>
      <c r="F2851" s="235"/>
      <c r="G2851" s="227"/>
      <c r="H2851" s="227"/>
      <c r="I2851" s="350"/>
      <c r="J2851" s="227"/>
      <c r="K2851" s="227"/>
      <c r="L2851" s="224"/>
      <c r="M2851" s="224"/>
      <c r="N2851" s="224"/>
      <c r="O2851" s="224"/>
      <c r="P2851" s="224"/>
      <c r="Q2851" s="224"/>
      <c r="R2851" s="224"/>
      <c r="S2851" s="224"/>
      <c r="T2851" s="224"/>
      <c r="U2851" s="224"/>
      <c r="V2851" s="224"/>
    </row>
    <row r="2852" spans="1:22" x14ac:dyDescent="0.3">
      <c r="A2852" s="222"/>
      <c r="B2852" s="235"/>
      <c r="C2852" s="227"/>
      <c r="D2852" s="344"/>
      <c r="E2852" s="235"/>
      <c r="F2852" s="235"/>
      <c r="G2852" s="227"/>
      <c r="H2852" s="227"/>
      <c r="I2852" s="350"/>
      <c r="J2852" s="227"/>
      <c r="K2852" s="227"/>
      <c r="L2852" s="224"/>
      <c r="M2852" s="224"/>
      <c r="N2852" s="224"/>
      <c r="O2852" s="224"/>
      <c r="P2852" s="224"/>
      <c r="Q2852" s="224"/>
      <c r="R2852" s="224"/>
      <c r="S2852" s="224"/>
      <c r="T2852" s="224"/>
      <c r="U2852" s="224"/>
      <c r="V2852" s="224"/>
    </row>
    <row r="2853" spans="1:22" x14ac:dyDescent="0.3">
      <c r="A2853" s="222"/>
      <c r="B2853" s="235"/>
      <c r="C2853" s="227"/>
      <c r="D2853" s="344"/>
      <c r="E2853" s="235"/>
      <c r="F2853" s="235"/>
      <c r="G2853" s="227"/>
      <c r="H2853" s="227"/>
      <c r="I2853" s="350"/>
      <c r="J2853" s="227"/>
      <c r="K2853" s="227"/>
      <c r="L2853" s="224"/>
      <c r="M2853" s="224"/>
      <c r="N2853" s="224"/>
      <c r="O2853" s="224"/>
      <c r="P2853" s="224"/>
      <c r="Q2853" s="224"/>
      <c r="R2853" s="224"/>
      <c r="S2853" s="224"/>
      <c r="T2853" s="224"/>
      <c r="U2853" s="224"/>
      <c r="V2853" s="224"/>
    </row>
    <row r="2854" spans="1:22" x14ac:dyDescent="0.3">
      <c r="A2854" s="222"/>
      <c r="B2854" s="235"/>
      <c r="C2854" s="227"/>
      <c r="D2854" s="344"/>
      <c r="E2854" s="235"/>
      <c r="F2854" s="235"/>
      <c r="G2854" s="227"/>
      <c r="H2854" s="227"/>
      <c r="I2854" s="350"/>
      <c r="J2854" s="227"/>
      <c r="K2854" s="227"/>
      <c r="L2854" s="224"/>
      <c r="M2854" s="224"/>
      <c r="N2854" s="224"/>
      <c r="O2854" s="224"/>
      <c r="P2854" s="224"/>
      <c r="Q2854" s="224"/>
      <c r="R2854" s="224"/>
      <c r="S2854" s="224"/>
      <c r="T2854" s="224"/>
      <c r="U2854" s="224"/>
      <c r="V2854" s="224"/>
    </row>
    <row r="2855" spans="1:22" x14ac:dyDescent="0.3">
      <c r="A2855" s="222"/>
      <c r="B2855" s="235"/>
      <c r="C2855" s="227"/>
      <c r="D2855" s="344"/>
      <c r="E2855" s="235"/>
      <c r="F2855" s="235"/>
      <c r="G2855" s="227"/>
      <c r="H2855" s="227"/>
      <c r="I2855" s="350"/>
      <c r="J2855" s="227"/>
      <c r="K2855" s="227"/>
      <c r="L2855" s="224"/>
      <c r="M2855" s="224"/>
      <c r="N2855" s="224"/>
      <c r="O2855" s="224"/>
      <c r="P2855" s="224"/>
      <c r="Q2855" s="224"/>
      <c r="R2855" s="224"/>
      <c r="S2855" s="224"/>
      <c r="T2855" s="224"/>
      <c r="U2855" s="224"/>
      <c r="V2855" s="224"/>
    </row>
    <row r="2856" spans="1:22" x14ac:dyDescent="0.3">
      <c r="A2856" s="222"/>
      <c r="B2856" s="235"/>
      <c r="C2856" s="227"/>
      <c r="D2856" s="344"/>
      <c r="E2856" s="235"/>
      <c r="F2856" s="235"/>
      <c r="G2856" s="227"/>
      <c r="H2856" s="227"/>
      <c r="I2856" s="350"/>
      <c r="J2856" s="227"/>
      <c r="K2856" s="227"/>
      <c r="L2856" s="224"/>
      <c r="M2856" s="224"/>
      <c r="N2856" s="224"/>
      <c r="O2856" s="224"/>
      <c r="P2856" s="224"/>
      <c r="Q2856" s="224"/>
      <c r="R2856" s="224"/>
      <c r="S2856" s="224"/>
      <c r="T2856" s="224"/>
      <c r="U2856" s="224"/>
      <c r="V2856" s="224"/>
    </row>
    <row r="2857" spans="1:22" x14ac:dyDescent="0.3">
      <c r="A2857" s="222"/>
      <c r="B2857" s="235"/>
      <c r="C2857" s="227"/>
      <c r="D2857" s="344"/>
      <c r="E2857" s="235"/>
      <c r="F2857" s="235"/>
      <c r="G2857" s="227"/>
      <c r="H2857" s="227"/>
      <c r="I2857" s="350"/>
      <c r="J2857" s="227"/>
      <c r="K2857" s="227"/>
      <c r="L2857" s="224"/>
      <c r="M2857" s="224"/>
      <c r="N2857" s="224"/>
      <c r="O2857" s="224"/>
      <c r="P2857" s="224"/>
      <c r="Q2857" s="224"/>
      <c r="R2857" s="224"/>
      <c r="S2857" s="224"/>
      <c r="T2857" s="224"/>
      <c r="U2857" s="224"/>
      <c r="V2857" s="224"/>
    </row>
    <row r="2858" spans="1:22" x14ac:dyDescent="0.3">
      <c r="A2858" s="222"/>
      <c r="B2858" s="235"/>
      <c r="C2858" s="227"/>
      <c r="D2858" s="344"/>
      <c r="E2858" s="235"/>
      <c r="F2858" s="235"/>
      <c r="G2858" s="227"/>
      <c r="H2858" s="227"/>
      <c r="I2858" s="350"/>
      <c r="J2858" s="227"/>
      <c r="K2858" s="227"/>
      <c r="L2858" s="224"/>
      <c r="M2858" s="224"/>
      <c r="N2858" s="224"/>
      <c r="O2858" s="224"/>
      <c r="P2858" s="224"/>
      <c r="Q2858" s="224"/>
      <c r="R2858" s="224"/>
      <c r="S2858" s="224"/>
      <c r="T2858" s="224"/>
      <c r="U2858" s="224"/>
      <c r="V2858" s="224"/>
    </row>
    <row r="2859" spans="1:22" x14ac:dyDescent="0.3">
      <c r="A2859" s="222"/>
      <c r="B2859" s="235"/>
      <c r="C2859" s="227"/>
      <c r="D2859" s="344"/>
      <c r="E2859" s="235"/>
      <c r="F2859" s="235"/>
      <c r="G2859" s="227"/>
      <c r="H2859" s="227"/>
      <c r="I2859" s="350"/>
      <c r="J2859" s="227"/>
      <c r="K2859" s="227"/>
      <c r="L2859" s="224"/>
      <c r="M2859" s="224"/>
      <c r="N2859" s="224"/>
      <c r="O2859" s="224"/>
      <c r="P2859" s="224"/>
      <c r="Q2859" s="224"/>
      <c r="R2859" s="224"/>
      <c r="S2859" s="224"/>
      <c r="T2859" s="224"/>
      <c r="U2859" s="224"/>
      <c r="V2859" s="224"/>
    </row>
    <row r="2860" spans="1:22" x14ac:dyDescent="0.3">
      <c r="A2860" s="222"/>
      <c r="B2860" s="235"/>
      <c r="C2860" s="227"/>
      <c r="D2860" s="344"/>
      <c r="E2860" s="235"/>
      <c r="F2860" s="235"/>
      <c r="G2860" s="227"/>
      <c r="H2860" s="227"/>
      <c r="I2860" s="350"/>
      <c r="J2860" s="227"/>
      <c r="K2860" s="227"/>
      <c r="L2860" s="224"/>
      <c r="M2860" s="224"/>
      <c r="N2860" s="224"/>
      <c r="O2860" s="224"/>
      <c r="P2860" s="224"/>
      <c r="Q2860" s="224"/>
      <c r="R2860" s="224"/>
      <c r="S2860" s="224"/>
      <c r="T2860" s="224"/>
      <c r="U2860" s="224"/>
      <c r="V2860" s="224"/>
    </row>
    <row r="2861" spans="1:22" x14ac:dyDescent="0.3">
      <c r="A2861" s="222"/>
      <c r="B2861" s="235"/>
      <c r="C2861" s="227"/>
      <c r="D2861" s="344"/>
      <c r="E2861" s="235"/>
      <c r="F2861" s="235"/>
      <c r="G2861" s="227"/>
      <c r="H2861" s="227"/>
      <c r="I2861" s="350"/>
      <c r="J2861" s="227"/>
      <c r="K2861" s="227"/>
      <c r="L2861" s="224"/>
      <c r="M2861" s="224"/>
      <c r="N2861" s="224"/>
      <c r="O2861" s="224"/>
      <c r="P2861" s="224"/>
      <c r="Q2861" s="224"/>
      <c r="R2861" s="224"/>
      <c r="S2861" s="224"/>
      <c r="T2861" s="224"/>
      <c r="U2861" s="224"/>
      <c r="V2861" s="224"/>
    </row>
    <row r="2862" spans="1:22" x14ac:dyDescent="0.3">
      <c r="A2862" s="222"/>
      <c r="B2862" s="235"/>
      <c r="C2862" s="227"/>
      <c r="D2862" s="344"/>
      <c r="E2862" s="235"/>
      <c r="F2862" s="235"/>
      <c r="G2862" s="227"/>
      <c r="H2862" s="227"/>
      <c r="I2862" s="350"/>
      <c r="J2862" s="227"/>
      <c r="K2862" s="227"/>
      <c r="L2862" s="224"/>
      <c r="M2862" s="224"/>
      <c r="N2862" s="224"/>
      <c r="O2862" s="224"/>
      <c r="P2862" s="224"/>
      <c r="Q2862" s="224"/>
      <c r="R2862" s="224"/>
      <c r="S2862" s="224"/>
      <c r="T2862" s="224"/>
      <c r="U2862" s="224"/>
      <c r="V2862" s="224"/>
    </row>
    <row r="2863" spans="1:22" x14ac:dyDescent="0.3">
      <c r="A2863" s="222"/>
      <c r="B2863" s="235"/>
      <c r="C2863" s="227"/>
      <c r="D2863" s="344"/>
      <c r="E2863" s="235"/>
      <c r="F2863" s="235"/>
      <c r="G2863" s="227"/>
      <c r="H2863" s="227"/>
      <c r="I2863" s="350"/>
      <c r="J2863" s="227"/>
      <c r="K2863" s="227"/>
      <c r="L2863" s="224"/>
      <c r="M2863" s="224"/>
      <c r="N2863" s="224"/>
      <c r="O2863" s="224"/>
      <c r="P2863" s="224"/>
      <c r="Q2863" s="224"/>
      <c r="R2863" s="224"/>
      <c r="S2863" s="224"/>
      <c r="T2863" s="224"/>
      <c r="U2863" s="224"/>
      <c r="V2863" s="224"/>
    </row>
    <row r="2864" spans="1:22" x14ac:dyDescent="0.3">
      <c r="A2864" s="222"/>
      <c r="B2864" s="235"/>
      <c r="C2864" s="227"/>
      <c r="D2864" s="344"/>
      <c r="E2864" s="235"/>
      <c r="F2864" s="235"/>
      <c r="G2864" s="227"/>
      <c r="H2864" s="227"/>
      <c r="I2864" s="350"/>
      <c r="J2864" s="227"/>
      <c r="K2864" s="227"/>
      <c r="L2864" s="224"/>
      <c r="M2864" s="224"/>
      <c r="N2864" s="224"/>
      <c r="O2864" s="224"/>
      <c r="P2864" s="224"/>
      <c r="Q2864" s="224"/>
      <c r="R2864" s="224"/>
      <c r="S2864" s="224"/>
      <c r="T2864" s="224"/>
      <c r="U2864" s="224"/>
      <c r="V2864" s="224"/>
    </row>
    <row r="2865" spans="1:22" x14ac:dyDescent="0.3">
      <c r="A2865" s="222"/>
      <c r="B2865" s="235"/>
      <c r="C2865" s="227"/>
      <c r="D2865" s="344"/>
      <c r="E2865" s="235"/>
      <c r="F2865" s="235"/>
      <c r="G2865" s="227"/>
      <c r="H2865" s="227"/>
      <c r="I2865" s="350"/>
      <c r="J2865" s="227"/>
      <c r="K2865" s="227"/>
      <c r="L2865" s="224"/>
      <c r="M2865" s="224"/>
      <c r="N2865" s="224"/>
      <c r="O2865" s="224"/>
      <c r="P2865" s="224"/>
      <c r="Q2865" s="224"/>
      <c r="R2865" s="224"/>
      <c r="S2865" s="224"/>
      <c r="T2865" s="224"/>
      <c r="U2865" s="224"/>
      <c r="V2865" s="224"/>
    </row>
    <row r="2866" spans="1:22" x14ac:dyDescent="0.3">
      <c r="A2866" s="222"/>
      <c r="B2866" s="235"/>
      <c r="C2866" s="227"/>
      <c r="D2866" s="344"/>
      <c r="E2866" s="235"/>
      <c r="F2866" s="235"/>
      <c r="G2866" s="227"/>
      <c r="H2866" s="227"/>
      <c r="I2866" s="350"/>
      <c r="J2866" s="227"/>
      <c r="K2866" s="227"/>
      <c r="L2866" s="224"/>
      <c r="M2866" s="224"/>
      <c r="N2866" s="224"/>
      <c r="O2866" s="224"/>
      <c r="P2866" s="224"/>
      <c r="Q2866" s="224"/>
      <c r="R2866" s="224"/>
      <c r="S2866" s="224"/>
      <c r="T2866" s="224"/>
      <c r="U2866" s="224"/>
      <c r="V2866" s="224"/>
    </row>
    <row r="2867" spans="1:22" x14ac:dyDescent="0.3">
      <c r="A2867" s="222"/>
      <c r="B2867" s="235"/>
      <c r="C2867" s="227"/>
      <c r="D2867" s="344"/>
      <c r="E2867" s="235"/>
      <c r="F2867" s="235"/>
      <c r="G2867" s="227"/>
      <c r="H2867" s="227"/>
      <c r="I2867" s="350"/>
      <c r="J2867" s="227"/>
      <c r="K2867" s="227"/>
      <c r="L2867" s="224"/>
      <c r="M2867" s="224"/>
      <c r="N2867" s="224"/>
      <c r="O2867" s="224"/>
      <c r="P2867" s="224"/>
      <c r="Q2867" s="224"/>
      <c r="R2867" s="224"/>
      <c r="S2867" s="224"/>
      <c r="T2867" s="224"/>
      <c r="U2867" s="224"/>
      <c r="V2867" s="224"/>
    </row>
    <row r="2868" spans="1:22" x14ac:dyDescent="0.3">
      <c r="A2868" s="222"/>
      <c r="B2868" s="235"/>
      <c r="C2868" s="227"/>
      <c r="D2868" s="344"/>
      <c r="E2868" s="235"/>
      <c r="F2868" s="235"/>
      <c r="G2868" s="227"/>
      <c r="H2868" s="227"/>
      <c r="I2868" s="350"/>
      <c r="J2868" s="227"/>
      <c r="K2868" s="227"/>
      <c r="L2868" s="224"/>
      <c r="M2868" s="224"/>
      <c r="N2868" s="224"/>
      <c r="O2868" s="224"/>
      <c r="P2868" s="224"/>
      <c r="Q2868" s="224"/>
      <c r="R2868" s="224"/>
      <c r="S2868" s="224"/>
      <c r="T2868" s="224"/>
      <c r="U2868" s="224"/>
      <c r="V2868" s="224"/>
    </row>
    <row r="2869" spans="1:22" x14ac:dyDescent="0.3">
      <c r="A2869" s="222"/>
      <c r="B2869" s="235"/>
      <c r="C2869" s="227"/>
      <c r="D2869" s="344"/>
      <c r="E2869" s="235"/>
      <c r="F2869" s="235"/>
      <c r="G2869" s="227"/>
      <c r="H2869" s="227"/>
      <c r="I2869" s="350"/>
      <c r="J2869" s="227"/>
      <c r="K2869" s="227"/>
      <c r="L2869" s="224"/>
      <c r="M2869" s="224"/>
      <c r="N2869" s="224"/>
      <c r="O2869" s="224"/>
      <c r="P2869" s="224"/>
      <c r="Q2869" s="224"/>
      <c r="R2869" s="224"/>
      <c r="S2869" s="224"/>
      <c r="T2869" s="224"/>
      <c r="U2869" s="224"/>
      <c r="V2869" s="224"/>
    </row>
    <row r="2870" spans="1:22" x14ac:dyDescent="0.3">
      <c r="A2870" s="222"/>
      <c r="B2870" s="235"/>
      <c r="C2870" s="227"/>
      <c r="D2870" s="344"/>
      <c r="E2870" s="235"/>
      <c r="F2870" s="235"/>
      <c r="G2870" s="227"/>
      <c r="H2870" s="227"/>
      <c r="I2870" s="350"/>
      <c r="J2870" s="227"/>
      <c r="K2870" s="227"/>
      <c r="L2870" s="224"/>
      <c r="M2870" s="224"/>
      <c r="N2870" s="224"/>
      <c r="O2870" s="224"/>
      <c r="P2870" s="224"/>
      <c r="Q2870" s="224"/>
      <c r="R2870" s="224"/>
      <c r="S2870" s="224"/>
      <c r="T2870" s="224"/>
      <c r="U2870" s="224"/>
      <c r="V2870" s="224"/>
    </row>
    <row r="2871" spans="1:22" x14ac:dyDescent="0.3">
      <c r="A2871" s="222"/>
      <c r="B2871" s="235"/>
      <c r="C2871" s="227"/>
      <c r="D2871" s="344"/>
      <c r="E2871" s="235"/>
      <c r="F2871" s="235"/>
      <c r="G2871" s="227"/>
      <c r="H2871" s="227"/>
      <c r="I2871" s="350"/>
      <c r="J2871" s="227"/>
      <c r="K2871" s="227"/>
      <c r="L2871" s="224"/>
      <c r="M2871" s="224"/>
      <c r="N2871" s="224"/>
      <c r="O2871" s="224"/>
      <c r="P2871" s="224"/>
      <c r="Q2871" s="224"/>
      <c r="R2871" s="224"/>
      <c r="S2871" s="224"/>
      <c r="T2871" s="224"/>
      <c r="U2871" s="224"/>
      <c r="V2871" s="224"/>
    </row>
    <row r="2872" spans="1:22" x14ac:dyDescent="0.3">
      <c r="A2872" s="222"/>
      <c r="B2872" s="235"/>
      <c r="C2872" s="227"/>
      <c r="D2872" s="344"/>
      <c r="E2872" s="235"/>
      <c r="F2872" s="235"/>
      <c r="G2872" s="227"/>
      <c r="H2872" s="227"/>
      <c r="I2872" s="350"/>
      <c r="J2872" s="227"/>
      <c r="K2872" s="227"/>
      <c r="L2872" s="224"/>
      <c r="M2872" s="224"/>
      <c r="N2872" s="224"/>
      <c r="O2872" s="224"/>
      <c r="P2872" s="224"/>
      <c r="Q2872" s="224"/>
      <c r="R2872" s="224"/>
      <c r="S2872" s="224"/>
      <c r="T2872" s="224"/>
      <c r="U2872" s="224"/>
      <c r="V2872" s="224"/>
    </row>
    <row r="2873" spans="1:22" x14ac:dyDescent="0.3">
      <c r="A2873" s="222"/>
      <c r="B2873" s="235"/>
      <c r="C2873" s="227"/>
      <c r="D2873" s="344"/>
      <c r="E2873" s="235"/>
      <c r="F2873" s="235"/>
      <c r="G2873" s="227"/>
      <c r="H2873" s="227"/>
      <c r="I2873" s="350"/>
      <c r="J2873" s="227"/>
      <c r="K2873" s="227"/>
      <c r="L2873" s="224"/>
      <c r="M2873" s="224"/>
      <c r="N2873" s="224"/>
      <c r="O2873" s="224"/>
      <c r="P2873" s="224"/>
      <c r="Q2873" s="224"/>
      <c r="R2873" s="224"/>
      <c r="S2873" s="224"/>
      <c r="T2873" s="224"/>
      <c r="U2873" s="224"/>
      <c r="V2873" s="224"/>
    </row>
    <row r="2874" spans="1:22" x14ac:dyDescent="0.3">
      <c r="A2874" s="222"/>
      <c r="B2874" s="235"/>
      <c r="C2874" s="227"/>
      <c r="D2874" s="344"/>
      <c r="E2874" s="235"/>
      <c r="F2874" s="235"/>
      <c r="G2874" s="227"/>
      <c r="H2874" s="227"/>
      <c r="I2874" s="350"/>
      <c r="J2874" s="227"/>
      <c r="K2874" s="227"/>
      <c r="L2874" s="224"/>
      <c r="M2874" s="224"/>
      <c r="N2874" s="224"/>
      <c r="O2874" s="224"/>
      <c r="P2874" s="224"/>
      <c r="Q2874" s="224"/>
      <c r="R2874" s="224"/>
      <c r="S2874" s="224"/>
      <c r="T2874" s="224"/>
      <c r="U2874" s="224"/>
      <c r="V2874" s="224"/>
    </row>
    <row r="2875" spans="1:22" x14ac:dyDescent="0.3">
      <c r="A2875" s="222"/>
      <c r="B2875" s="235"/>
      <c r="C2875" s="227"/>
      <c r="D2875" s="344"/>
      <c r="E2875" s="235"/>
      <c r="F2875" s="235"/>
      <c r="G2875" s="227"/>
      <c r="H2875" s="227"/>
      <c r="I2875" s="350"/>
      <c r="J2875" s="227"/>
      <c r="K2875" s="227"/>
      <c r="L2875" s="224"/>
      <c r="M2875" s="224"/>
      <c r="N2875" s="224"/>
      <c r="O2875" s="224"/>
      <c r="P2875" s="224"/>
      <c r="Q2875" s="224"/>
      <c r="R2875" s="224"/>
      <c r="S2875" s="224"/>
      <c r="T2875" s="224"/>
      <c r="U2875" s="224"/>
      <c r="V2875" s="224"/>
    </row>
    <row r="2876" spans="1:22" x14ac:dyDescent="0.3">
      <c r="A2876" s="222"/>
      <c r="B2876" s="235"/>
      <c r="C2876" s="227"/>
      <c r="D2876" s="344"/>
      <c r="E2876" s="235"/>
      <c r="F2876" s="235"/>
      <c r="G2876" s="227"/>
      <c r="H2876" s="227"/>
      <c r="I2876" s="350"/>
      <c r="J2876" s="227"/>
      <c r="K2876" s="227"/>
      <c r="L2876" s="224"/>
      <c r="M2876" s="224"/>
      <c r="N2876" s="224"/>
      <c r="O2876" s="224"/>
      <c r="P2876" s="224"/>
      <c r="Q2876" s="224"/>
      <c r="R2876" s="224"/>
      <c r="S2876" s="224"/>
      <c r="T2876" s="224"/>
      <c r="U2876" s="224"/>
      <c r="V2876" s="224"/>
    </row>
    <row r="2877" spans="1:22" x14ac:dyDescent="0.3">
      <c r="A2877" s="222"/>
      <c r="B2877" s="235"/>
      <c r="C2877" s="227"/>
      <c r="D2877" s="344"/>
      <c r="E2877" s="235"/>
      <c r="F2877" s="235"/>
      <c r="G2877" s="227"/>
      <c r="H2877" s="227"/>
      <c r="I2877" s="350"/>
      <c r="J2877" s="227"/>
      <c r="K2877" s="227"/>
      <c r="L2877" s="224"/>
      <c r="M2877" s="224"/>
      <c r="N2877" s="224"/>
      <c r="O2877" s="224"/>
      <c r="P2877" s="224"/>
      <c r="Q2877" s="224"/>
      <c r="R2877" s="224"/>
      <c r="S2877" s="224"/>
      <c r="T2877" s="224"/>
      <c r="U2877" s="224"/>
      <c r="V2877" s="224"/>
    </row>
    <row r="2878" spans="1:22" x14ac:dyDescent="0.3">
      <c r="A2878" s="222"/>
      <c r="B2878" s="235"/>
      <c r="C2878" s="227"/>
      <c r="D2878" s="344"/>
      <c r="E2878" s="235"/>
      <c r="F2878" s="235"/>
      <c r="G2878" s="227"/>
      <c r="H2878" s="227"/>
      <c r="I2878" s="350"/>
      <c r="J2878" s="227"/>
      <c r="K2878" s="227"/>
      <c r="L2878" s="224"/>
      <c r="M2878" s="224"/>
      <c r="N2878" s="224"/>
      <c r="O2878" s="224"/>
      <c r="P2878" s="224"/>
      <c r="Q2878" s="224"/>
      <c r="R2878" s="224"/>
      <c r="S2878" s="224"/>
      <c r="T2878" s="224"/>
      <c r="U2878" s="224"/>
      <c r="V2878" s="224"/>
    </row>
    <row r="2879" spans="1:22" x14ac:dyDescent="0.3">
      <c r="A2879" s="222"/>
      <c r="B2879" s="235"/>
      <c r="C2879" s="227"/>
      <c r="D2879" s="344"/>
      <c r="E2879" s="235"/>
      <c r="F2879" s="235"/>
      <c r="G2879" s="227"/>
      <c r="H2879" s="227"/>
      <c r="I2879" s="350"/>
      <c r="J2879" s="227"/>
      <c r="K2879" s="227"/>
      <c r="L2879" s="224"/>
      <c r="M2879" s="224"/>
      <c r="N2879" s="224"/>
      <c r="O2879" s="224"/>
      <c r="P2879" s="224"/>
      <c r="Q2879" s="224"/>
      <c r="R2879" s="224"/>
      <c r="S2879" s="224"/>
      <c r="T2879" s="224"/>
      <c r="U2879" s="224"/>
      <c r="V2879" s="224"/>
    </row>
    <row r="2880" spans="1:22" x14ac:dyDescent="0.3">
      <c r="A2880" s="222"/>
      <c r="B2880" s="235"/>
      <c r="C2880" s="227"/>
      <c r="D2880" s="344"/>
      <c r="E2880" s="235"/>
      <c r="F2880" s="235"/>
      <c r="G2880" s="227"/>
      <c r="H2880" s="227"/>
      <c r="I2880" s="350"/>
      <c r="J2880" s="227"/>
      <c r="K2880" s="227"/>
      <c r="L2880" s="224"/>
      <c r="M2880" s="224"/>
      <c r="N2880" s="224"/>
      <c r="O2880" s="224"/>
      <c r="P2880" s="224"/>
      <c r="Q2880" s="224"/>
      <c r="R2880" s="224"/>
      <c r="S2880" s="224"/>
      <c r="T2880" s="224"/>
      <c r="U2880" s="224"/>
      <c r="V2880" s="224"/>
    </row>
    <row r="2881" spans="1:22" x14ac:dyDescent="0.3">
      <c r="A2881" s="222"/>
      <c r="B2881" s="235"/>
      <c r="C2881" s="227"/>
      <c r="D2881" s="344"/>
      <c r="E2881" s="235"/>
      <c r="F2881" s="235"/>
      <c r="G2881" s="227"/>
      <c r="H2881" s="227"/>
      <c r="I2881" s="350"/>
      <c r="J2881" s="227"/>
      <c r="K2881" s="227"/>
      <c r="L2881" s="224"/>
      <c r="M2881" s="224"/>
      <c r="N2881" s="224"/>
      <c r="O2881" s="224"/>
      <c r="P2881" s="224"/>
      <c r="Q2881" s="224"/>
      <c r="R2881" s="224"/>
      <c r="S2881" s="224"/>
      <c r="T2881" s="224"/>
      <c r="U2881" s="224"/>
      <c r="V2881" s="224"/>
    </row>
    <row r="2882" spans="1:22" x14ac:dyDescent="0.3">
      <c r="A2882" s="222"/>
      <c r="B2882" s="235"/>
      <c r="C2882" s="227"/>
      <c r="D2882" s="344"/>
      <c r="E2882" s="235"/>
      <c r="F2882" s="235"/>
      <c r="G2882" s="227"/>
      <c r="H2882" s="227"/>
      <c r="I2882" s="350"/>
      <c r="J2882" s="227"/>
      <c r="K2882" s="227"/>
      <c r="L2882" s="224"/>
      <c r="M2882" s="224"/>
      <c r="N2882" s="224"/>
      <c r="O2882" s="224"/>
      <c r="P2882" s="224"/>
      <c r="Q2882" s="224"/>
      <c r="R2882" s="224"/>
      <c r="S2882" s="224"/>
      <c r="T2882" s="224"/>
      <c r="U2882" s="224"/>
      <c r="V2882" s="224"/>
    </row>
    <row r="2883" spans="1:22" x14ac:dyDescent="0.3">
      <c r="A2883" s="222"/>
      <c r="B2883" s="235"/>
      <c r="C2883" s="227"/>
      <c r="D2883" s="344"/>
      <c r="E2883" s="235"/>
      <c r="F2883" s="235"/>
      <c r="G2883" s="227"/>
      <c r="H2883" s="227"/>
      <c r="I2883" s="350"/>
      <c r="J2883" s="227"/>
      <c r="K2883" s="227"/>
      <c r="L2883" s="224"/>
      <c r="M2883" s="224"/>
      <c r="N2883" s="224"/>
      <c r="O2883" s="224"/>
      <c r="P2883" s="224"/>
      <c r="Q2883" s="224"/>
      <c r="R2883" s="224"/>
      <c r="S2883" s="224"/>
      <c r="T2883" s="224"/>
      <c r="U2883" s="224"/>
      <c r="V2883" s="224"/>
    </row>
    <row r="2884" spans="1:22" x14ac:dyDescent="0.3">
      <c r="A2884" s="222"/>
      <c r="B2884" s="235"/>
      <c r="C2884" s="227"/>
      <c r="D2884" s="344"/>
      <c r="E2884" s="235"/>
      <c r="F2884" s="235"/>
      <c r="G2884" s="227"/>
      <c r="H2884" s="227"/>
      <c r="I2884" s="350"/>
      <c r="J2884" s="227"/>
      <c r="K2884" s="227"/>
      <c r="L2884" s="224"/>
      <c r="M2884" s="224"/>
      <c r="N2884" s="224"/>
      <c r="O2884" s="224"/>
      <c r="P2884" s="224"/>
      <c r="Q2884" s="224"/>
      <c r="R2884" s="224"/>
      <c r="S2884" s="224"/>
      <c r="T2884" s="224"/>
      <c r="U2884" s="224"/>
      <c r="V2884" s="224"/>
    </row>
    <row r="2885" spans="1:22" x14ac:dyDescent="0.3">
      <c r="A2885" s="222"/>
      <c r="B2885" s="235"/>
      <c r="C2885" s="227"/>
      <c r="D2885" s="344"/>
      <c r="E2885" s="235"/>
      <c r="F2885" s="235"/>
      <c r="G2885" s="227"/>
      <c r="H2885" s="227"/>
      <c r="I2885" s="350"/>
      <c r="J2885" s="227"/>
      <c r="K2885" s="227"/>
      <c r="L2885" s="224"/>
      <c r="M2885" s="224"/>
      <c r="N2885" s="224"/>
      <c r="O2885" s="224"/>
      <c r="P2885" s="224"/>
      <c r="Q2885" s="224"/>
      <c r="R2885" s="224"/>
      <c r="S2885" s="224"/>
      <c r="T2885" s="224"/>
      <c r="U2885" s="224"/>
      <c r="V2885" s="224"/>
    </row>
    <row r="2886" spans="1:22" x14ac:dyDescent="0.3">
      <c r="A2886" s="222"/>
      <c r="B2886" s="235"/>
      <c r="C2886" s="227"/>
      <c r="D2886" s="344"/>
      <c r="E2886" s="235"/>
      <c r="F2886" s="235"/>
      <c r="G2886" s="227"/>
      <c r="H2886" s="227"/>
      <c r="I2886" s="350"/>
      <c r="J2886" s="227"/>
      <c r="K2886" s="227"/>
      <c r="L2886" s="224"/>
      <c r="M2886" s="224"/>
      <c r="N2886" s="224"/>
      <c r="O2886" s="224"/>
      <c r="P2886" s="224"/>
      <c r="Q2886" s="224"/>
      <c r="R2886" s="224"/>
      <c r="S2886" s="224"/>
      <c r="T2886" s="224"/>
      <c r="U2886" s="224"/>
      <c r="V2886" s="224"/>
    </row>
    <row r="2887" spans="1:22" x14ac:dyDescent="0.3">
      <c r="A2887" s="222"/>
      <c r="B2887" s="235"/>
      <c r="C2887" s="227"/>
      <c r="D2887" s="344"/>
      <c r="E2887" s="235"/>
      <c r="F2887" s="235"/>
      <c r="G2887" s="227"/>
      <c r="H2887" s="227"/>
      <c r="I2887" s="350"/>
      <c r="J2887" s="227"/>
      <c r="K2887" s="227"/>
      <c r="L2887" s="224"/>
      <c r="M2887" s="224"/>
      <c r="N2887" s="224"/>
      <c r="O2887" s="224"/>
      <c r="P2887" s="224"/>
      <c r="Q2887" s="224"/>
      <c r="R2887" s="224"/>
      <c r="S2887" s="224"/>
      <c r="T2887" s="224"/>
      <c r="U2887" s="224"/>
      <c r="V2887" s="224"/>
    </row>
    <row r="2888" spans="1:22" x14ac:dyDescent="0.3">
      <c r="A2888" s="222"/>
      <c r="B2888" s="235"/>
      <c r="C2888" s="227"/>
      <c r="D2888" s="344"/>
      <c r="E2888" s="235"/>
      <c r="F2888" s="235"/>
      <c r="G2888" s="227"/>
      <c r="H2888" s="227"/>
      <c r="I2888" s="350"/>
      <c r="J2888" s="227"/>
      <c r="K2888" s="227"/>
      <c r="L2888" s="224"/>
      <c r="M2888" s="224"/>
      <c r="N2888" s="224"/>
      <c r="O2888" s="224"/>
      <c r="P2888" s="224"/>
      <c r="Q2888" s="224"/>
      <c r="R2888" s="224"/>
      <c r="S2888" s="224"/>
      <c r="T2888" s="224"/>
      <c r="U2888" s="224"/>
      <c r="V2888" s="224"/>
    </row>
    <row r="2889" spans="1:22" x14ac:dyDescent="0.3">
      <c r="A2889" s="222"/>
      <c r="B2889" s="235"/>
      <c r="C2889" s="227"/>
      <c r="D2889" s="344"/>
      <c r="E2889" s="235"/>
      <c r="F2889" s="235"/>
      <c r="G2889" s="227"/>
      <c r="H2889" s="227"/>
      <c r="I2889" s="350"/>
      <c r="J2889" s="227"/>
      <c r="K2889" s="227"/>
      <c r="L2889" s="224"/>
      <c r="M2889" s="224"/>
      <c r="N2889" s="224"/>
      <c r="O2889" s="224"/>
      <c r="P2889" s="224"/>
      <c r="Q2889" s="224"/>
      <c r="R2889" s="224"/>
      <c r="S2889" s="224"/>
      <c r="T2889" s="224"/>
      <c r="U2889" s="224"/>
      <c r="V2889" s="224"/>
    </row>
    <row r="2890" spans="1:22" x14ac:dyDescent="0.3">
      <c r="A2890" s="222"/>
      <c r="B2890" s="235"/>
      <c r="C2890" s="227"/>
      <c r="D2890" s="344"/>
      <c r="E2890" s="235"/>
      <c r="F2890" s="235"/>
      <c r="G2890" s="227"/>
      <c r="H2890" s="227"/>
      <c r="I2890" s="350"/>
      <c r="J2890" s="227"/>
      <c r="K2890" s="227"/>
      <c r="L2890" s="224"/>
      <c r="M2890" s="224"/>
      <c r="N2890" s="224"/>
      <c r="O2890" s="224"/>
      <c r="P2890" s="224"/>
      <c r="Q2890" s="224"/>
      <c r="R2890" s="224"/>
      <c r="S2890" s="224"/>
      <c r="T2890" s="224"/>
      <c r="U2890" s="224"/>
      <c r="V2890" s="224"/>
    </row>
    <row r="2891" spans="1:22" x14ac:dyDescent="0.3">
      <c r="A2891" s="222"/>
      <c r="B2891" s="235"/>
      <c r="C2891" s="227"/>
      <c r="D2891" s="344"/>
      <c r="E2891" s="235"/>
      <c r="F2891" s="235"/>
      <c r="G2891" s="227"/>
      <c r="H2891" s="227"/>
      <c r="I2891" s="350"/>
      <c r="J2891" s="227"/>
      <c r="K2891" s="227"/>
      <c r="L2891" s="224"/>
      <c r="M2891" s="224"/>
      <c r="N2891" s="224"/>
      <c r="O2891" s="224"/>
      <c r="P2891" s="224"/>
      <c r="Q2891" s="224"/>
      <c r="R2891" s="224"/>
      <c r="S2891" s="224"/>
      <c r="T2891" s="224"/>
      <c r="U2891" s="224"/>
      <c r="V2891" s="224"/>
    </row>
    <row r="2892" spans="1:22" x14ac:dyDescent="0.3">
      <c r="A2892" s="222"/>
      <c r="B2892" s="235"/>
      <c r="C2892" s="227"/>
      <c r="D2892" s="344"/>
      <c r="E2892" s="235"/>
      <c r="F2892" s="235"/>
      <c r="G2892" s="227"/>
      <c r="H2892" s="227"/>
      <c r="I2892" s="350"/>
      <c r="J2892" s="227"/>
      <c r="K2892" s="227"/>
      <c r="L2892" s="224"/>
      <c r="M2892" s="224"/>
      <c r="N2892" s="224"/>
      <c r="O2892" s="224"/>
      <c r="P2892" s="224"/>
      <c r="Q2892" s="224"/>
      <c r="R2892" s="224"/>
      <c r="S2892" s="224"/>
      <c r="T2892" s="224"/>
      <c r="U2892" s="224"/>
      <c r="V2892" s="224"/>
    </row>
    <row r="2893" spans="1:22" x14ac:dyDescent="0.3">
      <c r="A2893" s="222"/>
      <c r="B2893" s="235"/>
      <c r="C2893" s="227"/>
      <c r="D2893" s="344"/>
      <c r="E2893" s="235"/>
      <c r="F2893" s="235"/>
      <c r="G2893" s="227"/>
      <c r="H2893" s="227"/>
      <c r="I2893" s="350"/>
      <c r="J2893" s="227"/>
      <c r="K2893" s="227"/>
      <c r="L2893" s="224"/>
      <c r="M2893" s="224"/>
      <c r="N2893" s="224"/>
      <c r="O2893" s="224"/>
      <c r="P2893" s="224"/>
      <c r="Q2893" s="224"/>
      <c r="R2893" s="224"/>
      <c r="S2893" s="224"/>
      <c r="T2893" s="224"/>
      <c r="U2893" s="224"/>
      <c r="V2893" s="224"/>
    </row>
    <row r="2894" spans="1:22" x14ac:dyDescent="0.3">
      <c r="A2894" s="222"/>
      <c r="B2894" s="235"/>
      <c r="C2894" s="227"/>
      <c r="D2894" s="344"/>
      <c r="E2894" s="235"/>
      <c r="F2894" s="235"/>
      <c r="G2894" s="227"/>
      <c r="H2894" s="227"/>
      <c r="I2894" s="350"/>
      <c r="J2894" s="227"/>
      <c r="K2894" s="227"/>
      <c r="L2894" s="224"/>
      <c r="M2894" s="224"/>
      <c r="N2894" s="224"/>
      <c r="O2894" s="224"/>
      <c r="P2894" s="224"/>
      <c r="Q2894" s="224"/>
      <c r="R2894" s="224"/>
      <c r="S2894" s="224"/>
      <c r="T2894" s="224"/>
      <c r="U2894" s="224"/>
      <c r="V2894" s="224"/>
    </row>
    <row r="2895" spans="1:22" x14ac:dyDescent="0.3">
      <c r="A2895" s="222"/>
      <c r="B2895" s="235"/>
      <c r="C2895" s="227"/>
      <c r="D2895" s="344"/>
      <c r="E2895" s="235"/>
      <c r="F2895" s="235"/>
      <c r="G2895" s="227"/>
      <c r="H2895" s="227"/>
      <c r="I2895" s="350"/>
      <c r="J2895" s="227"/>
      <c r="K2895" s="227"/>
      <c r="L2895" s="224"/>
      <c r="M2895" s="224"/>
      <c r="N2895" s="224"/>
      <c r="O2895" s="224"/>
      <c r="P2895" s="224"/>
      <c r="Q2895" s="224"/>
      <c r="R2895" s="224"/>
      <c r="S2895" s="224"/>
      <c r="T2895" s="224"/>
      <c r="U2895" s="224"/>
      <c r="V2895" s="224"/>
    </row>
    <row r="2896" spans="1:22" x14ac:dyDescent="0.3">
      <c r="A2896" s="222"/>
      <c r="B2896" s="235"/>
      <c r="C2896" s="227"/>
      <c r="D2896" s="344"/>
      <c r="E2896" s="235"/>
      <c r="F2896" s="235"/>
      <c r="G2896" s="227"/>
      <c r="H2896" s="227"/>
      <c r="I2896" s="350"/>
      <c r="J2896" s="227"/>
      <c r="K2896" s="227"/>
      <c r="L2896" s="224"/>
      <c r="M2896" s="224"/>
      <c r="N2896" s="224"/>
      <c r="O2896" s="224"/>
      <c r="P2896" s="224"/>
      <c r="Q2896" s="224"/>
      <c r="R2896" s="224"/>
      <c r="S2896" s="224"/>
      <c r="T2896" s="224"/>
      <c r="U2896" s="224"/>
      <c r="V2896" s="224"/>
    </row>
    <row r="2897" spans="1:22" x14ac:dyDescent="0.3">
      <c r="A2897" s="222"/>
      <c r="B2897" s="235"/>
      <c r="C2897" s="227"/>
      <c r="D2897" s="344"/>
      <c r="E2897" s="235"/>
      <c r="F2897" s="235"/>
      <c r="G2897" s="227"/>
      <c r="H2897" s="227"/>
      <c r="I2897" s="350"/>
      <c r="J2897" s="227"/>
      <c r="K2897" s="227"/>
      <c r="L2897" s="224"/>
      <c r="M2897" s="224"/>
      <c r="N2897" s="224"/>
      <c r="O2897" s="224"/>
      <c r="P2897" s="224"/>
      <c r="Q2897" s="224"/>
      <c r="R2897" s="224"/>
      <c r="S2897" s="224"/>
      <c r="T2897" s="224"/>
      <c r="U2897" s="224"/>
      <c r="V2897" s="224"/>
    </row>
    <row r="2898" spans="1:22" x14ac:dyDescent="0.3">
      <c r="A2898" s="222"/>
      <c r="B2898" s="235"/>
      <c r="C2898" s="227"/>
      <c r="D2898" s="344"/>
      <c r="E2898" s="235"/>
      <c r="F2898" s="235"/>
      <c r="G2898" s="227"/>
      <c r="H2898" s="227"/>
      <c r="I2898" s="350"/>
      <c r="J2898" s="227"/>
      <c r="K2898" s="227"/>
      <c r="L2898" s="224"/>
      <c r="M2898" s="224"/>
      <c r="N2898" s="224"/>
      <c r="O2898" s="224"/>
      <c r="P2898" s="224"/>
      <c r="Q2898" s="224"/>
      <c r="R2898" s="224"/>
      <c r="S2898" s="224"/>
      <c r="T2898" s="224"/>
      <c r="U2898" s="224"/>
      <c r="V2898" s="224"/>
    </row>
    <row r="2899" spans="1:22" x14ac:dyDescent="0.3">
      <c r="A2899" s="222"/>
      <c r="B2899" s="235"/>
      <c r="C2899" s="227"/>
      <c r="D2899" s="344"/>
      <c r="E2899" s="235"/>
      <c r="F2899" s="235"/>
      <c r="G2899" s="227"/>
      <c r="H2899" s="227"/>
      <c r="I2899" s="350"/>
      <c r="J2899" s="227"/>
      <c r="K2899" s="227"/>
      <c r="L2899" s="224"/>
      <c r="M2899" s="224"/>
      <c r="N2899" s="224"/>
      <c r="O2899" s="224"/>
      <c r="P2899" s="224"/>
      <c r="Q2899" s="224"/>
      <c r="R2899" s="224"/>
      <c r="S2899" s="224"/>
      <c r="T2899" s="224"/>
      <c r="U2899" s="224"/>
      <c r="V2899" s="224"/>
    </row>
    <row r="2900" spans="1:22" x14ac:dyDescent="0.3">
      <c r="A2900" s="222"/>
      <c r="B2900" s="235"/>
      <c r="C2900" s="227"/>
      <c r="D2900" s="344"/>
      <c r="E2900" s="235"/>
      <c r="F2900" s="235"/>
      <c r="G2900" s="227"/>
      <c r="H2900" s="227"/>
      <c r="I2900" s="350"/>
      <c r="J2900" s="227"/>
      <c r="K2900" s="227"/>
      <c r="L2900" s="224"/>
      <c r="M2900" s="224"/>
      <c r="N2900" s="224"/>
      <c r="O2900" s="224"/>
      <c r="P2900" s="224"/>
      <c r="Q2900" s="224"/>
      <c r="R2900" s="224"/>
      <c r="S2900" s="224"/>
      <c r="T2900" s="224"/>
      <c r="U2900" s="224"/>
      <c r="V2900" s="224"/>
    </row>
    <row r="2901" spans="1:22" x14ac:dyDescent="0.3">
      <c r="A2901" s="222"/>
      <c r="B2901" s="235"/>
      <c r="C2901" s="227"/>
      <c r="D2901" s="344"/>
      <c r="E2901" s="235"/>
      <c r="F2901" s="235"/>
      <c r="G2901" s="227"/>
      <c r="H2901" s="227"/>
      <c r="I2901" s="350"/>
      <c r="J2901" s="227"/>
      <c r="K2901" s="227"/>
      <c r="L2901" s="224"/>
      <c r="M2901" s="224"/>
      <c r="N2901" s="224"/>
      <c r="O2901" s="224"/>
      <c r="P2901" s="224"/>
      <c r="Q2901" s="224"/>
      <c r="R2901" s="224"/>
      <c r="S2901" s="224"/>
      <c r="T2901" s="224"/>
      <c r="U2901" s="224"/>
      <c r="V2901" s="224"/>
    </row>
    <row r="2902" spans="1:22" x14ac:dyDescent="0.3">
      <c r="A2902" s="222"/>
      <c r="B2902" s="235"/>
      <c r="C2902" s="227"/>
      <c r="D2902" s="344"/>
      <c r="E2902" s="235"/>
      <c r="F2902" s="235"/>
      <c r="G2902" s="227"/>
      <c r="H2902" s="227"/>
      <c r="I2902" s="350"/>
      <c r="J2902" s="227"/>
      <c r="K2902" s="227"/>
      <c r="L2902" s="224"/>
      <c r="M2902" s="224"/>
      <c r="N2902" s="224"/>
      <c r="O2902" s="224"/>
      <c r="P2902" s="224"/>
      <c r="Q2902" s="224"/>
      <c r="R2902" s="224"/>
      <c r="S2902" s="224"/>
      <c r="T2902" s="224"/>
      <c r="U2902" s="224"/>
      <c r="V2902" s="224"/>
    </row>
    <row r="2903" spans="1:22" x14ac:dyDescent="0.3">
      <c r="A2903" s="222"/>
      <c r="B2903" s="235"/>
      <c r="C2903" s="227"/>
      <c r="D2903" s="344"/>
      <c r="E2903" s="235"/>
      <c r="F2903" s="235"/>
      <c r="G2903" s="227"/>
      <c r="H2903" s="227"/>
      <c r="I2903" s="350"/>
      <c r="J2903" s="227"/>
      <c r="K2903" s="227"/>
      <c r="L2903" s="224"/>
      <c r="M2903" s="224"/>
      <c r="N2903" s="224"/>
      <c r="O2903" s="224"/>
      <c r="P2903" s="224"/>
      <c r="Q2903" s="224"/>
      <c r="R2903" s="224"/>
      <c r="S2903" s="224"/>
      <c r="T2903" s="224"/>
      <c r="U2903" s="224"/>
      <c r="V2903" s="224"/>
    </row>
    <row r="2904" spans="1:22" x14ac:dyDescent="0.3">
      <c r="A2904" s="222"/>
      <c r="B2904" s="235"/>
      <c r="C2904" s="227"/>
      <c r="D2904" s="344"/>
      <c r="E2904" s="235"/>
      <c r="F2904" s="235"/>
      <c r="G2904" s="227"/>
      <c r="H2904" s="227"/>
      <c r="I2904" s="350"/>
      <c r="J2904" s="227"/>
      <c r="K2904" s="227"/>
      <c r="L2904" s="224"/>
      <c r="M2904" s="224"/>
      <c r="N2904" s="224"/>
      <c r="O2904" s="224"/>
      <c r="P2904" s="224"/>
      <c r="Q2904" s="224"/>
      <c r="R2904" s="224"/>
      <c r="S2904" s="224"/>
      <c r="T2904" s="224"/>
      <c r="U2904" s="224"/>
      <c r="V2904" s="224"/>
    </row>
    <row r="2905" spans="1:22" x14ac:dyDescent="0.3">
      <c r="A2905" s="222"/>
      <c r="B2905" s="235"/>
      <c r="C2905" s="227"/>
      <c r="D2905" s="344"/>
      <c r="E2905" s="235"/>
      <c r="F2905" s="235"/>
      <c r="G2905" s="227"/>
      <c r="H2905" s="227"/>
      <c r="I2905" s="350"/>
      <c r="J2905" s="227"/>
      <c r="K2905" s="227"/>
      <c r="L2905" s="224"/>
      <c r="M2905" s="224"/>
      <c r="N2905" s="224"/>
      <c r="O2905" s="224"/>
      <c r="P2905" s="224"/>
      <c r="Q2905" s="224"/>
      <c r="R2905" s="224"/>
      <c r="S2905" s="224"/>
      <c r="T2905" s="224"/>
      <c r="U2905" s="224"/>
      <c r="V2905" s="224"/>
    </row>
    <row r="2906" spans="1:22" x14ac:dyDescent="0.3">
      <c r="A2906" s="222"/>
      <c r="B2906" s="235"/>
      <c r="C2906" s="227"/>
      <c r="D2906" s="344"/>
      <c r="E2906" s="235"/>
      <c r="F2906" s="235"/>
      <c r="G2906" s="227"/>
      <c r="H2906" s="227"/>
      <c r="I2906" s="350"/>
      <c r="J2906" s="227"/>
      <c r="K2906" s="227"/>
      <c r="L2906" s="224"/>
      <c r="M2906" s="224"/>
      <c r="N2906" s="224"/>
      <c r="O2906" s="224"/>
      <c r="P2906" s="224"/>
      <c r="Q2906" s="224"/>
      <c r="R2906" s="224"/>
      <c r="S2906" s="224"/>
      <c r="T2906" s="224"/>
      <c r="U2906" s="224"/>
      <c r="V2906" s="224"/>
    </row>
    <row r="2907" spans="1:22" x14ac:dyDescent="0.3">
      <c r="A2907" s="222"/>
      <c r="B2907" s="235"/>
      <c r="C2907" s="227"/>
      <c r="D2907" s="344"/>
      <c r="E2907" s="235"/>
      <c r="F2907" s="235"/>
      <c r="G2907" s="227"/>
      <c r="H2907" s="227"/>
      <c r="I2907" s="350"/>
      <c r="J2907" s="227"/>
      <c r="K2907" s="227"/>
      <c r="L2907" s="224"/>
      <c r="M2907" s="224"/>
      <c r="N2907" s="224"/>
      <c r="O2907" s="224"/>
      <c r="P2907" s="224"/>
      <c r="Q2907" s="224"/>
      <c r="R2907" s="224"/>
      <c r="S2907" s="224"/>
      <c r="T2907" s="224"/>
      <c r="U2907" s="224"/>
      <c r="V2907" s="224"/>
    </row>
    <row r="2908" spans="1:22" x14ac:dyDescent="0.3">
      <c r="A2908" s="222"/>
      <c r="B2908" s="235"/>
      <c r="C2908" s="227"/>
      <c r="D2908" s="344"/>
      <c r="E2908" s="235"/>
      <c r="F2908" s="235"/>
      <c r="G2908" s="227"/>
      <c r="H2908" s="227"/>
      <c r="I2908" s="350"/>
      <c r="J2908" s="227"/>
      <c r="K2908" s="227"/>
      <c r="L2908" s="224"/>
      <c r="M2908" s="224"/>
      <c r="N2908" s="224"/>
      <c r="O2908" s="224"/>
      <c r="P2908" s="224"/>
      <c r="Q2908" s="224"/>
      <c r="R2908" s="224"/>
      <c r="S2908" s="224"/>
      <c r="T2908" s="224"/>
      <c r="U2908" s="224"/>
      <c r="V2908" s="224"/>
    </row>
    <row r="2909" spans="1:22" x14ac:dyDescent="0.3">
      <c r="A2909" s="222"/>
      <c r="B2909" s="235"/>
      <c r="C2909" s="227"/>
      <c r="D2909" s="344"/>
      <c r="E2909" s="235"/>
      <c r="F2909" s="235"/>
      <c r="G2909" s="227"/>
      <c r="H2909" s="227"/>
      <c r="I2909" s="350"/>
      <c r="J2909" s="227"/>
      <c r="K2909" s="227"/>
      <c r="L2909" s="224"/>
      <c r="M2909" s="224"/>
      <c r="N2909" s="224"/>
      <c r="O2909" s="224"/>
      <c r="P2909" s="224"/>
      <c r="Q2909" s="224"/>
      <c r="R2909" s="224"/>
      <c r="S2909" s="224"/>
      <c r="T2909" s="224"/>
      <c r="U2909" s="224"/>
      <c r="V2909" s="224"/>
    </row>
    <row r="2910" spans="1:22" x14ac:dyDescent="0.3">
      <c r="A2910" s="222"/>
      <c r="B2910" s="235"/>
      <c r="C2910" s="227"/>
      <c r="D2910" s="344"/>
      <c r="E2910" s="235"/>
      <c r="F2910" s="235"/>
      <c r="G2910" s="227"/>
      <c r="H2910" s="227"/>
      <c r="I2910" s="350"/>
      <c r="J2910" s="227"/>
      <c r="K2910" s="227"/>
      <c r="L2910" s="224"/>
      <c r="M2910" s="224"/>
      <c r="N2910" s="224"/>
      <c r="O2910" s="224"/>
      <c r="P2910" s="224"/>
      <c r="Q2910" s="224"/>
      <c r="R2910" s="224"/>
      <c r="S2910" s="224"/>
      <c r="T2910" s="224"/>
      <c r="U2910" s="224"/>
      <c r="V2910" s="224"/>
    </row>
    <row r="2911" spans="1:22" x14ac:dyDescent="0.3">
      <c r="A2911" s="222"/>
      <c r="B2911" s="235"/>
      <c r="C2911" s="227"/>
      <c r="D2911" s="344"/>
      <c r="E2911" s="235"/>
      <c r="F2911" s="235"/>
      <c r="G2911" s="227"/>
      <c r="H2911" s="227"/>
      <c r="I2911" s="350"/>
      <c r="J2911" s="227"/>
      <c r="K2911" s="227"/>
      <c r="L2911" s="224"/>
      <c r="M2911" s="224"/>
      <c r="N2911" s="224"/>
      <c r="O2911" s="224"/>
      <c r="P2911" s="224"/>
      <c r="Q2911" s="224"/>
      <c r="R2911" s="224"/>
      <c r="S2911" s="224"/>
      <c r="T2911" s="224"/>
      <c r="U2911" s="224"/>
      <c r="V2911" s="224"/>
    </row>
    <row r="2912" spans="1:22" x14ac:dyDescent="0.3">
      <c r="A2912" s="222"/>
      <c r="B2912" s="235"/>
      <c r="C2912" s="227"/>
      <c r="D2912" s="344"/>
      <c r="E2912" s="235"/>
      <c r="F2912" s="235"/>
      <c r="G2912" s="227"/>
      <c r="H2912" s="227"/>
      <c r="I2912" s="350"/>
      <c r="J2912" s="227"/>
      <c r="K2912" s="227"/>
      <c r="L2912" s="224"/>
      <c r="M2912" s="224"/>
      <c r="N2912" s="224"/>
      <c r="O2912" s="224"/>
      <c r="P2912" s="224"/>
      <c r="Q2912" s="224"/>
      <c r="R2912" s="224"/>
      <c r="S2912" s="224"/>
      <c r="T2912" s="224"/>
      <c r="U2912" s="224"/>
      <c r="V2912" s="224"/>
    </row>
    <row r="2913" spans="1:22" x14ac:dyDescent="0.3">
      <c r="A2913" s="222"/>
      <c r="B2913" s="235"/>
      <c r="C2913" s="227"/>
      <c r="D2913" s="344"/>
      <c r="E2913" s="235"/>
      <c r="F2913" s="235"/>
      <c r="G2913" s="227"/>
      <c r="H2913" s="227"/>
      <c r="I2913" s="350"/>
      <c r="J2913" s="227"/>
      <c r="K2913" s="227"/>
      <c r="L2913" s="224"/>
      <c r="M2913" s="224"/>
      <c r="N2913" s="224"/>
      <c r="O2913" s="224"/>
      <c r="P2913" s="224"/>
      <c r="Q2913" s="224"/>
      <c r="R2913" s="224"/>
      <c r="S2913" s="224"/>
      <c r="T2913" s="224"/>
      <c r="U2913" s="224"/>
      <c r="V2913" s="224"/>
    </row>
    <row r="2914" spans="1:22" x14ac:dyDescent="0.3">
      <c r="A2914" s="222"/>
      <c r="B2914" s="235"/>
      <c r="C2914" s="227"/>
      <c r="D2914" s="344"/>
      <c r="E2914" s="235"/>
      <c r="F2914" s="235"/>
      <c r="G2914" s="227"/>
      <c r="H2914" s="227"/>
      <c r="I2914" s="350"/>
      <c r="J2914" s="227"/>
      <c r="K2914" s="227"/>
      <c r="L2914" s="224"/>
      <c r="M2914" s="224"/>
      <c r="N2914" s="224"/>
      <c r="O2914" s="224"/>
      <c r="P2914" s="224"/>
      <c r="Q2914" s="224"/>
      <c r="R2914" s="224"/>
      <c r="S2914" s="224"/>
      <c r="T2914" s="224"/>
      <c r="U2914" s="224"/>
      <c r="V2914" s="224"/>
    </row>
    <row r="2915" spans="1:22" x14ac:dyDescent="0.3">
      <c r="A2915" s="222"/>
      <c r="B2915" s="235"/>
      <c r="C2915" s="227"/>
      <c r="D2915" s="344"/>
      <c r="E2915" s="235"/>
      <c r="F2915" s="235"/>
      <c r="G2915" s="227"/>
      <c r="H2915" s="227"/>
      <c r="I2915" s="350"/>
      <c r="J2915" s="227"/>
      <c r="K2915" s="227"/>
      <c r="L2915" s="224"/>
      <c r="M2915" s="224"/>
      <c r="N2915" s="224"/>
      <c r="O2915" s="224"/>
      <c r="P2915" s="224"/>
      <c r="Q2915" s="224"/>
      <c r="R2915" s="224"/>
      <c r="S2915" s="224"/>
      <c r="T2915" s="224"/>
      <c r="U2915" s="224"/>
      <c r="V2915" s="224"/>
    </row>
    <row r="2916" spans="1:22" x14ac:dyDescent="0.3">
      <c r="A2916" s="222"/>
      <c r="B2916" s="235"/>
      <c r="C2916" s="227"/>
      <c r="D2916" s="344"/>
      <c r="E2916" s="235"/>
      <c r="F2916" s="235"/>
      <c r="G2916" s="227"/>
      <c r="H2916" s="227"/>
      <c r="I2916" s="350"/>
      <c r="J2916" s="227"/>
      <c r="K2916" s="227"/>
      <c r="L2916" s="224"/>
      <c r="M2916" s="224"/>
      <c r="N2916" s="224"/>
      <c r="O2916" s="224"/>
      <c r="P2916" s="224"/>
      <c r="Q2916" s="224"/>
      <c r="R2916" s="224"/>
      <c r="S2916" s="224"/>
      <c r="T2916" s="224"/>
      <c r="U2916" s="224"/>
      <c r="V2916" s="224"/>
    </row>
    <row r="2917" spans="1:22" x14ac:dyDescent="0.3">
      <c r="A2917" s="222"/>
      <c r="B2917" s="235"/>
      <c r="C2917" s="227"/>
      <c r="D2917" s="344"/>
      <c r="E2917" s="235"/>
      <c r="F2917" s="235"/>
      <c r="G2917" s="227"/>
      <c r="H2917" s="227"/>
      <c r="I2917" s="350"/>
      <c r="J2917" s="227"/>
      <c r="K2917" s="227"/>
      <c r="L2917" s="224"/>
      <c r="M2917" s="224"/>
      <c r="N2917" s="224"/>
      <c r="O2917" s="224"/>
      <c r="P2917" s="224"/>
      <c r="Q2917" s="224"/>
      <c r="R2917" s="224"/>
      <c r="S2917" s="224"/>
      <c r="T2917" s="224"/>
      <c r="U2917" s="224"/>
      <c r="V2917" s="224"/>
    </row>
    <row r="2918" spans="1:22" x14ac:dyDescent="0.3">
      <c r="A2918" s="222"/>
      <c r="B2918" s="235"/>
      <c r="C2918" s="227"/>
      <c r="D2918" s="344"/>
      <c r="E2918" s="235"/>
      <c r="F2918" s="235"/>
      <c r="G2918" s="227"/>
      <c r="H2918" s="227"/>
      <c r="I2918" s="350"/>
      <c r="J2918" s="227"/>
      <c r="K2918" s="227"/>
      <c r="L2918" s="224"/>
      <c r="M2918" s="224"/>
      <c r="N2918" s="224"/>
      <c r="O2918" s="224"/>
      <c r="P2918" s="224"/>
      <c r="Q2918" s="224"/>
      <c r="R2918" s="224"/>
      <c r="S2918" s="224"/>
      <c r="T2918" s="224"/>
      <c r="U2918" s="224"/>
      <c r="V2918" s="224"/>
    </row>
    <row r="2919" spans="1:22" x14ac:dyDescent="0.3">
      <c r="A2919" s="222"/>
      <c r="B2919" s="235"/>
      <c r="C2919" s="227"/>
      <c r="D2919" s="344"/>
      <c r="E2919" s="235"/>
      <c r="F2919" s="235"/>
      <c r="G2919" s="227"/>
      <c r="H2919" s="227"/>
      <c r="I2919" s="350"/>
      <c r="J2919" s="227"/>
      <c r="K2919" s="227"/>
      <c r="L2919" s="224"/>
      <c r="M2919" s="224"/>
      <c r="N2919" s="224"/>
      <c r="O2919" s="224"/>
      <c r="P2919" s="224"/>
      <c r="Q2919" s="224"/>
      <c r="R2919" s="224"/>
      <c r="S2919" s="224"/>
      <c r="T2919" s="224"/>
      <c r="U2919" s="224"/>
      <c r="V2919" s="224"/>
    </row>
    <row r="2920" spans="1:22" x14ac:dyDescent="0.3">
      <c r="A2920" s="222"/>
      <c r="B2920" s="235"/>
      <c r="C2920" s="227"/>
      <c r="D2920" s="344"/>
      <c r="E2920" s="235"/>
      <c r="F2920" s="235"/>
      <c r="G2920" s="227"/>
      <c r="H2920" s="227"/>
      <c r="I2920" s="350"/>
      <c r="J2920" s="227"/>
      <c r="K2920" s="227"/>
      <c r="L2920" s="224"/>
      <c r="M2920" s="224"/>
      <c r="N2920" s="224"/>
      <c r="O2920" s="224"/>
      <c r="P2920" s="224"/>
      <c r="Q2920" s="224"/>
      <c r="R2920" s="224"/>
      <c r="S2920" s="224"/>
      <c r="T2920" s="224"/>
      <c r="U2920" s="224"/>
      <c r="V2920" s="224"/>
    </row>
    <row r="2921" spans="1:22" x14ac:dyDescent="0.3">
      <c r="A2921" s="222"/>
      <c r="B2921" s="235"/>
      <c r="C2921" s="227"/>
      <c r="D2921" s="344"/>
      <c r="E2921" s="235"/>
      <c r="F2921" s="235"/>
      <c r="G2921" s="227"/>
      <c r="H2921" s="227"/>
      <c r="I2921" s="350"/>
      <c r="J2921" s="227"/>
      <c r="K2921" s="227"/>
      <c r="L2921" s="224"/>
      <c r="M2921" s="224"/>
      <c r="N2921" s="224"/>
      <c r="O2921" s="224"/>
      <c r="P2921" s="224"/>
      <c r="Q2921" s="224"/>
      <c r="R2921" s="224"/>
      <c r="S2921" s="224"/>
      <c r="T2921" s="224"/>
      <c r="U2921" s="224"/>
      <c r="V2921" s="224"/>
    </row>
    <row r="2922" spans="1:22" x14ac:dyDescent="0.3">
      <c r="A2922" s="222"/>
      <c r="B2922" s="235"/>
      <c r="C2922" s="227"/>
      <c r="D2922" s="344"/>
      <c r="E2922" s="235"/>
      <c r="F2922" s="235"/>
      <c r="G2922" s="227"/>
      <c r="H2922" s="227"/>
      <c r="I2922" s="350"/>
      <c r="J2922" s="227"/>
      <c r="K2922" s="227"/>
      <c r="L2922" s="224"/>
      <c r="M2922" s="224"/>
      <c r="N2922" s="224"/>
      <c r="O2922" s="224"/>
      <c r="P2922" s="224"/>
      <c r="Q2922" s="224"/>
      <c r="R2922" s="224"/>
      <c r="S2922" s="224"/>
      <c r="T2922" s="224"/>
      <c r="U2922" s="224"/>
      <c r="V2922" s="224"/>
    </row>
    <row r="2923" spans="1:22" x14ac:dyDescent="0.3">
      <c r="A2923" s="222"/>
      <c r="B2923" s="235"/>
      <c r="C2923" s="227"/>
      <c r="D2923" s="344"/>
      <c r="E2923" s="235"/>
      <c r="F2923" s="235"/>
      <c r="G2923" s="227"/>
      <c r="H2923" s="227"/>
      <c r="I2923" s="350"/>
      <c r="J2923" s="227"/>
      <c r="K2923" s="227"/>
      <c r="L2923" s="224"/>
      <c r="M2923" s="224"/>
      <c r="N2923" s="224"/>
      <c r="O2923" s="224"/>
      <c r="P2923" s="224"/>
      <c r="Q2923" s="224"/>
      <c r="R2923" s="224"/>
      <c r="S2923" s="224"/>
      <c r="T2923" s="224"/>
      <c r="U2923" s="224"/>
      <c r="V2923" s="224"/>
    </row>
    <row r="2924" spans="1:22" x14ac:dyDescent="0.3">
      <c r="A2924" s="222"/>
      <c r="B2924" s="235"/>
      <c r="C2924" s="227"/>
      <c r="D2924" s="344"/>
      <c r="E2924" s="235"/>
      <c r="F2924" s="235"/>
      <c r="G2924" s="227"/>
      <c r="H2924" s="227"/>
      <c r="I2924" s="350"/>
      <c r="J2924" s="227"/>
      <c r="K2924" s="227"/>
      <c r="L2924" s="224"/>
      <c r="M2924" s="224"/>
      <c r="N2924" s="224"/>
      <c r="O2924" s="224"/>
      <c r="P2924" s="224"/>
      <c r="Q2924" s="224"/>
      <c r="R2924" s="224"/>
      <c r="S2924" s="224"/>
      <c r="T2924" s="224"/>
      <c r="U2924" s="224"/>
      <c r="V2924" s="224"/>
    </row>
    <row r="2925" spans="1:22" x14ac:dyDescent="0.3">
      <c r="A2925" s="222"/>
      <c r="B2925" s="235"/>
      <c r="C2925" s="227"/>
      <c r="D2925" s="344"/>
      <c r="E2925" s="235"/>
      <c r="F2925" s="235"/>
      <c r="G2925" s="227"/>
      <c r="H2925" s="227"/>
      <c r="I2925" s="350"/>
      <c r="J2925" s="227"/>
      <c r="K2925" s="227"/>
      <c r="L2925" s="224"/>
      <c r="M2925" s="224"/>
      <c r="N2925" s="224"/>
      <c r="O2925" s="224"/>
      <c r="P2925" s="224"/>
      <c r="Q2925" s="224"/>
      <c r="R2925" s="224"/>
      <c r="S2925" s="224"/>
      <c r="T2925" s="224"/>
      <c r="U2925" s="224"/>
      <c r="V2925" s="224"/>
    </row>
    <row r="2926" spans="1:22" x14ac:dyDescent="0.3">
      <c r="A2926" s="222"/>
      <c r="B2926" s="235"/>
      <c r="C2926" s="227"/>
      <c r="D2926" s="344"/>
      <c r="E2926" s="235"/>
      <c r="F2926" s="235"/>
      <c r="G2926" s="227"/>
      <c r="H2926" s="227"/>
      <c r="I2926" s="350"/>
      <c r="J2926" s="227"/>
      <c r="K2926" s="227"/>
      <c r="L2926" s="224"/>
      <c r="M2926" s="224"/>
      <c r="N2926" s="224"/>
      <c r="O2926" s="224"/>
      <c r="P2926" s="224"/>
      <c r="Q2926" s="224"/>
      <c r="R2926" s="224"/>
      <c r="S2926" s="224"/>
      <c r="T2926" s="224"/>
      <c r="U2926" s="224"/>
      <c r="V2926" s="224"/>
    </row>
    <row r="2927" spans="1:22" x14ac:dyDescent="0.3">
      <c r="A2927" s="222"/>
      <c r="B2927" s="235"/>
      <c r="C2927" s="227"/>
      <c r="D2927" s="344"/>
      <c r="E2927" s="235"/>
      <c r="F2927" s="235"/>
      <c r="G2927" s="227"/>
      <c r="H2927" s="227"/>
      <c r="I2927" s="350"/>
      <c r="J2927" s="227"/>
      <c r="K2927" s="227"/>
      <c r="L2927" s="224"/>
      <c r="M2927" s="224"/>
      <c r="N2927" s="224"/>
      <c r="O2927" s="224"/>
      <c r="P2927" s="224"/>
      <c r="Q2927" s="224"/>
      <c r="R2927" s="224"/>
      <c r="S2927" s="224"/>
      <c r="T2927" s="224"/>
      <c r="U2927" s="224"/>
      <c r="V2927" s="224"/>
    </row>
    <row r="2928" spans="1:22" x14ac:dyDescent="0.3">
      <c r="A2928" s="222"/>
      <c r="B2928" s="235"/>
      <c r="C2928" s="227"/>
      <c r="D2928" s="344"/>
      <c r="E2928" s="235"/>
      <c r="F2928" s="235"/>
      <c r="G2928" s="227"/>
      <c r="H2928" s="227"/>
      <c r="I2928" s="350"/>
      <c r="J2928" s="227"/>
      <c r="K2928" s="227"/>
      <c r="L2928" s="224"/>
      <c r="M2928" s="224"/>
      <c r="N2928" s="224"/>
      <c r="O2928" s="224"/>
      <c r="P2928" s="224"/>
      <c r="Q2928" s="224"/>
      <c r="R2928" s="224"/>
      <c r="S2928" s="224"/>
      <c r="T2928" s="224"/>
      <c r="U2928" s="224"/>
      <c r="V2928" s="224"/>
    </row>
    <row r="2929" spans="1:22" x14ac:dyDescent="0.3">
      <c r="A2929" s="222"/>
      <c r="B2929" s="235"/>
      <c r="C2929" s="227"/>
      <c r="D2929" s="344"/>
      <c r="E2929" s="235"/>
      <c r="F2929" s="235"/>
      <c r="G2929" s="227"/>
      <c r="H2929" s="227"/>
      <c r="I2929" s="350"/>
      <c r="J2929" s="227"/>
      <c r="K2929" s="227"/>
      <c r="L2929" s="224"/>
      <c r="M2929" s="224"/>
      <c r="N2929" s="224"/>
      <c r="O2929" s="224"/>
      <c r="P2929" s="224"/>
      <c r="Q2929" s="224"/>
      <c r="R2929" s="224"/>
      <c r="S2929" s="224"/>
      <c r="T2929" s="224"/>
      <c r="U2929" s="224"/>
      <c r="V2929" s="224"/>
    </row>
    <row r="2930" spans="1:22" x14ac:dyDescent="0.3">
      <c r="A2930" s="222"/>
      <c r="B2930" s="235"/>
      <c r="C2930" s="227"/>
      <c r="D2930" s="344"/>
      <c r="E2930" s="235"/>
      <c r="F2930" s="235"/>
      <c r="G2930" s="227"/>
      <c r="H2930" s="227"/>
      <c r="I2930" s="350"/>
      <c r="J2930" s="227"/>
      <c r="K2930" s="227"/>
      <c r="L2930" s="224"/>
      <c r="M2930" s="224"/>
      <c r="N2930" s="224"/>
      <c r="O2930" s="224"/>
      <c r="P2930" s="224"/>
      <c r="Q2930" s="224"/>
      <c r="R2930" s="224"/>
      <c r="S2930" s="224"/>
      <c r="T2930" s="224"/>
      <c r="U2930" s="224"/>
      <c r="V2930" s="224"/>
    </row>
    <row r="2931" spans="1:22" x14ac:dyDescent="0.3">
      <c r="A2931" s="222"/>
      <c r="B2931" s="235"/>
      <c r="C2931" s="227"/>
      <c r="D2931" s="344"/>
      <c r="E2931" s="235"/>
      <c r="F2931" s="235"/>
      <c r="G2931" s="227"/>
      <c r="H2931" s="227"/>
      <c r="I2931" s="350"/>
      <c r="J2931" s="227"/>
      <c r="K2931" s="227"/>
      <c r="L2931" s="224"/>
      <c r="M2931" s="224"/>
      <c r="N2931" s="224"/>
      <c r="O2931" s="224"/>
      <c r="P2931" s="224"/>
      <c r="Q2931" s="224"/>
      <c r="R2931" s="224"/>
      <c r="S2931" s="224"/>
      <c r="T2931" s="224"/>
      <c r="U2931" s="224"/>
      <c r="V2931" s="224"/>
    </row>
    <row r="2932" spans="1:22" x14ac:dyDescent="0.3">
      <c r="A2932" s="222"/>
      <c r="B2932" s="235"/>
      <c r="C2932" s="227"/>
      <c r="D2932" s="344"/>
      <c r="E2932" s="235"/>
      <c r="F2932" s="235"/>
      <c r="G2932" s="227"/>
      <c r="H2932" s="227"/>
      <c r="I2932" s="350"/>
      <c r="J2932" s="227"/>
      <c r="K2932" s="227"/>
      <c r="L2932" s="224"/>
      <c r="M2932" s="224"/>
      <c r="N2932" s="224"/>
      <c r="O2932" s="224"/>
      <c r="P2932" s="224"/>
      <c r="Q2932" s="224"/>
      <c r="R2932" s="224"/>
      <c r="S2932" s="224"/>
      <c r="T2932" s="224"/>
      <c r="U2932" s="224"/>
      <c r="V2932" s="224"/>
    </row>
    <row r="2933" spans="1:22" x14ac:dyDescent="0.3">
      <c r="A2933" s="222"/>
      <c r="B2933" s="235"/>
      <c r="C2933" s="227"/>
      <c r="D2933" s="344"/>
      <c r="E2933" s="235"/>
      <c r="F2933" s="235"/>
      <c r="G2933" s="227"/>
      <c r="H2933" s="227"/>
      <c r="I2933" s="350"/>
      <c r="J2933" s="227"/>
      <c r="K2933" s="227"/>
      <c r="L2933" s="224"/>
      <c r="M2933" s="224"/>
      <c r="N2933" s="224"/>
      <c r="O2933" s="224"/>
      <c r="P2933" s="224"/>
      <c r="Q2933" s="224"/>
      <c r="R2933" s="224"/>
      <c r="S2933" s="224"/>
      <c r="T2933" s="224"/>
      <c r="U2933" s="224"/>
      <c r="V2933" s="224"/>
    </row>
    <row r="2934" spans="1:22" x14ac:dyDescent="0.3">
      <c r="A2934" s="222"/>
      <c r="B2934" s="235"/>
      <c r="C2934" s="227"/>
      <c r="D2934" s="344"/>
      <c r="E2934" s="235"/>
      <c r="F2934" s="235"/>
      <c r="G2934" s="227"/>
      <c r="H2934" s="227"/>
      <c r="I2934" s="350"/>
      <c r="J2934" s="227"/>
      <c r="K2934" s="227"/>
      <c r="L2934" s="224"/>
      <c r="M2934" s="224"/>
      <c r="N2934" s="224"/>
      <c r="O2934" s="224"/>
      <c r="P2934" s="224"/>
      <c r="Q2934" s="224"/>
      <c r="R2934" s="224"/>
      <c r="S2934" s="224"/>
      <c r="T2934" s="224"/>
      <c r="U2934" s="224"/>
      <c r="V2934" s="224"/>
    </row>
    <row r="2935" spans="1:22" x14ac:dyDescent="0.3">
      <c r="A2935" s="222"/>
      <c r="B2935" s="235"/>
      <c r="C2935" s="227"/>
      <c r="D2935" s="344"/>
      <c r="E2935" s="235"/>
      <c r="F2935" s="235"/>
      <c r="G2935" s="227"/>
      <c r="H2935" s="227"/>
      <c r="I2935" s="350"/>
      <c r="J2935" s="227"/>
      <c r="K2935" s="227"/>
      <c r="L2935" s="224"/>
      <c r="M2935" s="224"/>
      <c r="N2935" s="224"/>
      <c r="O2935" s="224"/>
      <c r="P2935" s="224"/>
      <c r="Q2935" s="224"/>
      <c r="R2935" s="224"/>
      <c r="S2935" s="224"/>
      <c r="T2935" s="224"/>
      <c r="U2935" s="224"/>
      <c r="V2935" s="224"/>
    </row>
    <row r="2936" spans="1:22" x14ac:dyDescent="0.3">
      <c r="A2936" s="222"/>
      <c r="B2936" s="235"/>
      <c r="C2936" s="227"/>
      <c r="D2936" s="344"/>
      <c r="E2936" s="235"/>
      <c r="F2936" s="235"/>
      <c r="G2936" s="227"/>
      <c r="H2936" s="227"/>
      <c r="I2936" s="350"/>
      <c r="J2936" s="227"/>
      <c r="K2936" s="227"/>
      <c r="L2936" s="224"/>
      <c r="M2936" s="224"/>
      <c r="N2936" s="224"/>
      <c r="O2936" s="224"/>
      <c r="P2936" s="224"/>
      <c r="Q2936" s="224"/>
      <c r="R2936" s="224"/>
      <c r="S2936" s="224"/>
      <c r="T2936" s="224"/>
      <c r="U2936" s="224"/>
      <c r="V2936" s="224"/>
    </row>
    <row r="2937" spans="1:22" x14ac:dyDescent="0.3">
      <c r="A2937" s="222"/>
      <c r="B2937" s="235"/>
      <c r="C2937" s="227"/>
      <c r="D2937" s="344"/>
      <c r="E2937" s="235"/>
      <c r="F2937" s="235"/>
      <c r="G2937" s="227"/>
      <c r="H2937" s="227"/>
      <c r="I2937" s="350"/>
      <c r="J2937" s="227"/>
      <c r="K2937" s="227"/>
      <c r="L2937" s="224"/>
      <c r="M2937" s="224"/>
      <c r="N2937" s="224"/>
      <c r="O2937" s="224"/>
      <c r="P2937" s="224"/>
      <c r="Q2937" s="224"/>
      <c r="R2937" s="224"/>
      <c r="S2937" s="224"/>
      <c r="T2937" s="224"/>
      <c r="U2937" s="224"/>
      <c r="V2937" s="224"/>
    </row>
    <row r="2938" spans="1:22" x14ac:dyDescent="0.3">
      <c r="A2938" s="222"/>
      <c r="B2938" s="235"/>
      <c r="C2938" s="227"/>
      <c r="D2938" s="344"/>
      <c r="E2938" s="235"/>
      <c r="F2938" s="235"/>
      <c r="G2938" s="227"/>
      <c r="H2938" s="227"/>
      <c r="I2938" s="350"/>
      <c r="J2938" s="227"/>
      <c r="K2938" s="227"/>
      <c r="L2938" s="224"/>
      <c r="M2938" s="224"/>
      <c r="N2938" s="224"/>
      <c r="O2938" s="224"/>
      <c r="P2938" s="224"/>
      <c r="Q2938" s="224"/>
      <c r="R2938" s="224"/>
      <c r="S2938" s="224"/>
      <c r="T2938" s="224"/>
      <c r="U2938" s="224"/>
      <c r="V2938" s="224"/>
    </row>
    <row r="2939" spans="1:22" x14ac:dyDescent="0.3">
      <c r="A2939" s="222"/>
      <c r="B2939" s="235"/>
      <c r="C2939" s="227"/>
      <c r="D2939" s="344"/>
      <c r="E2939" s="235"/>
      <c r="F2939" s="235"/>
      <c r="G2939" s="227"/>
      <c r="H2939" s="227"/>
      <c r="I2939" s="350"/>
      <c r="J2939" s="227"/>
      <c r="K2939" s="227"/>
      <c r="L2939" s="224"/>
      <c r="M2939" s="224"/>
      <c r="N2939" s="224"/>
      <c r="O2939" s="224"/>
      <c r="P2939" s="224"/>
      <c r="Q2939" s="224"/>
      <c r="R2939" s="224"/>
      <c r="S2939" s="224"/>
      <c r="T2939" s="224"/>
      <c r="U2939" s="224"/>
      <c r="V2939" s="224"/>
    </row>
    <row r="2940" spans="1:22" x14ac:dyDescent="0.3">
      <c r="A2940" s="222"/>
      <c r="B2940" s="235"/>
      <c r="C2940" s="227"/>
      <c r="D2940" s="344"/>
      <c r="E2940" s="235"/>
      <c r="F2940" s="235"/>
      <c r="G2940" s="227"/>
      <c r="H2940" s="227"/>
      <c r="I2940" s="350"/>
      <c r="J2940" s="227"/>
      <c r="K2940" s="227"/>
      <c r="L2940" s="224"/>
      <c r="M2940" s="224"/>
      <c r="N2940" s="224"/>
      <c r="O2940" s="224"/>
      <c r="P2940" s="224"/>
      <c r="Q2940" s="224"/>
      <c r="R2940" s="224"/>
      <c r="S2940" s="224"/>
      <c r="T2940" s="224"/>
      <c r="U2940" s="224"/>
      <c r="V2940" s="224"/>
    </row>
    <row r="2941" spans="1:22" x14ac:dyDescent="0.3">
      <c r="A2941" s="222"/>
      <c r="B2941" s="235"/>
      <c r="C2941" s="227"/>
      <c r="D2941" s="344"/>
      <c r="E2941" s="235"/>
      <c r="F2941" s="235"/>
      <c r="G2941" s="227"/>
      <c r="H2941" s="227"/>
      <c r="I2941" s="350"/>
      <c r="J2941" s="227"/>
      <c r="K2941" s="227"/>
      <c r="L2941" s="224"/>
      <c r="M2941" s="224"/>
      <c r="N2941" s="224"/>
      <c r="O2941" s="224"/>
      <c r="P2941" s="224"/>
      <c r="Q2941" s="224"/>
      <c r="R2941" s="224"/>
      <c r="S2941" s="224"/>
      <c r="T2941" s="224"/>
      <c r="U2941" s="224"/>
      <c r="V2941" s="224"/>
    </row>
    <row r="2942" spans="1:22" x14ac:dyDescent="0.3">
      <c r="A2942" s="222"/>
      <c r="B2942" s="235"/>
      <c r="C2942" s="227"/>
      <c r="D2942" s="344"/>
      <c r="E2942" s="235"/>
      <c r="F2942" s="235"/>
      <c r="G2942" s="227"/>
      <c r="H2942" s="227"/>
      <c r="I2942" s="350"/>
      <c r="J2942" s="227"/>
      <c r="K2942" s="227"/>
      <c r="L2942" s="224"/>
      <c r="M2942" s="224"/>
      <c r="N2942" s="224"/>
      <c r="O2942" s="224"/>
      <c r="P2942" s="224"/>
      <c r="Q2942" s="224"/>
      <c r="R2942" s="224"/>
      <c r="S2942" s="224"/>
      <c r="T2942" s="224"/>
      <c r="U2942" s="224"/>
      <c r="V2942" s="224"/>
    </row>
    <row r="2943" spans="1:22" x14ac:dyDescent="0.3">
      <c r="A2943" s="222"/>
      <c r="B2943" s="235"/>
      <c r="C2943" s="227"/>
      <c r="D2943" s="344"/>
      <c r="E2943" s="235"/>
      <c r="F2943" s="235"/>
      <c r="G2943" s="227"/>
      <c r="H2943" s="227"/>
      <c r="I2943" s="350"/>
      <c r="J2943" s="227"/>
      <c r="K2943" s="227"/>
      <c r="L2943" s="224"/>
      <c r="M2943" s="224"/>
      <c r="N2943" s="224"/>
      <c r="O2943" s="224"/>
      <c r="P2943" s="224"/>
      <c r="Q2943" s="224"/>
      <c r="R2943" s="224"/>
      <c r="S2943" s="224"/>
      <c r="T2943" s="224"/>
      <c r="U2943" s="224"/>
      <c r="V2943" s="224"/>
    </row>
    <row r="2944" spans="1:22" x14ac:dyDescent="0.3">
      <c r="A2944" s="222"/>
      <c r="B2944" s="235"/>
      <c r="C2944" s="227"/>
      <c r="D2944" s="344"/>
      <c r="E2944" s="235"/>
      <c r="F2944" s="235"/>
      <c r="G2944" s="227"/>
      <c r="H2944" s="227"/>
      <c r="I2944" s="350"/>
      <c r="J2944" s="227"/>
      <c r="K2944" s="227"/>
      <c r="L2944" s="224"/>
      <c r="M2944" s="224"/>
      <c r="N2944" s="224"/>
      <c r="O2944" s="224"/>
      <c r="P2944" s="224"/>
      <c r="Q2944" s="224"/>
      <c r="R2944" s="224"/>
      <c r="S2944" s="224"/>
      <c r="T2944" s="224"/>
      <c r="U2944" s="224"/>
      <c r="V2944" s="224"/>
    </row>
    <row r="2945" spans="1:22" x14ac:dyDescent="0.3">
      <c r="A2945" s="222"/>
      <c r="B2945" s="235"/>
      <c r="C2945" s="227"/>
      <c r="D2945" s="344"/>
      <c r="E2945" s="235"/>
      <c r="F2945" s="235"/>
      <c r="G2945" s="227"/>
      <c r="H2945" s="227"/>
      <c r="I2945" s="350"/>
      <c r="J2945" s="227"/>
      <c r="K2945" s="227"/>
      <c r="L2945" s="224"/>
      <c r="M2945" s="224"/>
      <c r="N2945" s="224"/>
      <c r="O2945" s="224"/>
      <c r="P2945" s="224"/>
      <c r="Q2945" s="224"/>
      <c r="R2945" s="224"/>
      <c r="S2945" s="224"/>
      <c r="T2945" s="224"/>
      <c r="U2945" s="224"/>
      <c r="V2945" s="224"/>
    </row>
    <row r="2946" spans="1:22" x14ac:dyDescent="0.3">
      <c r="A2946" s="222"/>
      <c r="B2946" s="235"/>
      <c r="C2946" s="227"/>
      <c r="D2946" s="344"/>
      <c r="E2946" s="235"/>
      <c r="F2946" s="235"/>
      <c r="G2946" s="227"/>
      <c r="H2946" s="227"/>
      <c r="I2946" s="350"/>
      <c r="J2946" s="227"/>
      <c r="K2946" s="227"/>
      <c r="L2946" s="224"/>
      <c r="M2946" s="224"/>
      <c r="N2946" s="224"/>
      <c r="O2946" s="224"/>
      <c r="P2946" s="224"/>
      <c r="Q2946" s="224"/>
      <c r="R2946" s="224"/>
      <c r="S2946" s="224"/>
      <c r="T2946" s="224"/>
      <c r="U2946" s="224"/>
      <c r="V2946" s="224"/>
    </row>
    <row r="2947" spans="1:22" x14ac:dyDescent="0.3">
      <c r="A2947" s="222"/>
      <c r="B2947" s="235"/>
      <c r="C2947" s="227"/>
      <c r="D2947" s="344"/>
      <c r="E2947" s="235"/>
      <c r="F2947" s="235"/>
      <c r="G2947" s="227"/>
      <c r="H2947" s="227"/>
      <c r="I2947" s="350"/>
      <c r="J2947" s="227"/>
      <c r="K2947" s="227"/>
      <c r="L2947" s="224"/>
      <c r="M2947" s="224"/>
      <c r="N2947" s="224"/>
      <c r="O2947" s="224"/>
      <c r="P2947" s="224"/>
      <c r="Q2947" s="224"/>
      <c r="R2947" s="224"/>
      <c r="S2947" s="224"/>
      <c r="T2947" s="224"/>
      <c r="U2947" s="224"/>
      <c r="V2947" s="224"/>
    </row>
    <row r="2948" spans="1:22" x14ac:dyDescent="0.3">
      <c r="A2948" s="222"/>
      <c r="B2948" s="235"/>
      <c r="C2948" s="227"/>
      <c r="D2948" s="344"/>
      <c r="E2948" s="235"/>
      <c r="F2948" s="235"/>
      <c r="G2948" s="227"/>
      <c r="H2948" s="227"/>
      <c r="I2948" s="350"/>
      <c r="J2948" s="227"/>
      <c r="K2948" s="227"/>
      <c r="L2948" s="224"/>
      <c r="M2948" s="224"/>
      <c r="N2948" s="224"/>
      <c r="O2948" s="224"/>
      <c r="P2948" s="224"/>
      <c r="Q2948" s="224"/>
      <c r="R2948" s="224"/>
      <c r="S2948" s="224"/>
      <c r="T2948" s="224"/>
      <c r="U2948" s="224"/>
      <c r="V2948" s="224"/>
    </row>
    <row r="2949" spans="1:22" x14ac:dyDescent="0.3">
      <c r="A2949" s="222"/>
      <c r="B2949" s="235"/>
      <c r="C2949" s="227"/>
      <c r="D2949" s="344"/>
      <c r="E2949" s="235"/>
      <c r="F2949" s="235"/>
      <c r="G2949" s="227"/>
      <c r="H2949" s="227"/>
      <c r="I2949" s="350"/>
      <c r="J2949" s="227"/>
      <c r="K2949" s="227"/>
      <c r="L2949" s="224"/>
      <c r="M2949" s="224"/>
      <c r="N2949" s="224"/>
      <c r="O2949" s="224"/>
      <c r="P2949" s="224"/>
      <c r="Q2949" s="224"/>
      <c r="R2949" s="224"/>
      <c r="S2949" s="224"/>
      <c r="T2949" s="224"/>
      <c r="U2949" s="224"/>
      <c r="V2949" s="224"/>
    </row>
    <row r="2950" spans="1:22" x14ac:dyDescent="0.3">
      <c r="A2950" s="222"/>
      <c r="B2950" s="235"/>
      <c r="C2950" s="227"/>
      <c r="D2950" s="344"/>
      <c r="E2950" s="235"/>
      <c r="F2950" s="235"/>
      <c r="G2950" s="227"/>
      <c r="H2950" s="227"/>
      <c r="I2950" s="350"/>
      <c r="J2950" s="227"/>
      <c r="K2950" s="227"/>
      <c r="L2950" s="224"/>
      <c r="M2950" s="224"/>
      <c r="N2950" s="224"/>
      <c r="O2950" s="224"/>
      <c r="P2950" s="224"/>
      <c r="Q2950" s="224"/>
      <c r="R2950" s="224"/>
      <c r="S2950" s="224"/>
      <c r="T2950" s="224"/>
      <c r="U2950" s="224"/>
      <c r="V2950" s="224"/>
    </row>
    <row r="2951" spans="1:22" x14ac:dyDescent="0.3">
      <c r="A2951" s="222"/>
      <c r="B2951" s="235"/>
      <c r="C2951" s="227"/>
      <c r="D2951" s="344"/>
      <c r="E2951" s="235"/>
      <c r="F2951" s="235"/>
      <c r="G2951" s="227"/>
      <c r="H2951" s="227"/>
      <c r="I2951" s="350"/>
      <c r="J2951" s="227"/>
      <c r="K2951" s="227"/>
      <c r="L2951" s="224"/>
      <c r="M2951" s="224"/>
      <c r="N2951" s="224"/>
      <c r="O2951" s="224"/>
      <c r="P2951" s="224"/>
      <c r="Q2951" s="224"/>
      <c r="R2951" s="224"/>
      <c r="S2951" s="224"/>
      <c r="T2951" s="224"/>
      <c r="U2951" s="224"/>
      <c r="V2951" s="224"/>
    </row>
    <row r="2952" spans="1:22" x14ac:dyDescent="0.3">
      <c r="A2952" s="222"/>
      <c r="B2952" s="235"/>
      <c r="C2952" s="227"/>
      <c r="D2952" s="344"/>
      <c r="E2952" s="235"/>
      <c r="F2952" s="235"/>
      <c r="G2952" s="227"/>
      <c r="H2952" s="227"/>
      <c r="I2952" s="350"/>
      <c r="J2952" s="227"/>
      <c r="K2952" s="227"/>
      <c r="L2952" s="224"/>
      <c r="M2952" s="224"/>
      <c r="N2952" s="224"/>
      <c r="O2952" s="224"/>
      <c r="P2952" s="224"/>
      <c r="Q2952" s="224"/>
      <c r="R2952" s="224"/>
      <c r="S2952" s="224"/>
      <c r="T2952" s="224"/>
      <c r="U2952" s="224"/>
      <c r="V2952" s="224"/>
    </row>
    <row r="2953" spans="1:22" x14ac:dyDescent="0.3">
      <c r="A2953" s="222"/>
      <c r="B2953" s="235"/>
      <c r="C2953" s="227"/>
      <c r="D2953" s="344"/>
      <c r="E2953" s="235"/>
      <c r="F2953" s="235"/>
      <c r="G2953" s="227"/>
      <c r="H2953" s="227"/>
      <c r="I2953" s="350"/>
      <c r="J2953" s="227"/>
      <c r="K2953" s="227"/>
      <c r="L2953" s="224"/>
      <c r="M2953" s="224"/>
      <c r="N2953" s="224"/>
      <c r="O2953" s="224"/>
      <c r="P2953" s="224"/>
      <c r="Q2953" s="224"/>
      <c r="R2953" s="224"/>
      <c r="S2953" s="224"/>
      <c r="T2953" s="224"/>
      <c r="U2953" s="224"/>
      <c r="V2953" s="224"/>
    </row>
    <row r="2954" spans="1:22" x14ac:dyDescent="0.3">
      <c r="A2954" s="222"/>
      <c r="B2954" s="235"/>
      <c r="C2954" s="227"/>
      <c r="D2954" s="344"/>
      <c r="E2954" s="235"/>
      <c r="F2954" s="235"/>
      <c r="G2954" s="227"/>
      <c r="H2954" s="227"/>
      <c r="I2954" s="350"/>
      <c r="J2954" s="227"/>
      <c r="K2954" s="227"/>
      <c r="L2954" s="224"/>
      <c r="M2954" s="224"/>
      <c r="N2954" s="224"/>
      <c r="O2954" s="224"/>
      <c r="P2954" s="224"/>
      <c r="Q2954" s="224"/>
      <c r="R2954" s="224"/>
      <c r="S2954" s="224"/>
      <c r="T2954" s="224"/>
      <c r="U2954" s="224"/>
      <c r="V2954" s="224"/>
    </row>
    <row r="2955" spans="1:22" x14ac:dyDescent="0.3">
      <c r="A2955" s="222"/>
      <c r="B2955" s="235"/>
      <c r="C2955" s="227"/>
      <c r="D2955" s="344"/>
      <c r="E2955" s="235"/>
      <c r="F2955" s="235"/>
      <c r="G2955" s="227"/>
      <c r="H2955" s="227"/>
      <c r="I2955" s="350"/>
      <c r="J2955" s="227"/>
      <c r="K2955" s="227"/>
      <c r="L2955" s="224"/>
      <c r="M2955" s="224"/>
      <c r="N2955" s="224"/>
      <c r="O2955" s="224"/>
      <c r="P2955" s="224"/>
      <c r="Q2955" s="224"/>
      <c r="R2955" s="224"/>
      <c r="S2955" s="224"/>
      <c r="T2955" s="224"/>
      <c r="U2955" s="224"/>
      <c r="V2955" s="224"/>
    </row>
    <row r="2956" spans="1:22" x14ac:dyDescent="0.3">
      <c r="A2956" s="222"/>
      <c r="B2956" s="235"/>
      <c r="C2956" s="227"/>
      <c r="D2956" s="344"/>
      <c r="E2956" s="235"/>
      <c r="F2956" s="235"/>
      <c r="G2956" s="227"/>
      <c r="H2956" s="227"/>
      <c r="I2956" s="350"/>
      <c r="J2956" s="227"/>
      <c r="K2956" s="227"/>
      <c r="L2956" s="224"/>
      <c r="M2956" s="224"/>
      <c r="N2956" s="224"/>
      <c r="O2956" s="224"/>
      <c r="P2956" s="224"/>
      <c r="Q2956" s="224"/>
      <c r="R2956" s="224"/>
      <c r="S2956" s="224"/>
      <c r="T2956" s="224"/>
      <c r="U2956" s="224"/>
      <c r="V2956" s="224"/>
    </row>
    <row r="2957" spans="1:22" x14ac:dyDescent="0.3">
      <c r="A2957" s="222"/>
      <c r="B2957" s="235"/>
      <c r="C2957" s="227"/>
      <c r="D2957" s="344"/>
      <c r="E2957" s="235"/>
      <c r="F2957" s="235"/>
      <c r="G2957" s="227"/>
      <c r="H2957" s="227"/>
      <c r="I2957" s="350"/>
      <c r="J2957" s="227"/>
      <c r="K2957" s="227"/>
      <c r="L2957" s="224"/>
      <c r="M2957" s="224"/>
      <c r="N2957" s="224"/>
      <c r="O2957" s="224"/>
      <c r="P2957" s="224"/>
      <c r="Q2957" s="224"/>
      <c r="R2957" s="224"/>
      <c r="S2957" s="224"/>
      <c r="T2957" s="224"/>
      <c r="U2957" s="224"/>
      <c r="V2957" s="224"/>
    </row>
    <row r="2958" spans="1:22" x14ac:dyDescent="0.3">
      <c r="A2958" s="222"/>
      <c r="B2958" s="235"/>
      <c r="C2958" s="227"/>
      <c r="D2958" s="344"/>
      <c r="E2958" s="235"/>
      <c r="F2958" s="235"/>
      <c r="G2958" s="227"/>
      <c r="H2958" s="227"/>
      <c r="I2958" s="350"/>
      <c r="J2958" s="227"/>
      <c r="K2958" s="227"/>
      <c r="L2958" s="224"/>
      <c r="M2958" s="224"/>
      <c r="N2958" s="224"/>
      <c r="O2958" s="224"/>
      <c r="P2958" s="224"/>
      <c r="Q2958" s="224"/>
      <c r="R2958" s="224"/>
      <c r="S2958" s="224"/>
      <c r="T2958" s="224"/>
      <c r="U2958" s="224"/>
      <c r="V2958" s="224"/>
    </row>
    <row r="2959" spans="1:22" x14ac:dyDescent="0.3">
      <c r="A2959" s="222"/>
      <c r="B2959" s="235"/>
      <c r="C2959" s="227"/>
      <c r="D2959" s="344"/>
      <c r="E2959" s="235"/>
      <c r="F2959" s="235"/>
      <c r="G2959" s="227"/>
      <c r="H2959" s="227"/>
      <c r="I2959" s="350"/>
      <c r="J2959" s="227"/>
      <c r="K2959" s="227"/>
      <c r="L2959" s="224"/>
      <c r="M2959" s="224"/>
      <c r="N2959" s="224"/>
      <c r="O2959" s="224"/>
      <c r="P2959" s="224"/>
      <c r="Q2959" s="224"/>
      <c r="R2959" s="224"/>
      <c r="S2959" s="224"/>
      <c r="T2959" s="224"/>
      <c r="U2959" s="224"/>
      <c r="V2959" s="224"/>
    </row>
    <row r="2960" spans="1:22" x14ac:dyDescent="0.3">
      <c r="A2960" s="222"/>
      <c r="B2960" s="235"/>
      <c r="C2960" s="227"/>
      <c r="D2960" s="344"/>
      <c r="E2960" s="235"/>
      <c r="F2960" s="235"/>
      <c r="G2960" s="227"/>
      <c r="H2960" s="227"/>
      <c r="I2960" s="350"/>
      <c r="J2960" s="227"/>
      <c r="K2960" s="227"/>
      <c r="L2960" s="224"/>
      <c r="M2960" s="224"/>
      <c r="N2960" s="224"/>
      <c r="O2960" s="224"/>
      <c r="P2960" s="224"/>
      <c r="Q2960" s="224"/>
      <c r="R2960" s="224"/>
      <c r="S2960" s="224"/>
      <c r="T2960" s="224"/>
      <c r="U2960" s="224"/>
      <c r="V2960" s="224"/>
    </row>
    <row r="2961" spans="1:22" x14ac:dyDescent="0.3">
      <c r="A2961" s="222"/>
      <c r="B2961" s="235"/>
      <c r="C2961" s="227"/>
      <c r="D2961" s="344"/>
      <c r="E2961" s="235"/>
      <c r="F2961" s="235"/>
      <c r="G2961" s="227"/>
      <c r="H2961" s="227"/>
      <c r="I2961" s="350"/>
      <c r="J2961" s="227"/>
      <c r="K2961" s="227"/>
      <c r="L2961" s="224"/>
      <c r="M2961" s="224"/>
      <c r="N2961" s="224"/>
      <c r="O2961" s="224"/>
      <c r="P2961" s="224"/>
      <c r="Q2961" s="224"/>
      <c r="R2961" s="224"/>
      <c r="S2961" s="224"/>
      <c r="T2961" s="224"/>
      <c r="U2961" s="224"/>
      <c r="V2961" s="224"/>
    </row>
    <row r="2962" spans="1:22" x14ac:dyDescent="0.3">
      <c r="A2962" s="222"/>
      <c r="B2962" s="235"/>
      <c r="C2962" s="227"/>
      <c r="D2962" s="344"/>
      <c r="E2962" s="235"/>
      <c r="F2962" s="235"/>
      <c r="G2962" s="227"/>
      <c r="H2962" s="227"/>
      <c r="I2962" s="350"/>
      <c r="J2962" s="227"/>
      <c r="K2962" s="227"/>
      <c r="L2962" s="224"/>
      <c r="M2962" s="224"/>
      <c r="N2962" s="224"/>
      <c r="O2962" s="224"/>
      <c r="P2962" s="224"/>
      <c r="Q2962" s="224"/>
      <c r="R2962" s="224"/>
      <c r="S2962" s="224"/>
      <c r="T2962" s="224"/>
      <c r="U2962" s="224"/>
      <c r="V2962" s="224"/>
    </row>
    <row r="2963" spans="1:22" x14ac:dyDescent="0.3">
      <c r="A2963" s="222"/>
      <c r="B2963" s="235"/>
      <c r="C2963" s="227"/>
      <c r="D2963" s="344"/>
      <c r="E2963" s="235"/>
      <c r="F2963" s="235"/>
      <c r="G2963" s="227"/>
      <c r="H2963" s="227"/>
      <c r="I2963" s="350"/>
      <c r="J2963" s="227"/>
      <c r="K2963" s="227"/>
      <c r="L2963" s="224"/>
      <c r="M2963" s="224"/>
      <c r="N2963" s="224"/>
      <c r="O2963" s="224"/>
      <c r="P2963" s="224"/>
      <c r="Q2963" s="224"/>
      <c r="R2963" s="224"/>
      <c r="S2963" s="224"/>
      <c r="T2963" s="224"/>
      <c r="U2963" s="224"/>
      <c r="V2963" s="224"/>
    </row>
    <row r="2964" spans="1:22" x14ac:dyDescent="0.3">
      <c r="A2964" s="222"/>
      <c r="B2964" s="235"/>
      <c r="C2964" s="227"/>
      <c r="D2964" s="344"/>
      <c r="E2964" s="235"/>
      <c r="F2964" s="235"/>
      <c r="G2964" s="227"/>
      <c r="H2964" s="227"/>
      <c r="I2964" s="350"/>
      <c r="J2964" s="227"/>
      <c r="K2964" s="227"/>
      <c r="L2964" s="224"/>
      <c r="M2964" s="224"/>
      <c r="N2964" s="224"/>
      <c r="O2964" s="224"/>
      <c r="P2964" s="224"/>
      <c r="Q2964" s="224"/>
      <c r="R2964" s="224"/>
      <c r="S2964" s="224"/>
      <c r="T2964" s="224"/>
      <c r="U2964" s="224"/>
      <c r="V2964" s="224"/>
    </row>
    <row r="2965" spans="1:22" x14ac:dyDescent="0.3">
      <c r="A2965" s="222"/>
      <c r="B2965" s="235"/>
      <c r="C2965" s="227"/>
      <c r="D2965" s="344"/>
      <c r="E2965" s="235"/>
      <c r="F2965" s="235"/>
      <c r="G2965" s="227"/>
      <c r="H2965" s="227"/>
      <c r="I2965" s="350"/>
      <c r="J2965" s="227"/>
      <c r="K2965" s="227"/>
      <c r="L2965" s="224"/>
      <c r="M2965" s="224"/>
      <c r="N2965" s="224"/>
      <c r="O2965" s="224"/>
      <c r="P2965" s="224"/>
      <c r="Q2965" s="224"/>
      <c r="R2965" s="224"/>
      <c r="S2965" s="224"/>
      <c r="T2965" s="224"/>
      <c r="U2965" s="224"/>
      <c r="V2965" s="224"/>
    </row>
    <row r="2966" spans="1:22" x14ac:dyDescent="0.3">
      <c r="A2966" s="222"/>
      <c r="B2966" s="235"/>
      <c r="C2966" s="227"/>
      <c r="D2966" s="344"/>
      <c r="E2966" s="235"/>
      <c r="F2966" s="235"/>
      <c r="G2966" s="227"/>
      <c r="H2966" s="227"/>
      <c r="I2966" s="350"/>
      <c r="J2966" s="227"/>
      <c r="K2966" s="227"/>
      <c r="L2966" s="224"/>
      <c r="M2966" s="224"/>
      <c r="N2966" s="224"/>
      <c r="O2966" s="224"/>
      <c r="P2966" s="224"/>
      <c r="Q2966" s="224"/>
      <c r="R2966" s="224"/>
      <c r="S2966" s="224"/>
      <c r="T2966" s="224"/>
      <c r="U2966" s="224"/>
      <c r="V2966" s="224"/>
    </row>
    <row r="2967" spans="1:22" x14ac:dyDescent="0.3">
      <c r="A2967" s="222"/>
      <c r="B2967" s="235"/>
      <c r="C2967" s="227"/>
      <c r="D2967" s="344"/>
      <c r="E2967" s="235"/>
      <c r="F2967" s="235"/>
      <c r="G2967" s="227"/>
      <c r="H2967" s="227"/>
      <c r="I2967" s="350"/>
      <c r="J2967" s="227"/>
      <c r="K2967" s="227"/>
      <c r="L2967" s="224"/>
      <c r="M2967" s="224"/>
      <c r="N2967" s="224"/>
      <c r="O2967" s="224"/>
      <c r="P2967" s="224"/>
      <c r="Q2967" s="224"/>
      <c r="R2967" s="224"/>
      <c r="S2967" s="224"/>
      <c r="T2967" s="224"/>
      <c r="U2967" s="224"/>
      <c r="V2967" s="224"/>
    </row>
    <row r="2968" spans="1:22" x14ac:dyDescent="0.3">
      <c r="A2968" s="222"/>
      <c r="B2968" s="235"/>
      <c r="C2968" s="227"/>
      <c r="D2968" s="344"/>
      <c r="E2968" s="235"/>
      <c r="F2968" s="235"/>
      <c r="G2968" s="227"/>
      <c r="H2968" s="227"/>
      <c r="I2968" s="350"/>
      <c r="J2968" s="227"/>
      <c r="K2968" s="227"/>
      <c r="L2968" s="224"/>
      <c r="M2968" s="224"/>
      <c r="N2968" s="224"/>
      <c r="O2968" s="224"/>
      <c r="P2968" s="224"/>
      <c r="Q2968" s="224"/>
      <c r="R2968" s="224"/>
      <c r="S2968" s="224"/>
      <c r="T2968" s="224"/>
      <c r="U2968" s="224"/>
      <c r="V2968" s="224"/>
    </row>
    <row r="2969" spans="1:22" x14ac:dyDescent="0.3">
      <c r="A2969" s="222"/>
      <c r="B2969" s="235"/>
      <c r="C2969" s="227"/>
      <c r="D2969" s="344"/>
      <c r="E2969" s="235"/>
      <c r="F2969" s="235"/>
      <c r="G2969" s="227"/>
      <c r="H2969" s="227"/>
      <c r="I2969" s="350"/>
      <c r="J2969" s="227"/>
      <c r="K2969" s="227"/>
      <c r="L2969" s="224"/>
      <c r="M2969" s="224"/>
      <c r="N2969" s="224"/>
      <c r="O2969" s="224"/>
      <c r="P2969" s="224"/>
      <c r="Q2969" s="224"/>
      <c r="R2969" s="224"/>
      <c r="S2969" s="224"/>
      <c r="T2969" s="224"/>
      <c r="U2969" s="224"/>
      <c r="V2969" s="224"/>
    </row>
    <row r="2970" spans="1:22" x14ac:dyDescent="0.3">
      <c r="A2970" s="222"/>
      <c r="B2970" s="235"/>
      <c r="C2970" s="227"/>
      <c r="D2970" s="344"/>
      <c r="E2970" s="235"/>
      <c r="F2970" s="235"/>
      <c r="G2970" s="227"/>
      <c r="H2970" s="227"/>
      <c r="I2970" s="350"/>
      <c r="J2970" s="227"/>
      <c r="K2970" s="227"/>
      <c r="L2970" s="224"/>
      <c r="M2970" s="224"/>
      <c r="N2970" s="224"/>
      <c r="O2970" s="224"/>
      <c r="P2970" s="224"/>
      <c r="Q2970" s="224"/>
      <c r="R2970" s="224"/>
      <c r="S2970" s="224"/>
      <c r="T2970" s="224"/>
      <c r="U2970" s="224"/>
      <c r="V2970" s="224"/>
    </row>
    <row r="2971" spans="1:22" x14ac:dyDescent="0.3">
      <c r="A2971" s="222"/>
      <c r="B2971" s="235"/>
      <c r="C2971" s="227"/>
      <c r="D2971" s="344"/>
      <c r="E2971" s="235"/>
      <c r="F2971" s="235"/>
      <c r="G2971" s="227"/>
      <c r="H2971" s="227"/>
      <c r="I2971" s="350"/>
      <c r="J2971" s="227"/>
      <c r="K2971" s="227"/>
      <c r="L2971" s="224"/>
      <c r="M2971" s="224"/>
      <c r="N2971" s="224"/>
      <c r="O2971" s="224"/>
      <c r="P2971" s="224"/>
      <c r="Q2971" s="224"/>
      <c r="R2971" s="224"/>
      <c r="S2971" s="224"/>
      <c r="T2971" s="224"/>
      <c r="U2971" s="224"/>
      <c r="V2971" s="224"/>
    </row>
    <row r="2972" spans="1:22" x14ac:dyDescent="0.3">
      <c r="A2972" s="222"/>
      <c r="B2972" s="235"/>
      <c r="C2972" s="227"/>
      <c r="D2972" s="344"/>
      <c r="E2972" s="235"/>
      <c r="F2972" s="235"/>
      <c r="G2972" s="227"/>
      <c r="H2972" s="227"/>
      <c r="I2972" s="350"/>
      <c r="J2972" s="227"/>
      <c r="K2972" s="227"/>
      <c r="L2972" s="224"/>
      <c r="M2972" s="224"/>
      <c r="N2972" s="224"/>
      <c r="O2972" s="224"/>
      <c r="P2972" s="224"/>
      <c r="Q2972" s="224"/>
      <c r="R2972" s="224"/>
      <c r="S2972" s="224"/>
      <c r="T2972" s="224"/>
      <c r="U2972" s="224"/>
      <c r="V2972" s="224"/>
    </row>
    <row r="2973" spans="1:22" x14ac:dyDescent="0.3">
      <c r="A2973" s="222"/>
      <c r="B2973" s="235"/>
      <c r="C2973" s="227"/>
      <c r="D2973" s="344"/>
      <c r="E2973" s="235"/>
      <c r="F2973" s="235"/>
      <c r="G2973" s="227"/>
      <c r="H2973" s="227"/>
      <c r="I2973" s="350"/>
      <c r="J2973" s="227"/>
      <c r="K2973" s="227"/>
      <c r="L2973" s="224"/>
      <c r="M2973" s="224" t="s">
        <v>11</v>
      </c>
      <c r="N2973" s="224"/>
      <c r="O2973" s="224"/>
      <c r="P2973" s="224"/>
      <c r="Q2973" s="224"/>
      <c r="R2973" s="224"/>
      <c r="S2973" s="224"/>
      <c r="T2973" s="224"/>
      <c r="U2973" s="224"/>
      <c r="V2973" s="224"/>
    </row>
    <row r="2974" spans="1:22" x14ac:dyDescent="0.3">
      <c r="A2974" s="222"/>
      <c r="B2974" s="235"/>
      <c r="C2974" s="227"/>
      <c r="D2974" s="344"/>
      <c r="E2974" s="235"/>
      <c r="F2974" s="235"/>
      <c r="G2974" s="227"/>
      <c r="H2974" s="227"/>
      <c r="I2974" s="350"/>
      <c r="J2974" s="227"/>
      <c r="K2974" s="227"/>
      <c r="L2974" s="224"/>
      <c r="M2974" s="224"/>
      <c r="N2974" s="224"/>
      <c r="O2974" s="224"/>
      <c r="P2974" s="224"/>
      <c r="Q2974" s="224"/>
      <c r="R2974" s="224"/>
      <c r="S2974" s="224"/>
      <c r="T2974" s="224"/>
      <c r="U2974" s="224"/>
      <c r="V2974" s="224"/>
    </row>
    <row r="2975" spans="1:22" x14ac:dyDescent="0.3">
      <c r="A2975" s="222"/>
      <c r="B2975" s="235"/>
      <c r="C2975" s="227"/>
      <c r="D2975" s="344"/>
      <c r="E2975" s="235"/>
      <c r="F2975" s="235"/>
      <c r="G2975" s="227"/>
      <c r="H2975" s="227"/>
      <c r="I2975" s="350"/>
      <c r="J2975" s="227"/>
      <c r="K2975" s="227"/>
      <c r="L2975" s="224"/>
      <c r="M2975" s="224"/>
      <c r="N2975" s="224"/>
      <c r="O2975" s="224"/>
      <c r="P2975" s="224"/>
      <c r="Q2975" s="224"/>
      <c r="R2975" s="224"/>
      <c r="S2975" s="224"/>
      <c r="T2975" s="224"/>
      <c r="U2975" s="224"/>
      <c r="V2975" s="224"/>
    </row>
    <row r="2976" spans="1:22" x14ac:dyDescent="0.3">
      <c r="A2976" s="222"/>
      <c r="B2976" s="235"/>
      <c r="C2976" s="227"/>
      <c r="D2976" s="344"/>
      <c r="E2976" s="235"/>
      <c r="F2976" s="235"/>
      <c r="G2976" s="227"/>
      <c r="H2976" s="227"/>
      <c r="I2976" s="350"/>
      <c r="J2976" s="227"/>
      <c r="K2976" s="227"/>
      <c r="L2976" s="224"/>
      <c r="M2976" s="224"/>
      <c r="N2976" s="224"/>
      <c r="O2976" s="224"/>
      <c r="P2976" s="224"/>
      <c r="Q2976" s="224"/>
      <c r="R2976" s="224"/>
      <c r="S2976" s="224"/>
      <c r="T2976" s="224"/>
      <c r="U2976" s="224"/>
      <c r="V2976" s="224"/>
    </row>
    <row r="2977" spans="1:22" x14ac:dyDescent="0.3">
      <c r="A2977" s="222"/>
      <c r="B2977" s="235"/>
      <c r="C2977" s="227"/>
      <c r="D2977" s="344"/>
      <c r="E2977" s="235"/>
      <c r="F2977" s="235"/>
      <c r="G2977" s="227"/>
      <c r="H2977" s="227"/>
      <c r="I2977" s="350"/>
      <c r="J2977" s="227"/>
      <c r="K2977" s="227"/>
      <c r="L2977" s="224"/>
      <c r="M2977" s="224"/>
      <c r="N2977" s="224"/>
      <c r="O2977" s="224"/>
      <c r="P2977" s="224"/>
      <c r="Q2977" s="224"/>
      <c r="R2977" s="224"/>
      <c r="S2977" s="224"/>
      <c r="T2977" s="224"/>
      <c r="U2977" s="224"/>
      <c r="V2977" s="224"/>
    </row>
    <row r="2978" spans="1:22" x14ac:dyDescent="0.3">
      <c r="A2978" s="222"/>
      <c r="B2978" s="235"/>
      <c r="C2978" s="227"/>
      <c r="D2978" s="344"/>
      <c r="E2978" s="235"/>
      <c r="F2978" s="235"/>
      <c r="G2978" s="227"/>
      <c r="H2978" s="227"/>
      <c r="I2978" s="350"/>
      <c r="J2978" s="227"/>
      <c r="K2978" s="227"/>
      <c r="L2978" s="224"/>
      <c r="M2978" s="224"/>
      <c r="N2978" s="224"/>
      <c r="O2978" s="224"/>
      <c r="P2978" s="224"/>
      <c r="Q2978" s="224"/>
      <c r="R2978" s="224"/>
      <c r="S2978" s="224"/>
      <c r="T2978" s="224"/>
      <c r="U2978" s="224"/>
      <c r="V2978" s="224"/>
    </row>
    <row r="2979" spans="1:22" x14ac:dyDescent="0.3">
      <c r="A2979" s="222"/>
      <c r="B2979" s="235"/>
      <c r="C2979" s="227"/>
      <c r="D2979" s="344"/>
      <c r="E2979" s="235"/>
      <c r="F2979" s="235"/>
      <c r="G2979" s="227"/>
      <c r="H2979" s="227"/>
      <c r="I2979" s="350"/>
      <c r="J2979" s="227"/>
      <c r="K2979" s="227"/>
      <c r="L2979" s="224"/>
      <c r="M2979" s="224"/>
      <c r="N2979" s="224"/>
      <c r="O2979" s="224"/>
      <c r="P2979" s="224"/>
      <c r="Q2979" s="224"/>
      <c r="R2979" s="224"/>
      <c r="S2979" s="224"/>
      <c r="T2979" s="224"/>
      <c r="U2979" s="224"/>
      <c r="V2979" s="224"/>
    </row>
    <row r="2980" spans="1:22" x14ac:dyDescent="0.3">
      <c r="A2980" s="222"/>
      <c r="B2980" s="235"/>
      <c r="C2980" s="227"/>
      <c r="D2980" s="344"/>
      <c r="E2980" s="235"/>
      <c r="F2980" s="235"/>
      <c r="G2980" s="227"/>
      <c r="H2980" s="227"/>
      <c r="I2980" s="350"/>
      <c r="J2980" s="227"/>
      <c r="K2980" s="227"/>
      <c r="L2980" s="224"/>
      <c r="M2980" s="224"/>
      <c r="N2980" s="224"/>
      <c r="O2980" s="224"/>
      <c r="P2980" s="224"/>
      <c r="Q2980" s="224"/>
      <c r="R2980" s="224"/>
      <c r="S2980" s="224"/>
      <c r="T2980" s="224"/>
      <c r="U2980" s="224"/>
      <c r="V2980" s="224"/>
    </row>
    <row r="2981" spans="1:22" x14ac:dyDescent="0.3">
      <c r="A2981" s="222"/>
      <c r="B2981" s="235"/>
      <c r="C2981" s="227"/>
      <c r="D2981" s="344"/>
      <c r="E2981" s="235"/>
      <c r="F2981" s="235"/>
      <c r="G2981" s="227"/>
      <c r="H2981" s="227"/>
      <c r="I2981" s="350"/>
      <c r="J2981" s="227"/>
      <c r="K2981" s="227"/>
      <c r="L2981" s="224"/>
      <c r="M2981" s="224"/>
      <c r="N2981" s="224"/>
      <c r="O2981" s="224"/>
      <c r="P2981" s="224"/>
      <c r="Q2981" s="224"/>
      <c r="R2981" s="224"/>
      <c r="S2981" s="224"/>
      <c r="T2981" s="224"/>
      <c r="U2981" s="224"/>
      <c r="V2981" s="224"/>
    </row>
    <row r="2982" spans="1:22" x14ac:dyDescent="0.3">
      <c r="A2982" s="222"/>
      <c r="B2982" s="235"/>
      <c r="C2982" s="227"/>
      <c r="D2982" s="344"/>
      <c r="E2982" s="235"/>
      <c r="F2982" s="235"/>
      <c r="G2982" s="227"/>
      <c r="H2982" s="227"/>
      <c r="I2982" s="350"/>
      <c r="J2982" s="227"/>
      <c r="K2982" s="227"/>
      <c r="L2982" s="224"/>
      <c r="M2982" s="224"/>
      <c r="N2982" s="224"/>
      <c r="O2982" s="224"/>
      <c r="P2982" s="224"/>
      <c r="Q2982" s="224"/>
      <c r="R2982" s="224"/>
      <c r="S2982" s="224"/>
      <c r="T2982" s="224"/>
      <c r="U2982" s="224"/>
      <c r="V2982" s="224"/>
    </row>
    <row r="2983" spans="1:22" x14ac:dyDescent="0.3">
      <c r="A2983" s="222"/>
      <c r="B2983" s="235"/>
      <c r="C2983" s="227"/>
      <c r="D2983" s="344"/>
      <c r="E2983" s="235"/>
      <c r="F2983" s="235"/>
      <c r="G2983" s="227"/>
      <c r="H2983" s="227"/>
      <c r="I2983" s="350"/>
      <c r="J2983" s="227"/>
      <c r="K2983" s="227"/>
      <c r="L2983" s="224"/>
      <c r="M2983" s="224"/>
      <c r="N2983" s="224"/>
      <c r="O2983" s="224"/>
      <c r="P2983" s="224"/>
      <c r="Q2983" s="224"/>
      <c r="R2983" s="224"/>
      <c r="S2983" s="224"/>
      <c r="T2983" s="224"/>
      <c r="U2983" s="224"/>
      <c r="V2983" s="224"/>
    </row>
    <row r="2984" spans="1:22" x14ac:dyDescent="0.3">
      <c r="A2984" s="222"/>
      <c r="B2984" s="235"/>
      <c r="C2984" s="227"/>
      <c r="D2984" s="344"/>
      <c r="E2984" s="235"/>
      <c r="F2984" s="235"/>
      <c r="G2984" s="227"/>
      <c r="H2984" s="227"/>
      <c r="I2984" s="350"/>
      <c r="J2984" s="227"/>
      <c r="K2984" s="227"/>
      <c r="L2984" s="224"/>
      <c r="M2984" s="224"/>
      <c r="N2984" s="224"/>
      <c r="O2984" s="224"/>
      <c r="P2984" s="224"/>
      <c r="Q2984" s="224"/>
      <c r="R2984" s="224"/>
      <c r="S2984" s="224"/>
      <c r="T2984" s="224"/>
      <c r="U2984" s="224"/>
      <c r="V2984" s="224"/>
    </row>
    <row r="2985" spans="1:22" x14ac:dyDescent="0.3">
      <c r="A2985" s="222"/>
      <c r="B2985" s="235"/>
      <c r="C2985" s="227"/>
      <c r="D2985" s="344"/>
      <c r="E2985" s="235"/>
      <c r="F2985" s="235"/>
      <c r="G2985" s="227"/>
      <c r="H2985" s="227"/>
      <c r="I2985" s="350"/>
      <c r="J2985" s="227"/>
      <c r="K2985" s="227"/>
      <c r="L2985" s="224"/>
      <c r="M2985" s="224"/>
      <c r="N2985" s="224"/>
      <c r="O2985" s="224"/>
      <c r="P2985" s="224"/>
      <c r="Q2985" s="224"/>
      <c r="R2985" s="224"/>
      <c r="S2985" s="224"/>
      <c r="T2985" s="224"/>
      <c r="U2985" s="224"/>
      <c r="V2985" s="224"/>
    </row>
    <row r="2986" spans="1:22" x14ac:dyDescent="0.3">
      <c r="A2986" s="222"/>
      <c r="B2986" s="235"/>
      <c r="C2986" s="227"/>
      <c r="D2986" s="344"/>
      <c r="E2986" s="235"/>
      <c r="F2986" s="235"/>
      <c r="G2986" s="227"/>
      <c r="H2986" s="227"/>
      <c r="I2986" s="350"/>
      <c r="J2986" s="227"/>
      <c r="K2986" s="227"/>
      <c r="L2986" s="224"/>
      <c r="M2986" s="224"/>
      <c r="N2986" s="224"/>
      <c r="O2986" s="224"/>
      <c r="P2986" s="224"/>
      <c r="Q2986" s="224"/>
      <c r="R2986" s="224"/>
      <c r="S2986" s="224"/>
      <c r="T2986" s="224"/>
      <c r="U2986" s="224"/>
      <c r="V2986" s="224"/>
    </row>
    <row r="2987" spans="1:22" x14ac:dyDescent="0.3">
      <c r="A2987" s="222"/>
      <c r="B2987" s="235"/>
      <c r="C2987" s="227"/>
      <c r="D2987" s="344"/>
      <c r="E2987" s="235"/>
      <c r="F2987" s="235"/>
      <c r="G2987" s="227"/>
      <c r="H2987" s="227"/>
      <c r="I2987" s="350"/>
      <c r="J2987" s="227"/>
      <c r="K2987" s="227"/>
      <c r="L2987" s="224"/>
      <c r="M2987" s="224"/>
      <c r="N2987" s="224"/>
      <c r="O2987" s="224"/>
      <c r="P2987" s="224"/>
      <c r="Q2987" s="224"/>
      <c r="R2987" s="224"/>
      <c r="S2987" s="224"/>
      <c r="T2987" s="224"/>
      <c r="U2987" s="224"/>
      <c r="V2987" s="224"/>
    </row>
    <row r="2988" spans="1:22" x14ac:dyDescent="0.3">
      <c r="A2988" s="222"/>
      <c r="B2988" s="235"/>
      <c r="C2988" s="227"/>
      <c r="D2988" s="344"/>
      <c r="E2988" s="235"/>
      <c r="F2988" s="235"/>
      <c r="G2988" s="227"/>
      <c r="H2988" s="227"/>
      <c r="I2988" s="350"/>
      <c r="J2988" s="227"/>
      <c r="K2988" s="227"/>
      <c r="L2988" s="224"/>
      <c r="M2988" s="224"/>
      <c r="N2988" s="224"/>
      <c r="O2988" s="224"/>
      <c r="P2988" s="224"/>
      <c r="Q2988" s="224"/>
      <c r="R2988" s="224"/>
      <c r="S2988" s="224"/>
      <c r="T2988" s="224"/>
      <c r="U2988" s="224"/>
      <c r="V2988" s="224"/>
    </row>
    <row r="2989" spans="1:22" x14ac:dyDescent="0.3">
      <c r="A2989" s="222"/>
      <c r="B2989" s="235"/>
      <c r="C2989" s="227"/>
      <c r="D2989" s="344"/>
      <c r="E2989" s="235"/>
      <c r="F2989" s="235"/>
      <c r="G2989" s="227"/>
      <c r="H2989" s="227"/>
      <c r="I2989" s="350"/>
      <c r="J2989" s="227"/>
      <c r="K2989" s="227"/>
      <c r="L2989" s="224"/>
      <c r="M2989" s="224"/>
      <c r="N2989" s="224"/>
      <c r="O2989" s="224"/>
      <c r="P2989" s="224"/>
      <c r="Q2989" s="224"/>
      <c r="R2989" s="224"/>
      <c r="S2989" s="224"/>
      <c r="T2989" s="224"/>
      <c r="U2989" s="224"/>
      <c r="V2989" s="224"/>
    </row>
    <row r="2990" spans="1:22" x14ac:dyDescent="0.3">
      <c r="A2990" s="222"/>
      <c r="B2990" s="235"/>
      <c r="C2990" s="227"/>
      <c r="D2990" s="344"/>
      <c r="E2990" s="235"/>
      <c r="F2990" s="235"/>
      <c r="G2990" s="227"/>
      <c r="H2990" s="227"/>
      <c r="I2990" s="350"/>
      <c r="J2990" s="227"/>
      <c r="K2990" s="227"/>
      <c r="L2990" s="224"/>
      <c r="M2990" s="224"/>
      <c r="N2990" s="224"/>
      <c r="O2990" s="224"/>
      <c r="P2990" s="224"/>
      <c r="Q2990" s="224"/>
      <c r="R2990" s="224"/>
      <c r="S2990" s="224"/>
      <c r="T2990" s="224"/>
      <c r="U2990" s="224"/>
      <c r="V2990" s="224"/>
    </row>
    <row r="2991" spans="1:22" x14ac:dyDescent="0.3">
      <c r="A2991" s="222"/>
      <c r="B2991" s="235"/>
      <c r="C2991" s="227"/>
      <c r="D2991" s="344"/>
      <c r="E2991" s="235"/>
      <c r="F2991" s="235"/>
      <c r="G2991" s="227"/>
      <c r="H2991" s="227"/>
      <c r="I2991" s="350"/>
      <c r="J2991" s="227"/>
      <c r="K2991" s="227"/>
      <c r="L2991" s="224"/>
      <c r="M2991" s="224"/>
      <c r="N2991" s="224"/>
      <c r="O2991" s="224"/>
      <c r="P2991" s="224"/>
      <c r="Q2991" s="224"/>
      <c r="R2991" s="224"/>
      <c r="S2991" s="224"/>
      <c r="T2991" s="224"/>
      <c r="U2991" s="224"/>
      <c r="V2991" s="224"/>
    </row>
    <row r="2992" spans="1:22" x14ac:dyDescent="0.3">
      <c r="A2992" s="222"/>
      <c r="B2992" s="235"/>
      <c r="C2992" s="227"/>
      <c r="D2992" s="344"/>
      <c r="E2992" s="235"/>
      <c r="F2992" s="235"/>
      <c r="G2992" s="227"/>
      <c r="H2992" s="227"/>
      <c r="I2992" s="350"/>
      <c r="J2992" s="227"/>
      <c r="K2992" s="227"/>
      <c r="L2992" s="224"/>
      <c r="M2992" s="224"/>
      <c r="N2992" s="224"/>
      <c r="O2992" s="224"/>
      <c r="P2992" s="224"/>
      <c r="Q2992" s="224"/>
      <c r="R2992" s="224"/>
      <c r="S2992" s="224"/>
      <c r="T2992" s="224"/>
      <c r="U2992" s="224"/>
      <c r="V2992" s="224"/>
    </row>
    <row r="2993" spans="1:22" x14ac:dyDescent="0.3">
      <c r="A2993" s="222"/>
      <c r="B2993" s="235"/>
      <c r="C2993" s="227"/>
      <c r="D2993" s="344"/>
      <c r="E2993" s="235"/>
      <c r="F2993" s="235"/>
      <c r="G2993" s="227"/>
      <c r="H2993" s="227"/>
      <c r="I2993" s="350"/>
      <c r="J2993" s="227"/>
      <c r="K2993" s="227"/>
      <c r="L2993" s="224"/>
      <c r="M2993" s="224"/>
      <c r="N2993" s="224"/>
      <c r="O2993" s="224"/>
      <c r="P2993" s="224"/>
      <c r="Q2993" s="224"/>
      <c r="R2993" s="224"/>
      <c r="S2993" s="224"/>
      <c r="T2993" s="224"/>
      <c r="U2993" s="224"/>
      <c r="V2993" s="224"/>
    </row>
    <row r="2994" spans="1:22" x14ac:dyDescent="0.3">
      <c r="A2994" s="222"/>
      <c r="B2994" s="235"/>
      <c r="C2994" s="227"/>
      <c r="D2994" s="344"/>
      <c r="E2994" s="235"/>
      <c r="F2994" s="235"/>
      <c r="G2994" s="227"/>
      <c r="H2994" s="227"/>
      <c r="I2994" s="350"/>
      <c r="J2994" s="227"/>
      <c r="K2994" s="227"/>
      <c r="L2994" s="224"/>
      <c r="M2994" s="224"/>
      <c r="N2994" s="224"/>
      <c r="O2994" s="224"/>
      <c r="P2994" s="224"/>
      <c r="Q2994" s="224"/>
      <c r="R2994" s="224"/>
      <c r="S2994" s="224"/>
      <c r="T2994" s="224"/>
      <c r="U2994" s="224"/>
      <c r="V2994" s="224"/>
    </row>
    <row r="1048501" spans="4:4" x14ac:dyDescent="0.3">
      <c r="D1048501" s="342"/>
    </row>
    <row r="1048502" spans="4:4" x14ac:dyDescent="0.3">
      <c r="D1048502" s="342"/>
    </row>
    <row r="1048503" spans="4:4" x14ac:dyDescent="0.3">
      <c r="D1048503" s="342"/>
    </row>
    <row r="1048504" spans="4:4" x14ac:dyDescent="0.3">
      <c r="D1048504" s="342"/>
    </row>
    <row r="1048505" spans="4:4" x14ac:dyDescent="0.3">
      <c r="D1048505" s="342"/>
    </row>
    <row r="1048506" spans="4:4" x14ac:dyDescent="0.3">
      <c r="D1048506" s="342"/>
    </row>
    <row r="1048507" spans="4:4" x14ac:dyDescent="0.3">
      <c r="D1048507" s="342"/>
    </row>
    <row r="1048508" spans="4:4" x14ac:dyDescent="0.3">
      <c r="D1048508" s="342"/>
    </row>
    <row r="1048509" spans="4:4" x14ac:dyDescent="0.3">
      <c r="D1048509" s="342"/>
    </row>
    <row r="1048510" spans="4:4" x14ac:dyDescent="0.3">
      <c r="D1048510" s="342"/>
    </row>
    <row r="1048511" spans="4:4" x14ac:dyDescent="0.3">
      <c r="D1048511" s="342"/>
    </row>
    <row r="1048512" spans="4:4" x14ac:dyDescent="0.3">
      <c r="D1048512" s="342"/>
    </row>
    <row r="1048513" spans="4:4" x14ac:dyDescent="0.3">
      <c r="D1048513" s="342"/>
    </row>
    <row r="1048514" spans="4:4" x14ac:dyDescent="0.3">
      <c r="D1048514" s="342"/>
    </row>
    <row r="1048515" spans="4:4" x14ac:dyDescent="0.3">
      <c r="D1048515" s="342"/>
    </row>
    <row r="1048516" spans="4:4" x14ac:dyDescent="0.3">
      <c r="D1048516" s="342"/>
    </row>
    <row r="1048517" spans="4:4" x14ac:dyDescent="0.3">
      <c r="D1048517" s="342"/>
    </row>
    <row r="1048518" spans="4:4" x14ac:dyDescent="0.3">
      <c r="D1048518" s="342"/>
    </row>
    <row r="1048519" spans="4:4" x14ac:dyDescent="0.3">
      <c r="D1048519" s="342"/>
    </row>
    <row r="1048520" spans="4:4" x14ac:dyDescent="0.3">
      <c r="D1048520" s="342"/>
    </row>
    <row r="1048521" spans="4:4" x14ac:dyDescent="0.3">
      <c r="D1048521" s="342"/>
    </row>
    <row r="1048522" spans="4:4" x14ac:dyDescent="0.3">
      <c r="D1048522" s="342"/>
    </row>
    <row r="1048523" spans="4:4" x14ac:dyDescent="0.3">
      <c r="D1048523" s="342"/>
    </row>
    <row r="1048524" spans="4:4" x14ac:dyDescent="0.3">
      <c r="D1048524" s="342"/>
    </row>
    <row r="1048525" spans="4:4" x14ac:dyDescent="0.3">
      <c r="D1048525" s="342"/>
    </row>
    <row r="1048526" spans="4:4" x14ac:dyDescent="0.3">
      <c r="D1048526" s="342"/>
    </row>
    <row r="1048527" spans="4:4" x14ac:dyDescent="0.3">
      <c r="D1048527" s="342"/>
    </row>
    <row r="1048528" spans="4:4" x14ac:dyDescent="0.3">
      <c r="D1048528" s="342"/>
    </row>
    <row r="1048529" spans="4:4" x14ac:dyDescent="0.3">
      <c r="D1048529" s="342"/>
    </row>
    <row r="1048530" spans="4:4" x14ac:dyDescent="0.3">
      <c r="D1048530" s="342"/>
    </row>
    <row r="1048531" spans="4:4" x14ac:dyDescent="0.3">
      <c r="D1048531" s="342"/>
    </row>
    <row r="1048532" spans="4:4" x14ac:dyDescent="0.3">
      <c r="D1048532" s="342"/>
    </row>
    <row r="1048533" spans="4:4" x14ac:dyDescent="0.3">
      <c r="D1048533" s="342"/>
    </row>
    <row r="1048534" spans="4:4" x14ac:dyDescent="0.3">
      <c r="D1048534" s="342"/>
    </row>
    <row r="1048535" spans="4:4" x14ac:dyDescent="0.3">
      <c r="D1048535" s="342"/>
    </row>
    <row r="1048536" spans="4:4" x14ac:dyDescent="0.3">
      <c r="D1048536" s="342"/>
    </row>
    <row r="1048537" spans="4:4" x14ac:dyDescent="0.3">
      <c r="D1048537" s="342"/>
    </row>
    <row r="1048538" spans="4:4" x14ac:dyDescent="0.3">
      <c r="D1048538" s="342"/>
    </row>
    <row r="1048539" spans="4:4" x14ac:dyDescent="0.3">
      <c r="D1048539" s="342"/>
    </row>
    <row r="1048540" spans="4:4" x14ac:dyDescent="0.3">
      <c r="D1048540" s="342"/>
    </row>
    <row r="1048541" spans="4:4" x14ac:dyDescent="0.3">
      <c r="D1048541" s="342"/>
    </row>
    <row r="1048542" spans="4:4" x14ac:dyDescent="0.3">
      <c r="D1048542" s="342"/>
    </row>
    <row r="1048543" spans="4:4" x14ac:dyDescent="0.3">
      <c r="D1048543" s="342"/>
    </row>
    <row r="1048544" spans="4:4" x14ac:dyDescent="0.3">
      <c r="D1048544" s="342"/>
    </row>
    <row r="1048545" spans="4:4" x14ac:dyDescent="0.3">
      <c r="D1048545" s="342"/>
    </row>
    <row r="1048546" spans="4:4" x14ac:dyDescent="0.3">
      <c r="D1048546" s="342"/>
    </row>
    <row r="1048547" spans="4:4" x14ac:dyDescent="0.3">
      <c r="D1048547" s="342"/>
    </row>
    <row r="1048548" spans="4:4" x14ac:dyDescent="0.3">
      <c r="D1048548" s="342"/>
    </row>
    <row r="1048549" spans="4:4" x14ac:dyDescent="0.3">
      <c r="D1048549" s="342"/>
    </row>
    <row r="1048550" spans="4:4" x14ac:dyDescent="0.3">
      <c r="D1048550" s="342"/>
    </row>
    <row r="1048551" spans="4:4" x14ac:dyDescent="0.3">
      <c r="D1048551" s="342"/>
    </row>
    <row r="1048552" spans="4:4" x14ac:dyDescent="0.3">
      <c r="D1048552" s="342"/>
    </row>
    <row r="1048553" spans="4:4" x14ac:dyDescent="0.3">
      <c r="D1048553" s="342"/>
    </row>
    <row r="1048554" spans="4:4" x14ac:dyDescent="0.3">
      <c r="D1048554" s="342"/>
    </row>
    <row r="1048555" spans="4:4" x14ac:dyDescent="0.3">
      <c r="D1048555" s="342"/>
    </row>
    <row r="1048556" spans="4:4" x14ac:dyDescent="0.3">
      <c r="D1048556" s="342"/>
    </row>
    <row r="1048557" spans="4:4" x14ac:dyDescent="0.3">
      <c r="D1048557" s="342"/>
    </row>
    <row r="1048558" spans="4:4" x14ac:dyDescent="0.3">
      <c r="D1048558" s="342"/>
    </row>
    <row r="1048559" spans="4:4" x14ac:dyDescent="0.3">
      <c r="D1048559" s="342"/>
    </row>
    <row r="1048560" spans="4:4" x14ac:dyDescent="0.3">
      <c r="D1048560" s="342"/>
    </row>
  </sheetData>
  <sheetProtection formatCells="0" formatColumns="0" formatRows="0" insertRows="0" insertHyperlinks="0" deleteRows="0" autoFilter="0"/>
  <dataConsolidate/>
  <mergeCells count="20">
    <mergeCell ref="A7:E7"/>
    <mergeCell ref="A5:E5"/>
    <mergeCell ref="A6:E6"/>
    <mergeCell ref="A8:I9"/>
    <mergeCell ref="H11:H15"/>
    <mergeCell ref="A1:A2"/>
    <mergeCell ref="V1:V2"/>
    <mergeCell ref="B1:U1"/>
    <mergeCell ref="B2:U2"/>
    <mergeCell ref="A4:F4"/>
    <mergeCell ref="J4:K4"/>
    <mergeCell ref="J7:K7"/>
    <mergeCell ref="J8:K8"/>
    <mergeCell ref="J9:J10"/>
    <mergeCell ref="K9:K10"/>
    <mergeCell ref="G4:H4"/>
    <mergeCell ref="G5:H5"/>
    <mergeCell ref="G6:H6"/>
    <mergeCell ref="J5:K5"/>
    <mergeCell ref="J6:K6"/>
  </mergeCells>
  <conditionalFormatting sqref="M2995:N1048576">
    <cfRule type="cellIs" dxfId="86" priority="109" operator="equal">
      <formula>"Fallido"</formula>
    </cfRule>
  </conditionalFormatting>
  <conditionalFormatting sqref="L2995:N1048576 N16:V2994 L16:L2994 O11:V15">
    <cfRule type="cellIs" dxfId="85" priority="104" operator="equal">
      <formula>"Pendiente"</formula>
    </cfRule>
  </conditionalFormatting>
  <conditionalFormatting sqref="N16:V2994 L16:L1048576 O11:V15">
    <cfRule type="cellIs" dxfId="84" priority="95" operator="equal">
      <formula>"Exitoso"</formula>
    </cfRule>
    <cfRule type="cellIs" dxfId="83" priority="98" operator="equal">
      <formula>"Fallido"</formula>
    </cfRule>
  </conditionalFormatting>
  <conditionalFormatting sqref="M2995:N1048576">
    <cfRule type="cellIs" dxfId="82" priority="94" operator="equal">
      <formula>"Exitoso"</formula>
    </cfRule>
  </conditionalFormatting>
  <conditionalFormatting sqref="L8:U8">
    <cfRule type="cellIs" dxfId="81" priority="118" operator="equal">
      <formula>"Exitoso"</formula>
    </cfRule>
    <cfRule type="iconSet" priority="119">
      <iconSet iconSet="3Symbols">
        <cfvo type="percent" val="0"/>
        <cfvo type="percent" val="33"/>
        <cfvo type="num" val="&quot;Exitoso&quot;"/>
      </iconSet>
    </cfRule>
    <cfRule type="cellIs" dxfId="80" priority="120" operator="equal">
      <formula>"Con errores"</formula>
    </cfRule>
  </conditionalFormatting>
  <conditionalFormatting sqref="M16:M2994">
    <cfRule type="cellIs" dxfId="79" priority="88" operator="equal">
      <formula>"Exitoso"</formula>
    </cfRule>
    <cfRule type="cellIs" dxfId="78" priority="90" operator="equal">
      <formula>"Fallido"</formula>
    </cfRule>
  </conditionalFormatting>
  <conditionalFormatting sqref="M16:M2994">
    <cfRule type="cellIs" dxfId="77" priority="89" operator="equal">
      <formula>"Pendiente"</formula>
    </cfRule>
  </conditionalFormatting>
  <conditionalFormatting sqref="V8">
    <cfRule type="cellIs" dxfId="76" priority="22" operator="equal">
      <formula>"Exitoso"</formula>
    </cfRule>
    <cfRule type="iconSet" priority="23">
      <iconSet iconSet="3Symbols">
        <cfvo type="percent" val="0"/>
        <cfvo type="percent" val="33"/>
        <cfvo type="num" val="&quot;Exitoso&quot;"/>
      </iconSet>
    </cfRule>
    <cfRule type="cellIs" dxfId="75" priority="24" operator="equal">
      <formula>"Con errores"</formula>
    </cfRule>
  </conditionalFormatting>
  <conditionalFormatting sqref="L11:N15">
    <cfRule type="cellIs" dxfId="74" priority="12" operator="equal">
      <formula>"Pendiente"</formula>
    </cfRule>
  </conditionalFormatting>
  <conditionalFormatting sqref="L11:N15">
    <cfRule type="cellIs" dxfId="73" priority="10" operator="equal">
      <formula>"Exitoso"</formula>
    </cfRule>
    <cfRule type="cellIs" dxfId="72" priority="11" operator="equal">
      <formula>"Fallido"</formula>
    </cfRule>
  </conditionalFormatting>
  <dataValidations xWindow="1450" yWindow="930" count="3">
    <dataValidation type="list" allowBlank="1" showInputMessage="1" showErrorMessage="1" sqref="G5">
      <formula1>"Si, No"</formula1>
    </dataValidation>
    <dataValidation type="list" allowBlank="1" showInputMessage="1" showErrorMessage="1" promptTitle="ALERTA!!!" prompt="ESTA CORRIDA SE REGISTRA CUANDO YA SE HAYAN CORREGIDO TODOS LOS ERRORES" sqref="L2995:L1048576">
      <formula1>estados</formula1>
    </dataValidation>
    <dataValidation type="whole" allowBlank="1" showInputMessage="1" showErrorMessage="1" errorTitle="Error" error="Ingrese datos numéricos." sqref="E11:E2994">
      <formula1>0</formula1>
      <formula2>10000</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xWindow="1450" yWindow="930" count="6">
        <x14:dataValidation type="list" allowBlank="1" showInputMessage="1" showErrorMessage="1" promptTitle="Sprint" prompt="Seleccione el sprint">
          <x14:formula1>
            <xm:f>Param_General!$BE$4:$BE$30</xm:f>
          </x14:formula1>
          <xm:sqref>H7</xm:sqref>
        </x14:dataValidation>
        <x14:dataValidation type="list" allowBlank="1" showErrorMessage="1">
          <x14:formula1>
            <xm:f>Param_General!$AK$4:$AK$8</xm:f>
          </x14:formula1>
          <xm:sqref>M16:N2994 O11:V2994</xm:sqref>
        </x14:dataValidation>
        <x14:dataValidation type="list" allowBlank="1" showInputMessage="1" showErrorMessage="1" promptTitle="Alerta" prompt="Este ciclo se registra cuando se hayan corregido todos los errores.">
          <x14:formula1>
            <xm:f>Planeación!$V$2:$V$6</xm:f>
          </x14:formula1>
          <xm:sqref>M11:N15 L11:L2994</xm:sqref>
        </x14:dataValidation>
        <x14:dataValidation type="list" allowBlank="1" showInputMessage="1" showErrorMessage="1">
          <x14:formula1>
            <xm:f>Param_General!$AO$4:$AO$8</xm:f>
          </x14:formula1>
          <xm:sqref>A11:A2994</xm:sqref>
        </x14:dataValidation>
        <x14:dataValidation type="list" allowBlank="1" showInputMessage="1" showErrorMessage="1">
          <x14:formula1>
            <xm:f>Param_General!$AY$4:$AY$6</xm:f>
          </x14:formula1>
          <xm:sqref>F11:F2994</xm:sqref>
        </x14:dataValidation>
        <x14:dataValidation type="list" allowBlank="1" showInputMessage="1" showErrorMessage="1" errorTitle="Error" error="Ingrese datos numéricos.">
          <x14:formula1>
            <xm:f>Param_General!$BE$4:$BE$30</xm:f>
          </x14:formula1>
          <xm:sqref>B11:B2994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426"/>
  <sheetViews>
    <sheetView zoomScale="80" zoomScaleNormal="80" workbookViewId="0">
      <pane ySplit="6" topLeftCell="A7" activePane="bottomLeft" state="frozen"/>
      <selection pane="bottomLeft" activeCell="C38" sqref="C38"/>
    </sheetView>
  </sheetViews>
  <sheetFormatPr defaultColWidth="11.453125" defaultRowHeight="14" x14ac:dyDescent="0.3"/>
  <cols>
    <col min="1" max="1" width="3.36328125" style="54" customWidth="1"/>
    <col min="2" max="2" width="23.453125" style="42" customWidth="1"/>
    <col min="3" max="4" width="13.36328125" style="42" customWidth="1"/>
    <col min="5" max="5" width="18.453125" style="42" customWidth="1"/>
    <col min="6" max="6" width="51.54296875" style="42" customWidth="1"/>
    <col min="7" max="7" width="42.6328125" style="42" customWidth="1"/>
    <col min="8" max="9" width="37.453125" style="42" customWidth="1"/>
    <col min="10" max="16384" width="11.453125" style="42"/>
  </cols>
  <sheetData>
    <row r="1" spans="2:9" s="52" customFormat="1" ht="30" customHeight="1" x14ac:dyDescent="0.3">
      <c r="B1" s="434"/>
      <c r="C1" s="448" t="str">
        <f>Planeación!D1</f>
        <v>VERIFICACIÓN Y VALIDACIÓN</v>
      </c>
      <c r="D1" s="448"/>
      <c r="E1" s="448"/>
      <c r="F1" s="448"/>
      <c r="G1" s="448"/>
      <c r="H1" s="448"/>
      <c r="I1" s="459" t="str">
        <f>Planeación!K1</f>
        <v>Versión: 10
Fecha de emisión:  21/03/2018
Código: F-TAI-010-001</v>
      </c>
    </row>
    <row r="2" spans="2:9" s="42" customFormat="1" ht="38.25" customHeight="1" x14ac:dyDescent="0.3">
      <c r="B2" s="434"/>
      <c r="C2" s="448" t="str">
        <f>Planeación!D2</f>
        <v>FORMATO: Prueba interna</v>
      </c>
      <c r="D2" s="448"/>
      <c r="E2" s="448"/>
      <c r="F2" s="448"/>
      <c r="G2" s="448"/>
      <c r="H2" s="448"/>
      <c r="I2" s="459"/>
    </row>
    <row r="3" spans="2:9" s="42" customFormat="1" ht="16.5" customHeight="1" x14ac:dyDescent="0.3">
      <c r="C3" s="43"/>
      <c r="D3" s="43"/>
      <c r="E3" s="43"/>
    </row>
    <row r="4" spans="2:9" s="42" customFormat="1" ht="25.5" customHeight="1" x14ac:dyDescent="0.3">
      <c r="B4" s="449" t="s">
        <v>580</v>
      </c>
      <c r="C4" s="449"/>
      <c r="D4" s="449"/>
      <c r="E4" s="218">
        <f>COUNT(C7:C426)</f>
        <v>0</v>
      </c>
    </row>
    <row r="5" spans="2:9" s="42" customFormat="1" ht="32.25" customHeight="1" x14ac:dyDescent="0.3">
      <c r="C5" s="44"/>
      <c r="D5" s="44"/>
      <c r="E5" s="44"/>
      <c r="H5" s="45"/>
      <c r="I5" s="45"/>
    </row>
    <row r="6" spans="2:9" s="53" customFormat="1" ht="19.5" customHeight="1" x14ac:dyDescent="0.3">
      <c r="B6" s="206" t="s">
        <v>151</v>
      </c>
      <c r="C6" s="206" t="s">
        <v>713</v>
      </c>
      <c r="D6" s="206" t="s">
        <v>153</v>
      </c>
      <c r="E6" s="206" t="s">
        <v>152</v>
      </c>
      <c r="F6" s="206" t="s">
        <v>154</v>
      </c>
      <c r="G6" s="206" t="s">
        <v>155</v>
      </c>
      <c r="H6" s="206" t="s">
        <v>156</v>
      </c>
      <c r="I6" s="206" t="s">
        <v>159</v>
      </c>
    </row>
    <row r="7" spans="2:9" s="46" customFormat="1" ht="15" customHeight="1" x14ac:dyDescent="0.3">
      <c r="B7" s="222"/>
      <c r="C7" s="223"/>
      <c r="D7" s="223"/>
      <c r="E7" s="224"/>
      <c r="F7" s="225"/>
      <c r="G7" s="225"/>
      <c r="H7" s="225"/>
      <c r="I7" s="225"/>
    </row>
    <row r="8" spans="2:9" s="46" customFormat="1" x14ac:dyDescent="0.3">
      <c r="B8" s="222"/>
      <c r="C8" s="223"/>
      <c r="D8" s="223"/>
      <c r="E8" s="224"/>
      <c r="F8" s="225"/>
      <c r="G8" s="225"/>
      <c r="H8" s="225"/>
      <c r="I8" s="225"/>
    </row>
    <row r="9" spans="2:9" s="46" customFormat="1" x14ac:dyDescent="0.3">
      <c r="B9" s="222"/>
      <c r="C9" s="223"/>
      <c r="D9" s="223"/>
      <c r="E9" s="224"/>
      <c r="F9" s="225"/>
      <c r="G9" s="225"/>
      <c r="H9" s="225"/>
      <c r="I9" s="225"/>
    </row>
    <row r="10" spans="2:9" s="46" customFormat="1" x14ac:dyDescent="0.3">
      <c r="B10" s="222"/>
      <c r="C10" s="223"/>
      <c r="D10" s="223"/>
      <c r="E10" s="224"/>
      <c r="F10" s="225"/>
      <c r="G10" s="225"/>
      <c r="H10" s="225"/>
      <c r="I10" s="225"/>
    </row>
    <row r="11" spans="2:9" s="46" customFormat="1" x14ac:dyDescent="0.3">
      <c r="B11" s="222"/>
      <c r="C11" s="223"/>
      <c r="D11" s="223"/>
      <c r="E11" s="224"/>
      <c r="F11" s="225"/>
      <c r="G11" s="225"/>
      <c r="H11" s="225"/>
      <c r="I11" s="225"/>
    </row>
    <row r="12" spans="2:9" s="46" customFormat="1" x14ac:dyDescent="0.3">
      <c r="B12" s="222"/>
      <c r="C12" s="223"/>
      <c r="D12" s="223"/>
      <c r="E12" s="224"/>
      <c r="F12" s="225"/>
      <c r="G12" s="225"/>
      <c r="H12" s="225"/>
      <c r="I12" s="225"/>
    </row>
    <row r="13" spans="2:9" s="46" customFormat="1" x14ac:dyDescent="0.3">
      <c r="B13" s="222"/>
      <c r="C13" s="223"/>
      <c r="D13" s="223"/>
      <c r="E13" s="224"/>
      <c r="F13" s="225"/>
      <c r="G13" s="225"/>
      <c r="H13" s="225"/>
      <c r="I13" s="225"/>
    </row>
    <row r="14" spans="2:9" s="46" customFormat="1" x14ac:dyDescent="0.3">
      <c r="B14" s="222"/>
      <c r="C14" s="223"/>
      <c r="D14" s="223"/>
      <c r="E14" s="224"/>
      <c r="F14" s="225"/>
      <c r="G14" s="225"/>
      <c r="H14" s="225"/>
      <c r="I14" s="225"/>
    </row>
    <row r="15" spans="2:9" s="46" customFormat="1" x14ac:dyDescent="0.3">
      <c r="B15" s="222"/>
      <c r="C15" s="223"/>
      <c r="D15" s="223"/>
      <c r="E15" s="224"/>
      <c r="F15" s="225"/>
      <c r="G15" s="225"/>
      <c r="H15" s="225"/>
      <c r="I15" s="225"/>
    </row>
    <row r="16" spans="2:9" s="46" customFormat="1" x14ac:dyDescent="0.3">
      <c r="B16" s="222"/>
      <c r="C16" s="223"/>
      <c r="D16" s="223"/>
      <c r="E16" s="224"/>
      <c r="F16" s="225"/>
      <c r="G16" s="225"/>
      <c r="H16" s="225"/>
      <c r="I16" s="225"/>
    </row>
    <row r="17" spans="2:9" s="46" customFormat="1" x14ac:dyDescent="0.3">
      <c r="B17" s="222"/>
      <c r="C17" s="223"/>
      <c r="D17" s="223"/>
      <c r="E17" s="224"/>
      <c r="F17" s="225"/>
      <c r="G17" s="225"/>
      <c r="H17" s="225"/>
      <c r="I17" s="225"/>
    </row>
    <row r="18" spans="2:9" s="46" customFormat="1" x14ac:dyDescent="0.3">
      <c r="B18" s="222"/>
      <c r="C18" s="223"/>
      <c r="D18" s="223"/>
      <c r="E18" s="224"/>
      <c r="F18" s="225"/>
      <c r="G18" s="225"/>
      <c r="H18" s="225"/>
      <c r="I18" s="225"/>
    </row>
    <row r="19" spans="2:9" s="46" customFormat="1" x14ac:dyDescent="0.3">
      <c r="B19" s="222"/>
      <c r="C19" s="223"/>
      <c r="D19" s="223"/>
      <c r="E19" s="224"/>
      <c r="F19" s="225"/>
      <c r="G19" s="225"/>
      <c r="H19" s="225"/>
      <c r="I19" s="225"/>
    </row>
    <row r="20" spans="2:9" s="46" customFormat="1" x14ac:dyDescent="0.3">
      <c r="B20" s="222"/>
      <c r="C20" s="223"/>
      <c r="D20" s="223"/>
      <c r="E20" s="224"/>
      <c r="F20" s="225"/>
      <c r="G20" s="225"/>
      <c r="H20" s="225"/>
      <c r="I20" s="225"/>
    </row>
    <row r="21" spans="2:9" s="46" customFormat="1" x14ac:dyDescent="0.3">
      <c r="B21" s="222"/>
      <c r="C21" s="223"/>
      <c r="D21" s="223"/>
      <c r="E21" s="224"/>
      <c r="F21" s="225"/>
      <c r="G21" s="225"/>
      <c r="H21" s="225"/>
      <c r="I21" s="225"/>
    </row>
    <row r="22" spans="2:9" s="46" customFormat="1" x14ac:dyDescent="0.3">
      <c r="B22" s="222"/>
      <c r="C22" s="223"/>
      <c r="D22" s="223"/>
      <c r="E22" s="224"/>
      <c r="F22" s="225"/>
      <c r="G22" s="225"/>
      <c r="H22" s="225"/>
      <c r="I22" s="225"/>
    </row>
    <row r="23" spans="2:9" s="46" customFormat="1" x14ac:dyDescent="0.3">
      <c r="B23" s="222"/>
      <c r="C23" s="223"/>
      <c r="D23" s="223"/>
      <c r="E23" s="224"/>
      <c r="F23" s="225"/>
      <c r="G23" s="225"/>
      <c r="H23" s="225"/>
      <c r="I23" s="225"/>
    </row>
    <row r="24" spans="2:9" s="46" customFormat="1" x14ac:dyDescent="0.3">
      <c r="B24" s="222"/>
      <c r="C24" s="223"/>
      <c r="D24" s="223"/>
      <c r="E24" s="224"/>
      <c r="F24" s="225"/>
      <c r="G24" s="225"/>
      <c r="H24" s="225"/>
      <c r="I24" s="225"/>
    </row>
    <row r="25" spans="2:9" s="46" customFormat="1" x14ac:dyDescent="0.3">
      <c r="B25" s="222"/>
      <c r="C25" s="223"/>
      <c r="D25" s="223"/>
      <c r="E25" s="224"/>
      <c r="F25" s="225"/>
      <c r="G25" s="225"/>
      <c r="H25" s="225"/>
      <c r="I25" s="225"/>
    </row>
    <row r="26" spans="2:9" s="46" customFormat="1" x14ac:dyDescent="0.3">
      <c r="B26" s="222"/>
      <c r="C26" s="223"/>
      <c r="D26" s="223"/>
      <c r="E26" s="224"/>
      <c r="F26" s="225"/>
      <c r="G26" s="225"/>
      <c r="H26" s="225"/>
      <c r="I26" s="225"/>
    </row>
    <row r="27" spans="2:9" s="46" customFormat="1" x14ac:dyDescent="0.3">
      <c r="B27" s="222"/>
      <c r="C27" s="223"/>
      <c r="D27" s="223"/>
      <c r="E27" s="224"/>
      <c r="F27" s="225"/>
      <c r="G27" s="225"/>
      <c r="H27" s="225"/>
      <c r="I27" s="225"/>
    </row>
    <row r="28" spans="2:9" s="46" customFormat="1" x14ac:dyDescent="0.3">
      <c r="B28" s="222"/>
      <c r="C28" s="223"/>
      <c r="D28" s="223"/>
      <c r="E28" s="224"/>
      <c r="F28" s="225"/>
      <c r="G28" s="225"/>
      <c r="H28" s="225"/>
      <c r="I28" s="225"/>
    </row>
    <row r="29" spans="2:9" s="46" customFormat="1" x14ac:dyDescent="0.3">
      <c r="B29" s="222"/>
      <c r="C29" s="223"/>
      <c r="D29" s="223"/>
      <c r="E29" s="224"/>
      <c r="F29" s="225"/>
      <c r="G29" s="225"/>
      <c r="H29" s="225"/>
      <c r="I29" s="225"/>
    </row>
    <row r="30" spans="2:9" s="46" customFormat="1" x14ac:dyDescent="0.3">
      <c r="B30" s="222"/>
      <c r="C30" s="223"/>
      <c r="D30" s="223"/>
      <c r="E30" s="224"/>
      <c r="F30" s="225"/>
      <c r="G30" s="225"/>
      <c r="H30" s="225"/>
      <c r="I30" s="225"/>
    </row>
    <row r="31" spans="2:9" s="46" customFormat="1" x14ac:dyDescent="0.3">
      <c r="B31" s="222"/>
      <c r="C31" s="223"/>
      <c r="D31" s="223"/>
      <c r="E31" s="224"/>
      <c r="F31" s="225"/>
      <c r="G31" s="225"/>
      <c r="H31" s="225"/>
      <c r="I31" s="225"/>
    </row>
    <row r="32" spans="2:9" s="46" customFormat="1" x14ac:dyDescent="0.3">
      <c r="B32" s="222"/>
      <c r="C32" s="223"/>
      <c r="D32" s="223"/>
      <c r="E32" s="224"/>
      <c r="F32" s="225"/>
      <c r="G32" s="225"/>
      <c r="H32" s="225"/>
      <c r="I32" s="225"/>
    </row>
    <row r="33" spans="2:9" s="46" customFormat="1" x14ac:dyDescent="0.3">
      <c r="B33" s="222"/>
      <c r="C33" s="223"/>
      <c r="D33" s="223"/>
      <c r="E33" s="224"/>
      <c r="F33" s="225"/>
      <c r="G33" s="225"/>
      <c r="H33" s="225"/>
      <c r="I33" s="225"/>
    </row>
    <row r="34" spans="2:9" s="46" customFormat="1" x14ac:dyDescent="0.3">
      <c r="B34" s="222"/>
      <c r="C34" s="223"/>
      <c r="D34" s="223"/>
      <c r="E34" s="224"/>
      <c r="F34" s="225"/>
      <c r="G34" s="225"/>
      <c r="H34" s="225"/>
      <c r="I34" s="225"/>
    </row>
    <row r="35" spans="2:9" s="46" customFormat="1" x14ac:dyDescent="0.3">
      <c r="B35" s="222"/>
      <c r="C35" s="223"/>
      <c r="D35" s="223"/>
      <c r="E35" s="224"/>
      <c r="F35" s="225"/>
      <c r="G35" s="225"/>
      <c r="H35" s="225"/>
      <c r="I35" s="225"/>
    </row>
    <row r="36" spans="2:9" s="46" customFormat="1" x14ac:dyDescent="0.3">
      <c r="B36" s="222"/>
      <c r="C36" s="223"/>
      <c r="D36" s="223"/>
      <c r="E36" s="224"/>
      <c r="F36" s="225"/>
      <c r="G36" s="225"/>
      <c r="H36" s="225"/>
      <c r="I36" s="225"/>
    </row>
    <row r="37" spans="2:9" s="46" customFormat="1" x14ac:dyDescent="0.3">
      <c r="B37" s="222"/>
      <c r="C37" s="223"/>
      <c r="D37" s="223"/>
      <c r="E37" s="224"/>
      <c r="F37" s="225"/>
      <c r="G37" s="225"/>
      <c r="H37" s="225"/>
      <c r="I37" s="225"/>
    </row>
    <row r="38" spans="2:9" s="46" customFormat="1" x14ac:dyDescent="0.3">
      <c r="B38" s="222"/>
      <c r="C38" s="223"/>
      <c r="D38" s="223"/>
      <c r="E38" s="224"/>
      <c r="F38" s="225"/>
      <c r="G38" s="225"/>
      <c r="H38" s="225"/>
      <c r="I38" s="225"/>
    </row>
    <row r="39" spans="2:9" s="46" customFormat="1" x14ac:dyDescent="0.3">
      <c r="B39" s="222"/>
      <c r="C39" s="223"/>
      <c r="D39" s="223"/>
      <c r="E39" s="224"/>
      <c r="F39" s="225"/>
      <c r="G39" s="225"/>
      <c r="H39" s="225"/>
      <c r="I39" s="225"/>
    </row>
    <row r="40" spans="2:9" s="46" customFormat="1" x14ac:dyDescent="0.3">
      <c r="B40" s="222"/>
      <c r="C40" s="223"/>
      <c r="D40" s="223"/>
      <c r="E40" s="224"/>
      <c r="F40" s="225"/>
      <c r="G40" s="225"/>
      <c r="H40" s="225"/>
      <c r="I40" s="225"/>
    </row>
    <row r="41" spans="2:9" s="46" customFormat="1" x14ac:dyDescent="0.3">
      <c r="B41" s="222"/>
      <c r="C41" s="223"/>
      <c r="D41" s="223"/>
      <c r="E41" s="224"/>
      <c r="F41" s="225"/>
      <c r="G41" s="225"/>
      <c r="H41" s="225"/>
      <c r="I41" s="225"/>
    </row>
    <row r="42" spans="2:9" s="46" customFormat="1" x14ac:dyDescent="0.3">
      <c r="B42" s="222"/>
      <c r="C42" s="223"/>
      <c r="D42" s="223"/>
      <c r="E42" s="224"/>
      <c r="F42" s="225"/>
      <c r="G42" s="225"/>
      <c r="H42" s="225"/>
      <c r="I42" s="225"/>
    </row>
    <row r="43" spans="2:9" s="46" customFormat="1" x14ac:dyDescent="0.3">
      <c r="B43" s="222"/>
      <c r="C43" s="223"/>
      <c r="D43" s="223"/>
      <c r="E43" s="224"/>
      <c r="F43" s="225"/>
      <c r="G43" s="225"/>
      <c r="H43" s="225"/>
      <c r="I43" s="225"/>
    </row>
    <row r="44" spans="2:9" s="46" customFormat="1" x14ac:dyDescent="0.3">
      <c r="B44" s="222"/>
      <c r="C44" s="223"/>
      <c r="D44" s="223"/>
      <c r="E44" s="224"/>
      <c r="F44" s="225"/>
      <c r="G44" s="225"/>
      <c r="H44" s="225"/>
      <c r="I44" s="225"/>
    </row>
    <row r="45" spans="2:9" s="46" customFormat="1" x14ac:dyDescent="0.3">
      <c r="B45" s="222"/>
      <c r="C45" s="223"/>
      <c r="D45" s="223"/>
      <c r="E45" s="224"/>
      <c r="F45" s="225"/>
      <c r="G45" s="225"/>
      <c r="H45" s="225"/>
      <c r="I45" s="225"/>
    </row>
    <row r="46" spans="2:9" s="46" customFormat="1" x14ac:dyDescent="0.3">
      <c r="B46" s="222"/>
      <c r="C46" s="223"/>
      <c r="D46" s="223"/>
      <c r="E46" s="224"/>
      <c r="F46" s="225"/>
      <c r="G46" s="225"/>
      <c r="H46" s="225"/>
      <c r="I46" s="225"/>
    </row>
    <row r="47" spans="2:9" s="46" customFormat="1" x14ac:dyDescent="0.3">
      <c r="B47" s="222"/>
      <c r="C47" s="223"/>
      <c r="D47" s="223"/>
      <c r="E47" s="224"/>
      <c r="F47" s="225"/>
      <c r="G47" s="225"/>
      <c r="H47" s="225"/>
      <c r="I47" s="225"/>
    </row>
    <row r="48" spans="2:9" s="46" customFormat="1" x14ac:dyDescent="0.3">
      <c r="B48" s="222"/>
      <c r="C48" s="223"/>
      <c r="D48" s="223"/>
      <c r="E48" s="222"/>
      <c r="F48" s="225"/>
      <c r="G48" s="225"/>
      <c r="H48" s="226"/>
      <c r="I48" s="226"/>
    </row>
    <row r="49" spans="2:9" s="46" customFormat="1" x14ac:dyDescent="0.3">
      <c r="B49" s="222"/>
      <c r="C49" s="223"/>
      <c r="D49" s="223"/>
      <c r="E49" s="222"/>
      <c r="F49" s="225"/>
      <c r="G49" s="225"/>
      <c r="H49" s="226"/>
      <c r="I49" s="226"/>
    </row>
    <row r="50" spans="2:9" s="46" customFormat="1" x14ac:dyDescent="0.3">
      <c r="B50" s="222"/>
      <c r="C50" s="223"/>
      <c r="D50" s="223"/>
      <c r="E50" s="222"/>
      <c r="F50" s="225"/>
      <c r="G50" s="225"/>
      <c r="H50" s="226"/>
      <c r="I50" s="226"/>
    </row>
    <row r="51" spans="2:9" s="46" customFormat="1" x14ac:dyDescent="0.3">
      <c r="B51" s="222"/>
      <c r="C51" s="223"/>
      <c r="D51" s="223"/>
      <c r="E51" s="222"/>
      <c r="F51" s="225"/>
      <c r="G51" s="225"/>
      <c r="H51" s="226"/>
      <c r="I51" s="226"/>
    </row>
    <row r="52" spans="2:9" s="46" customFormat="1" x14ac:dyDescent="0.3">
      <c r="B52" s="222"/>
      <c r="C52" s="223"/>
      <c r="D52" s="223"/>
      <c r="E52" s="222"/>
      <c r="F52" s="225"/>
      <c r="G52" s="225"/>
      <c r="H52" s="226"/>
      <c r="I52" s="226"/>
    </row>
    <row r="53" spans="2:9" s="46" customFormat="1" x14ac:dyDescent="0.3">
      <c r="B53" s="222"/>
      <c r="C53" s="223"/>
      <c r="D53" s="223"/>
      <c r="E53" s="222"/>
      <c r="F53" s="225"/>
      <c r="G53" s="225"/>
      <c r="H53" s="226"/>
      <c r="I53" s="226"/>
    </row>
    <row r="54" spans="2:9" s="46" customFormat="1" x14ac:dyDescent="0.3">
      <c r="B54" s="222"/>
      <c r="C54" s="223"/>
      <c r="D54" s="223"/>
      <c r="E54" s="222"/>
      <c r="F54" s="225"/>
      <c r="G54" s="225"/>
      <c r="H54" s="226"/>
      <c r="I54" s="226"/>
    </row>
    <row r="55" spans="2:9" s="46" customFormat="1" x14ac:dyDescent="0.3">
      <c r="B55" s="222"/>
      <c r="C55" s="223"/>
      <c r="D55" s="223"/>
      <c r="E55" s="222"/>
      <c r="F55" s="225"/>
      <c r="G55" s="225"/>
      <c r="H55" s="226"/>
      <c r="I55" s="226"/>
    </row>
    <row r="56" spans="2:9" s="46" customFormat="1" x14ac:dyDescent="0.3">
      <c r="B56" s="222"/>
      <c r="C56" s="223"/>
      <c r="D56" s="223"/>
      <c r="E56" s="222"/>
      <c r="F56" s="225"/>
      <c r="G56" s="225"/>
      <c r="H56" s="226"/>
      <c r="I56" s="226"/>
    </row>
    <row r="57" spans="2:9" s="46" customFormat="1" x14ac:dyDescent="0.3">
      <c r="B57" s="222"/>
      <c r="C57" s="223"/>
      <c r="D57" s="223"/>
      <c r="E57" s="222"/>
      <c r="F57" s="225"/>
      <c r="G57" s="225"/>
      <c r="H57" s="226"/>
      <c r="I57" s="226"/>
    </row>
    <row r="58" spans="2:9" s="46" customFormat="1" x14ac:dyDescent="0.3">
      <c r="B58" s="222"/>
      <c r="C58" s="223"/>
      <c r="D58" s="223"/>
      <c r="E58" s="222"/>
      <c r="F58" s="227"/>
      <c r="G58" s="227"/>
      <c r="H58" s="226"/>
      <c r="I58" s="226"/>
    </row>
    <row r="59" spans="2:9" s="46" customFormat="1" x14ac:dyDescent="0.3">
      <c r="B59" s="222"/>
      <c r="C59" s="223"/>
      <c r="D59" s="223"/>
      <c r="E59" s="222"/>
      <c r="F59" s="227"/>
      <c r="G59" s="227"/>
      <c r="H59" s="226"/>
      <c r="I59" s="226"/>
    </row>
    <row r="60" spans="2:9" s="46" customFormat="1" x14ac:dyDescent="0.3">
      <c r="B60" s="222"/>
      <c r="C60" s="223"/>
      <c r="D60" s="223"/>
      <c r="E60" s="222"/>
      <c r="F60" s="227"/>
      <c r="G60" s="227"/>
      <c r="H60" s="226"/>
      <c r="I60" s="226"/>
    </row>
    <row r="61" spans="2:9" s="46" customFormat="1" x14ac:dyDescent="0.3">
      <c r="B61" s="222"/>
      <c r="C61" s="223"/>
      <c r="D61" s="223"/>
      <c r="E61" s="222"/>
      <c r="F61" s="227"/>
      <c r="G61" s="227"/>
      <c r="H61" s="226"/>
      <c r="I61" s="226"/>
    </row>
    <row r="62" spans="2:9" s="46" customFormat="1" x14ac:dyDescent="0.3">
      <c r="B62" s="222"/>
      <c r="C62" s="223"/>
      <c r="D62" s="223"/>
      <c r="E62" s="222"/>
      <c r="F62" s="227"/>
      <c r="G62" s="227"/>
      <c r="H62" s="226"/>
      <c r="I62" s="226"/>
    </row>
    <row r="63" spans="2:9" s="46" customFormat="1" x14ac:dyDescent="0.3">
      <c r="B63" s="222"/>
      <c r="C63" s="223"/>
      <c r="D63" s="223"/>
      <c r="E63" s="222"/>
      <c r="F63" s="227"/>
      <c r="G63" s="227"/>
      <c r="H63" s="226"/>
      <c r="I63" s="226"/>
    </row>
    <row r="64" spans="2:9" s="46" customFormat="1" x14ac:dyDescent="0.3">
      <c r="B64" s="222"/>
      <c r="C64" s="223"/>
      <c r="D64" s="223"/>
      <c r="E64" s="222"/>
      <c r="F64" s="227"/>
      <c r="G64" s="227"/>
      <c r="H64" s="226"/>
      <c r="I64" s="226"/>
    </row>
    <row r="65" spans="2:9" s="46" customFormat="1" x14ac:dyDescent="0.3">
      <c r="B65" s="222"/>
      <c r="C65" s="223"/>
      <c r="D65" s="223"/>
      <c r="E65" s="222"/>
      <c r="F65" s="227"/>
      <c r="G65" s="227"/>
      <c r="H65" s="226"/>
      <c r="I65" s="226"/>
    </row>
    <row r="66" spans="2:9" s="46" customFormat="1" x14ac:dyDescent="0.3">
      <c r="B66" s="222"/>
      <c r="C66" s="223"/>
      <c r="D66" s="223"/>
      <c r="E66" s="222"/>
      <c r="F66" s="227"/>
      <c r="G66" s="227"/>
      <c r="H66" s="226"/>
      <c r="I66" s="226"/>
    </row>
    <row r="67" spans="2:9" s="46" customFormat="1" x14ac:dyDescent="0.3">
      <c r="B67" s="222"/>
      <c r="C67" s="223"/>
      <c r="D67" s="223"/>
      <c r="E67" s="222"/>
      <c r="F67" s="227"/>
      <c r="G67" s="227"/>
      <c r="H67" s="226"/>
      <c r="I67" s="226"/>
    </row>
    <row r="68" spans="2:9" s="46" customFormat="1" x14ac:dyDescent="0.3">
      <c r="B68" s="222"/>
      <c r="C68" s="223"/>
      <c r="D68" s="223"/>
      <c r="E68" s="222"/>
      <c r="F68" s="227"/>
      <c r="G68" s="227"/>
      <c r="H68" s="226"/>
      <c r="I68" s="226"/>
    </row>
    <row r="69" spans="2:9" s="46" customFormat="1" x14ac:dyDescent="0.3">
      <c r="B69" s="222"/>
      <c r="C69" s="223"/>
      <c r="D69" s="223"/>
      <c r="E69" s="222"/>
      <c r="F69" s="227"/>
      <c r="G69" s="227"/>
      <c r="H69" s="226"/>
      <c r="I69" s="226"/>
    </row>
    <row r="70" spans="2:9" s="46" customFormat="1" x14ac:dyDescent="0.3">
      <c r="B70" s="222"/>
      <c r="C70" s="223"/>
      <c r="D70" s="223"/>
      <c r="E70" s="222"/>
      <c r="F70" s="227"/>
      <c r="G70" s="227"/>
      <c r="H70" s="226"/>
      <c r="I70" s="226"/>
    </row>
    <row r="71" spans="2:9" s="46" customFormat="1" x14ac:dyDescent="0.3">
      <c r="B71" s="222"/>
      <c r="C71" s="223"/>
      <c r="D71" s="223"/>
      <c r="E71" s="222"/>
      <c r="F71" s="227"/>
      <c r="G71" s="227"/>
      <c r="H71" s="226"/>
      <c r="I71" s="226"/>
    </row>
    <row r="72" spans="2:9" s="46" customFormat="1" x14ac:dyDescent="0.3">
      <c r="B72" s="222"/>
      <c r="C72" s="223"/>
      <c r="D72" s="223"/>
      <c r="E72" s="222"/>
      <c r="F72" s="227"/>
      <c r="G72" s="227"/>
      <c r="H72" s="226"/>
      <c r="I72" s="226"/>
    </row>
    <row r="73" spans="2:9" s="46" customFormat="1" x14ac:dyDescent="0.3">
      <c r="B73" s="222"/>
      <c r="C73" s="223"/>
      <c r="D73" s="223"/>
      <c r="E73" s="222"/>
      <c r="F73" s="227"/>
      <c r="G73" s="227"/>
      <c r="H73" s="226"/>
      <c r="I73" s="226"/>
    </row>
    <row r="74" spans="2:9" s="46" customFormat="1" x14ac:dyDescent="0.3">
      <c r="B74" s="222"/>
      <c r="C74" s="223"/>
      <c r="D74" s="223"/>
      <c r="E74" s="222"/>
      <c r="F74" s="227"/>
      <c r="G74" s="227"/>
      <c r="H74" s="226"/>
      <c r="I74" s="226"/>
    </row>
    <row r="75" spans="2:9" s="46" customFormat="1" x14ac:dyDescent="0.3">
      <c r="B75" s="222"/>
      <c r="C75" s="223"/>
      <c r="D75" s="223"/>
      <c r="E75" s="222"/>
      <c r="F75" s="227"/>
      <c r="G75" s="227"/>
      <c r="H75" s="226"/>
      <c r="I75" s="226"/>
    </row>
    <row r="76" spans="2:9" s="46" customFormat="1" x14ac:dyDescent="0.3">
      <c r="B76" s="222"/>
      <c r="C76" s="223"/>
      <c r="D76" s="223"/>
      <c r="E76" s="222"/>
      <c r="F76" s="227"/>
      <c r="G76" s="227"/>
      <c r="H76" s="226"/>
      <c r="I76" s="226"/>
    </row>
    <row r="77" spans="2:9" s="46" customFormat="1" x14ac:dyDescent="0.3">
      <c r="B77" s="222"/>
      <c r="C77" s="223"/>
      <c r="D77" s="223"/>
      <c r="E77" s="222"/>
      <c r="F77" s="227"/>
      <c r="G77" s="227"/>
      <c r="H77" s="226"/>
      <c r="I77" s="226"/>
    </row>
    <row r="78" spans="2:9" s="46" customFormat="1" x14ac:dyDescent="0.3">
      <c r="B78" s="222"/>
      <c r="C78" s="223"/>
      <c r="D78" s="223"/>
      <c r="E78" s="222"/>
      <c r="F78" s="227"/>
      <c r="G78" s="227"/>
      <c r="H78" s="226"/>
      <c r="I78" s="226"/>
    </row>
    <row r="79" spans="2:9" s="46" customFormat="1" x14ac:dyDescent="0.3">
      <c r="B79" s="222"/>
      <c r="C79" s="223"/>
      <c r="D79" s="223"/>
      <c r="E79" s="222"/>
      <c r="F79" s="227"/>
      <c r="G79" s="227"/>
      <c r="H79" s="226"/>
      <c r="I79" s="226"/>
    </row>
    <row r="80" spans="2:9" s="46" customFormat="1" x14ac:dyDescent="0.3">
      <c r="B80" s="222"/>
      <c r="C80" s="223"/>
      <c r="D80" s="223"/>
      <c r="E80" s="222"/>
      <c r="F80" s="227"/>
      <c r="G80" s="227"/>
      <c r="H80" s="226"/>
      <c r="I80" s="226"/>
    </row>
    <row r="81" spans="2:9" s="46" customFormat="1" x14ac:dyDescent="0.3">
      <c r="B81" s="222"/>
      <c r="C81" s="223"/>
      <c r="D81" s="223"/>
      <c r="E81" s="222"/>
      <c r="F81" s="227"/>
      <c r="G81" s="227"/>
      <c r="H81" s="226"/>
      <c r="I81" s="226"/>
    </row>
    <row r="82" spans="2:9" s="46" customFormat="1" x14ac:dyDescent="0.3">
      <c r="B82" s="222"/>
      <c r="C82" s="223"/>
      <c r="D82" s="223"/>
      <c r="E82" s="222"/>
      <c r="F82" s="227"/>
      <c r="G82" s="227"/>
      <c r="H82" s="226"/>
      <c r="I82" s="226"/>
    </row>
    <row r="83" spans="2:9" s="46" customFormat="1" x14ac:dyDescent="0.3">
      <c r="B83" s="222"/>
      <c r="C83" s="223"/>
      <c r="D83" s="223"/>
      <c r="E83" s="222"/>
      <c r="F83" s="227"/>
      <c r="G83" s="227"/>
      <c r="H83" s="226"/>
      <c r="I83" s="226"/>
    </row>
    <row r="84" spans="2:9" s="46" customFormat="1" x14ac:dyDescent="0.3">
      <c r="B84" s="222"/>
      <c r="C84" s="223"/>
      <c r="D84" s="223"/>
      <c r="E84" s="222"/>
      <c r="F84" s="227"/>
      <c r="G84" s="227"/>
      <c r="H84" s="226"/>
      <c r="I84" s="226"/>
    </row>
    <row r="85" spans="2:9" s="46" customFormat="1" x14ac:dyDescent="0.3">
      <c r="B85" s="222"/>
      <c r="C85" s="223"/>
      <c r="D85" s="223"/>
      <c r="E85" s="222"/>
      <c r="F85" s="227"/>
      <c r="G85" s="227"/>
      <c r="H85" s="226"/>
      <c r="I85" s="226"/>
    </row>
    <row r="86" spans="2:9" s="46" customFormat="1" x14ac:dyDescent="0.3">
      <c r="B86" s="222"/>
      <c r="C86" s="223"/>
      <c r="D86" s="223"/>
      <c r="E86" s="222"/>
      <c r="F86" s="227"/>
      <c r="G86" s="227"/>
      <c r="H86" s="226"/>
      <c r="I86" s="226"/>
    </row>
    <row r="87" spans="2:9" s="46" customFormat="1" x14ac:dyDescent="0.3">
      <c r="B87" s="222"/>
      <c r="C87" s="223"/>
      <c r="D87" s="223"/>
      <c r="E87" s="222"/>
      <c r="F87" s="227"/>
      <c r="G87" s="227"/>
      <c r="H87" s="226"/>
      <c r="I87" s="226"/>
    </row>
    <row r="88" spans="2:9" s="46" customFormat="1" x14ac:dyDescent="0.3">
      <c r="B88" s="222"/>
      <c r="C88" s="223"/>
      <c r="D88" s="223"/>
      <c r="E88" s="222"/>
      <c r="F88" s="227"/>
      <c r="G88" s="227"/>
      <c r="H88" s="226"/>
      <c r="I88" s="226"/>
    </row>
    <row r="89" spans="2:9" s="46" customFormat="1" x14ac:dyDescent="0.3">
      <c r="B89" s="222"/>
      <c r="C89" s="223"/>
      <c r="D89" s="223"/>
      <c r="E89" s="222"/>
      <c r="F89" s="227"/>
      <c r="G89" s="227"/>
      <c r="H89" s="226"/>
      <c r="I89" s="226"/>
    </row>
    <row r="90" spans="2:9" s="46" customFormat="1" x14ac:dyDescent="0.3">
      <c r="B90" s="222"/>
      <c r="C90" s="223"/>
      <c r="D90" s="223"/>
      <c r="E90" s="222"/>
      <c r="F90" s="227"/>
      <c r="G90" s="227"/>
      <c r="H90" s="226"/>
      <c r="I90" s="226"/>
    </row>
    <row r="91" spans="2:9" s="46" customFormat="1" x14ac:dyDescent="0.3">
      <c r="B91" s="222"/>
      <c r="C91" s="223"/>
      <c r="D91" s="223"/>
      <c r="E91" s="222"/>
      <c r="F91" s="227"/>
      <c r="G91" s="227"/>
      <c r="H91" s="226"/>
      <c r="I91" s="226"/>
    </row>
    <row r="92" spans="2:9" s="46" customFormat="1" x14ac:dyDescent="0.3">
      <c r="B92" s="222"/>
      <c r="C92" s="223"/>
      <c r="D92" s="223"/>
      <c r="E92" s="222"/>
      <c r="F92" s="227"/>
      <c r="G92" s="227"/>
      <c r="H92" s="226"/>
      <c r="I92" s="226"/>
    </row>
    <row r="93" spans="2:9" s="46" customFormat="1" x14ac:dyDescent="0.3">
      <c r="B93" s="222"/>
      <c r="C93" s="223"/>
      <c r="D93" s="223"/>
      <c r="E93" s="222"/>
      <c r="F93" s="227"/>
      <c r="G93" s="227"/>
      <c r="H93" s="226"/>
      <c r="I93" s="226"/>
    </row>
    <row r="94" spans="2:9" s="46" customFormat="1" x14ac:dyDescent="0.3">
      <c r="B94" s="222"/>
      <c r="C94" s="223"/>
      <c r="D94" s="223"/>
      <c r="E94" s="222"/>
      <c r="F94" s="227"/>
      <c r="G94" s="227"/>
      <c r="H94" s="226"/>
      <c r="I94" s="226"/>
    </row>
    <row r="95" spans="2:9" s="46" customFormat="1" x14ac:dyDescent="0.3">
      <c r="B95" s="222"/>
      <c r="C95" s="223"/>
      <c r="D95" s="223"/>
      <c r="E95" s="222"/>
      <c r="F95" s="227"/>
      <c r="G95" s="227"/>
      <c r="H95" s="226"/>
      <c r="I95" s="226"/>
    </row>
    <row r="96" spans="2:9" s="46" customFormat="1" x14ac:dyDescent="0.3">
      <c r="B96" s="222"/>
      <c r="C96" s="223"/>
      <c r="D96" s="223"/>
      <c r="E96" s="222"/>
      <c r="F96" s="227"/>
      <c r="G96" s="227"/>
      <c r="H96" s="226"/>
      <c r="I96" s="226"/>
    </row>
    <row r="97" spans="2:9" s="46" customFormat="1" x14ac:dyDescent="0.3">
      <c r="B97" s="222"/>
      <c r="C97" s="223"/>
      <c r="D97" s="223"/>
      <c r="E97" s="222"/>
      <c r="F97" s="227"/>
      <c r="G97" s="227"/>
      <c r="H97" s="226"/>
      <c r="I97" s="226"/>
    </row>
    <row r="98" spans="2:9" s="46" customFormat="1" x14ac:dyDescent="0.3">
      <c r="B98" s="222"/>
      <c r="C98" s="223"/>
      <c r="D98" s="223"/>
      <c r="E98" s="222"/>
      <c r="F98" s="227"/>
      <c r="G98" s="227"/>
      <c r="H98" s="226"/>
      <c r="I98" s="226"/>
    </row>
    <row r="99" spans="2:9" s="46" customFormat="1" x14ac:dyDescent="0.3">
      <c r="B99" s="222"/>
      <c r="C99" s="223"/>
      <c r="D99" s="223"/>
      <c r="E99" s="222"/>
      <c r="F99" s="227"/>
      <c r="G99" s="227"/>
      <c r="H99" s="226"/>
      <c r="I99" s="226"/>
    </row>
    <row r="100" spans="2:9" s="46" customFormat="1" x14ac:dyDescent="0.3">
      <c r="B100" s="222"/>
      <c r="C100" s="223"/>
      <c r="D100" s="223"/>
      <c r="E100" s="222"/>
      <c r="F100" s="227"/>
      <c r="G100" s="227"/>
      <c r="H100" s="226"/>
      <c r="I100" s="226"/>
    </row>
    <row r="101" spans="2:9" s="46" customFormat="1" x14ac:dyDescent="0.3">
      <c r="B101" s="222"/>
      <c r="C101" s="223"/>
      <c r="D101" s="223"/>
      <c r="E101" s="222"/>
      <c r="F101" s="227"/>
      <c r="G101" s="227"/>
      <c r="H101" s="226"/>
      <c r="I101" s="226"/>
    </row>
    <row r="102" spans="2:9" s="46" customFormat="1" x14ac:dyDescent="0.3">
      <c r="B102" s="222"/>
      <c r="C102" s="223"/>
      <c r="D102" s="223"/>
      <c r="E102" s="222"/>
      <c r="F102" s="227"/>
      <c r="G102" s="227"/>
      <c r="H102" s="226"/>
      <c r="I102" s="226"/>
    </row>
    <row r="103" spans="2:9" s="46" customFormat="1" x14ac:dyDescent="0.3">
      <c r="B103" s="222"/>
      <c r="C103" s="223"/>
      <c r="D103" s="223"/>
      <c r="E103" s="222"/>
      <c r="F103" s="227"/>
      <c r="G103" s="227"/>
      <c r="H103" s="226"/>
      <c r="I103" s="226"/>
    </row>
    <row r="104" spans="2:9" s="46" customFormat="1" x14ac:dyDescent="0.3">
      <c r="B104" s="222"/>
      <c r="C104" s="223"/>
      <c r="D104" s="223"/>
      <c r="E104" s="222"/>
      <c r="F104" s="227"/>
      <c r="G104" s="227"/>
      <c r="H104" s="226"/>
      <c r="I104" s="226"/>
    </row>
    <row r="105" spans="2:9" s="46" customFormat="1" x14ac:dyDescent="0.3">
      <c r="B105" s="222"/>
      <c r="C105" s="223"/>
      <c r="D105" s="223"/>
      <c r="E105" s="222"/>
      <c r="F105" s="227"/>
      <c r="G105" s="227"/>
      <c r="H105" s="226"/>
      <c r="I105" s="226"/>
    </row>
    <row r="106" spans="2:9" s="46" customFormat="1" x14ac:dyDescent="0.3">
      <c r="B106" s="222"/>
      <c r="C106" s="223"/>
      <c r="D106" s="223"/>
      <c r="E106" s="222"/>
      <c r="F106" s="227"/>
      <c r="G106" s="227"/>
      <c r="H106" s="226"/>
      <c r="I106" s="226"/>
    </row>
    <row r="107" spans="2:9" s="46" customFormat="1" x14ac:dyDescent="0.3">
      <c r="B107" s="222"/>
      <c r="C107" s="223"/>
      <c r="D107" s="223"/>
      <c r="E107" s="222"/>
      <c r="F107" s="227"/>
      <c r="G107" s="227"/>
      <c r="H107" s="226"/>
      <c r="I107" s="226"/>
    </row>
    <row r="108" spans="2:9" s="46" customFormat="1" x14ac:dyDescent="0.3">
      <c r="B108" s="222"/>
      <c r="C108" s="223"/>
      <c r="D108" s="223"/>
      <c r="E108" s="222"/>
      <c r="F108" s="227"/>
      <c r="G108" s="227"/>
      <c r="H108" s="226"/>
      <c r="I108" s="226"/>
    </row>
    <row r="109" spans="2:9" s="46" customFormat="1" x14ac:dyDescent="0.3">
      <c r="B109" s="222"/>
      <c r="C109" s="223"/>
      <c r="D109" s="223"/>
      <c r="E109" s="222"/>
      <c r="F109" s="227"/>
      <c r="G109" s="227"/>
      <c r="H109" s="226"/>
      <c r="I109" s="226"/>
    </row>
    <row r="110" spans="2:9" s="46" customFormat="1" x14ac:dyDescent="0.3">
      <c r="B110" s="222"/>
      <c r="C110" s="223"/>
      <c r="D110" s="223"/>
      <c r="E110" s="222"/>
      <c r="F110" s="227"/>
      <c r="G110" s="227"/>
      <c r="H110" s="226"/>
      <c r="I110" s="226"/>
    </row>
    <row r="111" spans="2:9" s="46" customFormat="1" x14ac:dyDescent="0.3">
      <c r="B111" s="222"/>
      <c r="C111" s="223"/>
      <c r="D111" s="223"/>
      <c r="E111" s="222"/>
      <c r="F111" s="227"/>
      <c r="G111" s="227"/>
      <c r="H111" s="226"/>
      <c r="I111" s="226"/>
    </row>
    <row r="112" spans="2:9" s="46" customFormat="1" x14ac:dyDescent="0.3">
      <c r="B112" s="222"/>
      <c r="C112" s="223"/>
      <c r="D112" s="223"/>
      <c r="E112" s="222"/>
      <c r="F112" s="227"/>
      <c r="G112" s="227"/>
      <c r="H112" s="226"/>
      <c r="I112" s="226"/>
    </row>
    <row r="113" spans="2:9" s="46" customFormat="1" x14ac:dyDescent="0.3">
      <c r="B113" s="222"/>
      <c r="C113" s="223"/>
      <c r="D113" s="223"/>
      <c r="E113" s="222"/>
      <c r="F113" s="227"/>
      <c r="G113" s="227"/>
      <c r="H113" s="226"/>
      <c r="I113" s="226"/>
    </row>
    <row r="114" spans="2:9" s="46" customFormat="1" x14ac:dyDescent="0.3">
      <c r="B114" s="222"/>
      <c r="C114" s="223"/>
      <c r="D114" s="223"/>
      <c r="E114" s="222"/>
      <c r="F114" s="227"/>
      <c r="G114" s="227"/>
      <c r="H114" s="226"/>
      <c r="I114" s="226"/>
    </row>
    <row r="115" spans="2:9" s="46" customFormat="1" x14ac:dyDescent="0.3">
      <c r="B115" s="222"/>
      <c r="C115" s="223"/>
      <c r="D115" s="223"/>
      <c r="E115" s="222"/>
      <c r="F115" s="227"/>
      <c r="G115" s="227"/>
      <c r="H115" s="226"/>
      <c r="I115" s="226"/>
    </row>
    <row r="116" spans="2:9" s="46" customFormat="1" x14ac:dyDescent="0.3">
      <c r="B116" s="222"/>
      <c r="C116" s="223"/>
      <c r="D116" s="223"/>
      <c r="E116" s="222"/>
      <c r="F116" s="227"/>
      <c r="G116" s="227"/>
      <c r="H116" s="226"/>
      <c r="I116" s="226"/>
    </row>
    <row r="117" spans="2:9" s="46" customFormat="1" x14ac:dyDescent="0.3">
      <c r="B117" s="222"/>
      <c r="C117" s="223"/>
      <c r="D117" s="223"/>
      <c r="E117" s="222"/>
      <c r="F117" s="227"/>
      <c r="G117" s="227"/>
      <c r="H117" s="226"/>
      <c r="I117" s="226"/>
    </row>
    <row r="118" spans="2:9" s="46" customFormat="1" x14ac:dyDescent="0.3">
      <c r="B118" s="222"/>
      <c r="C118" s="223"/>
      <c r="D118" s="223"/>
      <c r="E118" s="222"/>
      <c r="F118" s="227"/>
      <c r="G118" s="227"/>
      <c r="H118" s="226"/>
      <c r="I118" s="226"/>
    </row>
    <row r="119" spans="2:9" s="46" customFormat="1" x14ac:dyDescent="0.3">
      <c r="B119" s="222"/>
      <c r="C119" s="223"/>
      <c r="D119" s="223"/>
      <c r="E119" s="222"/>
      <c r="F119" s="227"/>
      <c r="G119" s="227"/>
      <c r="H119" s="226"/>
      <c r="I119" s="226"/>
    </row>
    <row r="120" spans="2:9" s="46" customFormat="1" x14ac:dyDescent="0.3">
      <c r="B120" s="222"/>
      <c r="C120" s="223"/>
      <c r="D120" s="223"/>
      <c r="E120" s="222"/>
      <c r="F120" s="227"/>
      <c r="G120" s="227"/>
      <c r="H120" s="226"/>
      <c r="I120" s="226"/>
    </row>
    <row r="121" spans="2:9" s="46" customFormat="1" x14ac:dyDescent="0.3">
      <c r="B121" s="222"/>
      <c r="C121" s="223"/>
      <c r="D121" s="223"/>
      <c r="E121" s="222"/>
      <c r="F121" s="227"/>
      <c r="G121" s="227"/>
      <c r="H121" s="226"/>
      <c r="I121" s="226"/>
    </row>
    <row r="122" spans="2:9" s="46" customFormat="1" x14ac:dyDescent="0.3">
      <c r="B122" s="222"/>
      <c r="C122" s="223"/>
      <c r="D122" s="223"/>
      <c r="E122" s="222"/>
      <c r="F122" s="227"/>
      <c r="G122" s="227"/>
      <c r="H122" s="226"/>
      <c r="I122" s="226"/>
    </row>
    <row r="123" spans="2:9" s="46" customFormat="1" x14ac:dyDescent="0.3">
      <c r="B123" s="222"/>
      <c r="C123" s="223"/>
      <c r="D123" s="223"/>
      <c r="E123" s="222"/>
      <c r="F123" s="227"/>
      <c r="G123" s="227"/>
      <c r="H123" s="226"/>
      <c r="I123" s="226"/>
    </row>
    <row r="124" spans="2:9" s="46" customFormat="1" x14ac:dyDescent="0.3">
      <c r="B124" s="222"/>
      <c r="C124" s="223"/>
      <c r="D124" s="223"/>
      <c r="E124" s="222"/>
      <c r="F124" s="227"/>
      <c r="G124" s="227"/>
      <c r="H124" s="226"/>
      <c r="I124" s="226"/>
    </row>
    <row r="125" spans="2:9" s="46" customFormat="1" x14ac:dyDescent="0.3">
      <c r="B125" s="222"/>
      <c r="C125" s="223"/>
      <c r="D125" s="223"/>
      <c r="E125" s="222"/>
      <c r="F125" s="227"/>
      <c r="G125" s="227"/>
      <c r="H125" s="226"/>
      <c r="I125" s="226"/>
    </row>
    <row r="126" spans="2:9" s="46" customFormat="1" x14ac:dyDescent="0.3">
      <c r="B126" s="222"/>
      <c r="C126" s="223"/>
      <c r="D126" s="223"/>
      <c r="E126" s="222"/>
      <c r="F126" s="227"/>
      <c r="G126" s="227"/>
      <c r="H126" s="226"/>
      <c r="I126" s="226"/>
    </row>
    <row r="127" spans="2:9" s="46" customFormat="1" x14ac:dyDescent="0.3">
      <c r="B127" s="222"/>
      <c r="C127" s="223"/>
      <c r="D127" s="223"/>
      <c r="E127" s="222"/>
      <c r="F127" s="227"/>
      <c r="G127" s="227"/>
      <c r="H127" s="226"/>
      <c r="I127" s="226"/>
    </row>
    <row r="128" spans="2:9" s="46" customFormat="1" x14ac:dyDescent="0.3">
      <c r="B128" s="222"/>
      <c r="C128" s="223"/>
      <c r="D128" s="223"/>
      <c r="E128" s="222"/>
      <c r="F128" s="227"/>
      <c r="G128" s="227"/>
      <c r="H128" s="226"/>
      <c r="I128" s="226"/>
    </row>
    <row r="129" spans="2:9" s="46" customFormat="1" x14ac:dyDescent="0.3">
      <c r="B129" s="222"/>
      <c r="C129" s="223"/>
      <c r="D129" s="223"/>
      <c r="E129" s="222"/>
      <c r="F129" s="227"/>
      <c r="G129" s="227"/>
      <c r="H129" s="226"/>
      <c r="I129" s="226"/>
    </row>
    <row r="130" spans="2:9" s="46" customFormat="1" x14ac:dyDescent="0.3">
      <c r="B130" s="222"/>
      <c r="C130" s="223"/>
      <c r="D130" s="223"/>
      <c r="E130" s="222"/>
      <c r="F130" s="227"/>
      <c r="G130" s="227"/>
      <c r="H130" s="226"/>
      <c r="I130" s="226"/>
    </row>
    <row r="131" spans="2:9" s="46" customFormat="1" x14ac:dyDescent="0.3">
      <c r="B131" s="222"/>
      <c r="C131" s="223"/>
      <c r="D131" s="223"/>
      <c r="E131" s="222"/>
      <c r="F131" s="227"/>
      <c r="G131" s="227"/>
      <c r="H131" s="226"/>
      <c r="I131" s="226"/>
    </row>
    <row r="132" spans="2:9" s="46" customFormat="1" x14ac:dyDescent="0.3">
      <c r="B132" s="222"/>
      <c r="C132" s="223"/>
      <c r="D132" s="223"/>
      <c r="E132" s="222"/>
      <c r="F132" s="227"/>
      <c r="G132" s="227"/>
      <c r="H132" s="226"/>
      <c r="I132" s="226"/>
    </row>
    <row r="133" spans="2:9" s="46" customFormat="1" x14ac:dyDescent="0.3">
      <c r="B133" s="222"/>
      <c r="C133" s="223"/>
      <c r="D133" s="223"/>
      <c r="E133" s="222"/>
      <c r="F133" s="227"/>
      <c r="G133" s="227"/>
      <c r="H133" s="226"/>
      <c r="I133" s="226"/>
    </row>
    <row r="134" spans="2:9" s="46" customFormat="1" x14ac:dyDescent="0.3">
      <c r="B134" s="222"/>
      <c r="C134" s="223"/>
      <c r="D134" s="223"/>
      <c r="E134" s="222"/>
      <c r="F134" s="227"/>
      <c r="G134" s="227"/>
      <c r="H134" s="226"/>
      <c r="I134" s="226"/>
    </row>
    <row r="135" spans="2:9" s="46" customFormat="1" x14ac:dyDescent="0.3">
      <c r="B135" s="222"/>
      <c r="C135" s="223"/>
      <c r="D135" s="223"/>
      <c r="E135" s="222"/>
      <c r="F135" s="227"/>
      <c r="G135" s="227"/>
      <c r="H135" s="226"/>
      <c r="I135" s="226"/>
    </row>
    <row r="136" spans="2:9" s="46" customFormat="1" x14ac:dyDescent="0.3">
      <c r="B136" s="222"/>
      <c r="C136" s="223"/>
      <c r="D136" s="223"/>
      <c r="E136" s="222"/>
      <c r="F136" s="227"/>
      <c r="G136" s="227"/>
      <c r="H136" s="226"/>
      <c r="I136" s="226"/>
    </row>
    <row r="137" spans="2:9" s="46" customFormat="1" x14ac:dyDescent="0.3">
      <c r="B137" s="222"/>
      <c r="C137" s="223"/>
      <c r="D137" s="223"/>
      <c r="E137" s="222"/>
      <c r="F137" s="227"/>
      <c r="G137" s="227"/>
      <c r="H137" s="226"/>
      <c r="I137" s="226"/>
    </row>
    <row r="138" spans="2:9" s="46" customFormat="1" x14ac:dyDescent="0.3">
      <c r="B138" s="222"/>
      <c r="C138" s="223"/>
      <c r="D138" s="223"/>
      <c r="E138" s="222"/>
      <c r="F138" s="227"/>
      <c r="G138" s="227"/>
      <c r="H138" s="226"/>
      <c r="I138" s="226"/>
    </row>
    <row r="139" spans="2:9" s="46" customFormat="1" x14ac:dyDescent="0.3">
      <c r="B139" s="222"/>
      <c r="C139" s="223"/>
      <c r="D139" s="223"/>
      <c r="E139" s="222"/>
      <c r="F139" s="227"/>
      <c r="G139" s="227"/>
      <c r="H139" s="226"/>
      <c r="I139" s="226"/>
    </row>
    <row r="140" spans="2:9" s="46" customFormat="1" x14ac:dyDescent="0.3">
      <c r="B140" s="222"/>
      <c r="C140" s="223"/>
      <c r="D140" s="223"/>
      <c r="E140" s="222"/>
      <c r="F140" s="227"/>
      <c r="G140" s="227"/>
      <c r="H140" s="226"/>
      <c r="I140" s="226"/>
    </row>
    <row r="141" spans="2:9" s="46" customFormat="1" x14ac:dyDescent="0.3">
      <c r="B141" s="222"/>
      <c r="C141" s="223"/>
      <c r="D141" s="223"/>
      <c r="E141" s="222"/>
      <c r="F141" s="227"/>
      <c r="G141" s="227"/>
      <c r="H141" s="226"/>
      <c r="I141" s="226"/>
    </row>
    <row r="142" spans="2:9" s="46" customFormat="1" x14ac:dyDescent="0.3">
      <c r="B142" s="222"/>
      <c r="C142" s="223"/>
      <c r="D142" s="223"/>
      <c r="E142" s="222"/>
      <c r="F142" s="227"/>
      <c r="G142" s="227"/>
      <c r="H142" s="226"/>
      <c r="I142" s="226"/>
    </row>
    <row r="143" spans="2:9" s="46" customFormat="1" x14ac:dyDescent="0.3">
      <c r="B143" s="222"/>
      <c r="C143" s="223"/>
      <c r="D143" s="223"/>
      <c r="E143" s="222"/>
      <c r="F143" s="227"/>
      <c r="G143" s="227"/>
      <c r="H143" s="226"/>
      <c r="I143" s="226"/>
    </row>
    <row r="144" spans="2:9" s="46" customFormat="1" x14ac:dyDescent="0.3">
      <c r="B144" s="222"/>
      <c r="C144" s="223"/>
      <c r="D144" s="223"/>
      <c r="E144" s="222"/>
      <c r="F144" s="227"/>
      <c r="G144" s="227"/>
      <c r="H144" s="226"/>
      <c r="I144" s="226"/>
    </row>
    <row r="145" spans="2:9" s="46" customFormat="1" x14ac:dyDescent="0.3">
      <c r="B145" s="222"/>
      <c r="C145" s="223"/>
      <c r="D145" s="223"/>
      <c r="E145" s="222"/>
      <c r="F145" s="227"/>
      <c r="G145" s="227"/>
      <c r="H145" s="226"/>
      <c r="I145" s="226"/>
    </row>
    <row r="146" spans="2:9" s="46" customFormat="1" x14ac:dyDescent="0.3">
      <c r="B146" s="222"/>
      <c r="C146" s="223"/>
      <c r="D146" s="223"/>
      <c r="E146" s="222"/>
      <c r="F146" s="227"/>
      <c r="G146" s="227"/>
      <c r="H146" s="226"/>
      <c r="I146" s="226"/>
    </row>
    <row r="147" spans="2:9" s="46" customFormat="1" x14ac:dyDescent="0.3">
      <c r="B147" s="222"/>
      <c r="C147" s="223"/>
      <c r="D147" s="223"/>
      <c r="E147" s="222"/>
      <c r="F147" s="227"/>
      <c r="G147" s="227"/>
      <c r="H147" s="226"/>
      <c r="I147" s="226"/>
    </row>
    <row r="148" spans="2:9" s="46" customFormat="1" x14ac:dyDescent="0.3">
      <c r="B148" s="222"/>
      <c r="C148" s="223"/>
      <c r="D148" s="223"/>
      <c r="E148" s="222"/>
      <c r="F148" s="227"/>
      <c r="G148" s="227"/>
      <c r="H148" s="226"/>
      <c r="I148" s="226"/>
    </row>
    <row r="149" spans="2:9" s="46" customFormat="1" x14ac:dyDescent="0.3">
      <c r="B149" s="222"/>
      <c r="C149" s="223"/>
      <c r="D149" s="223"/>
      <c r="E149" s="222"/>
      <c r="F149" s="227"/>
      <c r="G149" s="227"/>
      <c r="H149" s="226"/>
      <c r="I149" s="226"/>
    </row>
    <row r="150" spans="2:9" s="46" customFormat="1" x14ac:dyDescent="0.3">
      <c r="B150" s="222"/>
      <c r="C150" s="223"/>
      <c r="D150" s="223"/>
      <c r="E150" s="222"/>
      <c r="F150" s="227"/>
      <c r="G150" s="227"/>
      <c r="H150" s="226"/>
      <c r="I150" s="226"/>
    </row>
    <row r="151" spans="2:9" s="46" customFormat="1" x14ac:dyDescent="0.3">
      <c r="B151" s="222"/>
      <c r="C151" s="223"/>
      <c r="D151" s="223"/>
      <c r="E151" s="222"/>
      <c r="F151" s="227"/>
      <c r="G151" s="227"/>
      <c r="H151" s="226"/>
      <c r="I151" s="226"/>
    </row>
    <row r="152" spans="2:9" s="46" customFormat="1" x14ac:dyDescent="0.3">
      <c r="B152" s="222"/>
      <c r="C152" s="223"/>
      <c r="D152" s="223"/>
      <c r="E152" s="222"/>
      <c r="F152" s="227"/>
      <c r="G152" s="227"/>
      <c r="H152" s="226"/>
      <c r="I152" s="226"/>
    </row>
    <row r="153" spans="2:9" s="46" customFormat="1" x14ac:dyDescent="0.3">
      <c r="B153" s="222"/>
      <c r="C153" s="223"/>
      <c r="D153" s="223"/>
      <c r="E153" s="222"/>
      <c r="F153" s="227"/>
      <c r="G153" s="227"/>
      <c r="H153" s="226"/>
      <c r="I153" s="226"/>
    </row>
    <row r="154" spans="2:9" s="46" customFormat="1" x14ac:dyDescent="0.3">
      <c r="B154" s="222"/>
      <c r="C154" s="223"/>
      <c r="D154" s="223"/>
      <c r="E154" s="222"/>
      <c r="F154" s="227"/>
      <c r="G154" s="227"/>
      <c r="H154" s="226"/>
      <c r="I154" s="226"/>
    </row>
    <row r="155" spans="2:9" s="46" customFormat="1" x14ac:dyDescent="0.3">
      <c r="B155" s="222"/>
      <c r="C155" s="223"/>
      <c r="D155" s="223"/>
      <c r="E155" s="222"/>
      <c r="F155" s="227"/>
      <c r="G155" s="227"/>
      <c r="H155" s="226"/>
      <c r="I155" s="226"/>
    </row>
    <row r="156" spans="2:9" s="46" customFormat="1" x14ac:dyDescent="0.3">
      <c r="B156" s="222"/>
      <c r="C156" s="223"/>
      <c r="D156" s="223"/>
      <c r="E156" s="222"/>
      <c r="F156" s="227"/>
      <c r="G156" s="227"/>
      <c r="H156" s="226"/>
      <c r="I156" s="226"/>
    </row>
    <row r="157" spans="2:9" s="46" customFormat="1" x14ac:dyDescent="0.3">
      <c r="B157" s="222"/>
      <c r="C157" s="223"/>
      <c r="D157" s="223"/>
      <c r="E157" s="222"/>
      <c r="F157" s="227"/>
      <c r="G157" s="227"/>
      <c r="H157" s="226"/>
      <c r="I157" s="226"/>
    </row>
    <row r="158" spans="2:9" s="46" customFormat="1" x14ac:dyDescent="0.3">
      <c r="B158" s="222"/>
      <c r="C158" s="223"/>
      <c r="D158" s="223"/>
      <c r="E158" s="222"/>
      <c r="F158" s="227"/>
      <c r="G158" s="227"/>
      <c r="H158" s="226"/>
      <c r="I158" s="226"/>
    </row>
    <row r="159" spans="2:9" s="46" customFormat="1" x14ac:dyDescent="0.3">
      <c r="B159" s="222"/>
      <c r="C159" s="223"/>
      <c r="D159" s="223"/>
      <c r="E159" s="222"/>
      <c r="F159" s="227"/>
      <c r="G159" s="227"/>
      <c r="H159" s="226"/>
      <c r="I159" s="226"/>
    </row>
    <row r="160" spans="2:9" s="46" customFormat="1" x14ac:dyDescent="0.3">
      <c r="B160" s="222"/>
      <c r="C160" s="223"/>
      <c r="D160" s="223"/>
      <c r="E160" s="222"/>
      <c r="F160" s="227"/>
      <c r="G160" s="227"/>
      <c r="H160" s="226"/>
      <c r="I160" s="226"/>
    </row>
    <row r="161" spans="2:9" s="46" customFormat="1" x14ac:dyDescent="0.3">
      <c r="B161" s="222"/>
      <c r="C161" s="223"/>
      <c r="D161" s="223"/>
      <c r="E161" s="222"/>
      <c r="F161" s="227"/>
      <c r="G161" s="227"/>
      <c r="H161" s="226"/>
      <c r="I161" s="226"/>
    </row>
    <row r="162" spans="2:9" s="46" customFormat="1" x14ac:dyDescent="0.3">
      <c r="B162" s="222"/>
      <c r="C162" s="223"/>
      <c r="D162" s="223"/>
      <c r="E162" s="222"/>
      <c r="F162" s="227"/>
      <c r="G162" s="227"/>
      <c r="H162" s="226"/>
      <c r="I162" s="226"/>
    </row>
    <row r="163" spans="2:9" s="46" customFormat="1" x14ac:dyDescent="0.3">
      <c r="B163" s="222"/>
      <c r="C163" s="223"/>
      <c r="D163" s="223"/>
      <c r="E163" s="222"/>
      <c r="F163" s="227"/>
      <c r="G163" s="227"/>
      <c r="H163" s="226"/>
      <c r="I163" s="226"/>
    </row>
    <row r="164" spans="2:9" s="46" customFormat="1" x14ac:dyDescent="0.3">
      <c r="B164" s="222"/>
      <c r="C164" s="223"/>
      <c r="D164" s="223"/>
      <c r="E164" s="222"/>
      <c r="F164" s="227"/>
      <c r="G164" s="227"/>
      <c r="H164" s="226"/>
      <c r="I164" s="226"/>
    </row>
    <row r="165" spans="2:9" s="46" customFormat="1" x14ac:dyDescent="0.3">
      <c r="B165" s="222"/>
      <c r="C165" s="223"/>
      <c r="D165" s="223"/>
      <c r="E165" s="222"/>
      <c r="F165" s="227"/>
      <c r="G165" s="227"/>
      <c r="H165" s="226"/>
      <c r="I165" s="226"/>
    </row>
    <row r="166" spans="2:9" s="46" customFormat="1" x14ac:dyDescent="0.3">
      <c r="B166" s="222"/>
      <c r="C166" s="223"/>
      <c r="D166" s="223"/>
      <c r="E166" s="222"/>
      <c r="F166" s="227"/>
      <c r="G166" s="227"/>
      <c r="H166" s="226"/>
      <c r="I166" s="226"/>
    </row>
    <row r="167" spans="2:9" s="46" customFormat="1" x14ac:dyDescent="0.3">
      <c r="B167" s="222"/>
      <c r="C167" s="223"/>
      <c r="D167" s="223"/>
      <c r="E167" s="222"/>
      <c r="F167" s="227"/>
      <c r="G167" s="227"/>
      <c r="H167" s="226"/>
      <c r="I167" s="226"/>
    </row>
    <row r="168" spans="2:9" s="46" customFormat="1" x14ac:dyDescent="0.3">
      <c r="B168" s="222"/>
      <c r="C168" s="223"/>
      <c r="D168" s="223"/>
      <c r="E168" s="222"/>
      <c r="F168" s="227"/>
      <c r="G168" s="227"/>
      <c r="H168" s="226"/>
      <c r="I168" s="226"/>
    </row>
    <row r="169" spans="2:9" s="46" customFormat="1" x14ac:dyDescent="0.3">
      <c r="B169" s="222"/>
      <c r="C169" s="223"/>
      <c r="D169" s="223"/>
      <c r="E169" s="222"/>
      <c r="F169" s="227"/>
      <c r="G169" s="227"/>
      <c r="H169" s="226"/>
      <c r="I169" s="226"/>
    </row>
    <row r="170" spans="2:9" s="46" customFormat="1" x14ac:dyDescent="0.3">
      <c r="B170" s="222"/>
      <c r="C170" s="223"/>
      <c r="D170" s="223"/>
      <c r="E170" s="222"/>
      <c r="F170" s="227"/>
      <c r="G170" s="227"/>
      <c r="H170" s="226"/>
      <c r="I170" s="226"/>
    </row>
    <row r="171" spans="2:9" s="46" customFormat="1" x14ac:dyDescent="0.3">
      <c r="B171" s="222"/>
      <c r="C171" s="223"/>
      <c r="D171" s="223"/>
      <c r="E171" s="222"/>
      <c r="F171" s="227"/>
      <c r="G171" s="227"/>
      <c r="H171" s="226"/>
      <c r="I171" s="226"/>
    </row>
    <row r="172" spans="2:9" s="46" customFormat="1" x14ac:dyDescent="0.3">
      <c r="B172" s="222"/>
      <c r="C172" s="223"/>
      <c r="D172" s="223"/>
      <c r="E172" s="222"/>
      <c r="F172" s="227"/>
      <c r="G172" s="227"/>
      <c r="H172" s="226"/>
      <c r="I172" s="226"/>
    </row>
    <row r="173" spans="2:9" s="46" customFormat="1" x14ac:dyDescent="0.3">
      <c r="B173" s="222"/>
      <c r="C173" s="223"/>
      <c r="D173" s="223"/>
      <c r="E173" s="222"/>
      <c r="F173" s="227"/>
      <c r="G173" s="227"/>
      <c r="H173" s="226"/>
      <c r="I173" s="226"/>
    </row>
    <row r="174" spans="2:9" s="46" customFormat="1" x14ac:dyDescent="0.3">
      <c r="B174" s="222"/>
      <c r="C174" s="223"/>
      <c r="D174" s="223"/>
      <c r="E174" s="222"/>
      <c r="F174" s="227"/>
      <c r="G174" s="227"/>
      <c r="H174" s="226"/>
      <c r="I174" s="226"/>
    </row>
    <row r="175" spans="2:9" s="46" customFormat="1" x14ac:dyDescent="0.3">
      <c r="B175" s="222"/>
      <c r="C175" s="223"/>
      <c r="D175" s="223"/>
      <c r="E175" s="222"/>
      <c r="F175" s="227"/>
      <c r="G175" s="227"/>
      <c r="H175" s="226"/>
      <c r="I175" s="226"/>
    </row>
    <row r="176" spans="2:9" s="46" customFormat="1" x14ac:dyDescent="0.3">
      <c r="B176" s="222"/>
      <c r="C176" s="223"/>
      <c r="D176" s="223"/>
      <c r="E176" s="222"/>
      <c r="F176" s="227"/>
      <c r="G176" s="227"/>
      <c r="H176" s="226"/>
      <c r="I176" s="226"/>
    </row>
    <row r="177" spans="2:9" s="46" customFormat="1" x14ac:dyDescent="0.3">
      <c r="B177" s="222"/>
      <c r="C177" s="223"/>
      <c r="D177" s="223"/>
      <c r="E177" s="222"/>
      <c r="F177" s="227"/>
      <c r="G177" s="227"/>
      <c r="H177" s="226"/>
      <c r="I177" s="226"/>
    </row>
    <row r="178" spans="2:9" s="46" customFormat="1" x14ac:dyDescent="0.3">
      <c r="B178" s="222"/>
      <c r="C178" s="223"/>
      <c r="D178" s="223"/>
      <c r="E178" s="222"/>
      <c r="F178" s="227"/>
      <c r="G178" s="227"/>
      <c r="H178" s="226"/>
      <c r="I178" s="226"/>
    </row>
    <row r="179" spans="2:9" s="46" customFormat="1" x14ac:dyDescent="0.3">
      <c r="B179" s="222"/>
      <c r="C179" s="223"/>
      <c r="D179" s="223"/>
      <c r="E179" s="222"/>
      <c r="F179" s="227"/>
      <c r="G179" s="227"/>
      <c r="H179" s="226"/>
      <c r="I179" s="226"/>
    </row>
    <row r="180" spans="2:9" s="46" customFormat="1" x14ac:dyDescent="0.3">
      <c r="B180" s="222"/>
      <c r="C180" s="223"/>
      <c r="D180" s="223"/>
      <c r="E180" s="222"/>
      <c r="F180" s="227"/>
      <c r="G180" s="227"/>
      <c r="H180" s="226"/>
      <c r="I180" s="226"/>
    </row>
    <row r="181" spans="2:9" s="46" customFormat="1" x14ac:dyDescent="0.3">
      <c r="B181" s="222"/>
      <c r="C181" s="223"/>
      <c r="D181" s="223"/>
      <c r="E181" s="222"/>
      <c r="F181" s="227"/>
      <c r="G181" s="227"/>
      <c r="H181" s="226"/>
      <c r="I181" s="226"/>
    </row>
    <row r="182" spans="2:9" s="46" customFormat="1" x14ac:dyDescent="0.3">
      <c r="B182" s="222"/>
      <c r="C182" s="223"/>
      <c r="D182" s="223"/>
      <c r="E182" s="222"/>
      <c r="F182" s="227"/>
      <c r="G182" s="227"/>
      <c r="H182" s="226"/>
      <c r="I182" s="226"/>
    </row>
    <row r="183" spans="2:9" s="46" customFormat="1" x14ac:dyDescent="0.3">
      <c r="B183" s="222"/>
      <c r="C183" s="223"/>
      <c r="D183" s="223"/>
      <c r="E183" s="222"/>
      <c r="F183" s="227"/>
      <c r="G183" s="227"/>
      <c r="H183" s="226"/>
      <c r="I183" s="226"/>
    </row>
    <row r="184" spans="2:9" s="46" customFormat="1" x14ac:dyDescent="0.3">
      <c r="B184" s="222"/>
      <c r="C184" s="223"/>
      <c r="D184" s="223"/>
      <c r="E184" s="222"/>
      <c r="F184" s="227"/>
      <c r="G184" s="227"/>
      <c r="H184" s="226"/>
      <c r="I184" s="226"/>
    </row>
    <row r="185" spans="2:9" s="46" customFormat="1" x14ac:dyDescent="0.3">
      <c r="B185" s="222"/>
      <c r="C185" s="223"/>
      <c r="D185" s="223"/>
      <c r="E185" s="222"/>
      <c r="F185" s="227"/>
      <c r="G185" s="227"/>
      <c r="H185" s="226"/>
      <c r="I185" s="226"/>
    </row>
    <row r="186" spans="2:9" s="46" customFormat="1" x14ac:dyDescent="0.3">
      <c r="B186" s="222"/>
      <c r="C186" s="223"/>
      <c r="D186" s="223"/>
      <c r="E186" s="222"/>
      <c r="F186" s="227"/>
      <c r="G186" s="227"/>
      <c r="H186" s="226"/>
      <c r="I186" s="226"/>
    </row>
    <row r="187" spans="2:9" s="46" customFormat="1" x14ac:dyDescent="0.3">
      <c r="B187" s="222"/>
      <c r="C187" s="223"/>
      <c r="D187" s="223"/>
      <c r="E187" s="222"/>
      <c r="F187" s="227"/>
      <c r="G187" s="227"/>
      <c r="H187" s="226"/>
      <c r="I187" s="226"/>
    </row>
    <row r="188" spans="2:9" s="46" customFormat="1" x14ac:dyDescent="0.3">
      <c r="B188" s="222"/>
      <c r="C188" s="223"/>
      <c r="D188" s="223"/>
      <c r="E188" s="222"/>
      <c r="F188" s="227"/>
      <c r="G188" s="227"/>
      <c r="H188" s="226"/>
      <c r="I188" s="226"/>
    </row>
    <row r="189" spans="2:9" s="46" customFormat="1" x14ac:dyDescent="0.3">
      <c r="B189" s="222"/>
      <c r="C189" s="223"/>
      <c r="D189" s="223"/>
      <c r="E189" s="222"/>
      <c r="F189" s="227"/>
      <c r="G189" s="227"/>
      <c r="H189" s="226"/>
      <c r="I189" s="226"/>
    </row>
    <row r="190" spans="2:9" s="46" customFormat="1" x14ac:dyDescent="0.3">
      <c r="B190" s="222"/>
      <c r="C190" s="223"/>
      <c r="D190" s="223"/>
      <c r="E190" s="222"/>
      <c r="F190" s="227"/>
      <c r="G190" s="227"/>
      <c r="H190" s="226"/>
      <c r="I190" s="226"/>
    </row>
    <row r="191" spans="2:9" s="46" customFormat="1" x14ac:dyDescent="0.3">
      <c r="B191" s="222"/>
      <c r="C191" s="223"/>
      <c r="D191" s="223"/>
      <c r="E191" s="222"/>
      <c r="F191" s="227"/>
      <c r="G191" s="227"/>
      <c r="H191" s="226"/>
      <c r="I191" s="226"/>
    </row>
    <row r="192" spans="2:9" s="46" customFormat="1" x14ac:dyDescent="0.3">
      <c r="B192" s="222"/>
      <c r="C192" s="223"/>
      <c r="D192" s="223"/>
      <c r="E192" s="222"/>
      <c r="F192" s="227"/>
      <c r="G192" s="227"/>
      <c r="H192" s="226"/>
      <c r="I192" s="226"/>
    </row>
    <row r="193" spans="2:9" s="46" customFormat="1" x14ac:dyDescent="0.3">
      <c r="B193" s="222"/>
      <c r="C193" s="223"/>
      <c r="D193" s="223"/>
      <c r="E193" s="222"/>
      <c r="F193" s="227"/>
      <c r="G193" s="227"/>
      <c r="H193" s="226"/>
      <c r="I193" s="226"/>
    </row>
    <row r="194" spans="2:9" s="46" customFormat="1" x14ac:dyDescent="0.3">
      <c r="B194" s="222"/>
      <c r="C194" s="223"/>
      <c r="D194" s="223"/>
      <c r="E194" s="222"/>
      <c r="F194" s="227"/>
      <c r="G194" s="227"/>
      <c r="H194" s="226"/>
      <c r="I194" s="226"/>
    </row>
    <row r="195" spans="2:9" s="46" customFormat="1" x14ac:dyDescent="0.3">
      <c r="B195" s="222"/>
      <c r="C195" s="223"/>
      <c r="D195" s="223"/>
      <c r="E195" s="222"/>
      <c r="F195" s="227"/>
      <c r="G195" s="227"/>
      <c r="H195" s="226"/>
      <c r="I195" s="226"/>
    </row>
    <row r="196" spans="2:9" s="46" customFormat="1" x14ac:dyDescent="0.3">
      <c r="B196" s="222"/>
      <c r="C196" s="223"/>
      <c r="D196" s="223"/>
      <c r="E196" s="222"/>
      <c r="F196" s="227"/>
      <c r="G196" s="227"/>
      <c r="H196" s="226"/>
      <c r="I196" s="226"/>
    </row>
    <row r="197" spans="2:9" s="46" customFormat="1" x14ac:dyDescent="0.3">
      <c r="B197" s="222"/>
      <c r="C197" s="223"/>
      <c r="D197" s="223"/>
      <c r="E197" s="222"/>
      <c r="F197" s="227"/>
      <c r="G197" s="227"/>
      <c r="H197" s="226"/>
      <c r="I197" s="226"/>
    </row>
    <row r="198" spans="2:9" s="46" customFormat="1" x14ac:dyDescent="0.3">
      <c r="B198" s="222"/>
      <c r="C198" s="223"/>
      <c r="D198" s="223"/>
      <c r="E198" s="222"/>
      <c r="F198" s="227"/>
      <c r="G198" s="227"/>
      <c r="H198" s="226"/>
      <c r="I198" s="226"/>
    </row>
    <row r="199" spans="2:9" s="46" customFormat="1" x14ac:dyDescent="0.3">
      <c r="B199" s="222"/>
      <c r="C199" s="223"/>
      <c r="D199" s="223"/>
      <c r="E199" s="222"/>
      <c r="F199" s="227"/>
      <c r="G199" s="227"/>
      <c r="H199" s="226"/>
      <c r="I199" s="226"/>
    </row>
    <row r="200" spans="2:9" s="46" customFormat="1" x14ac:dyDescent="0.3">
      <c r="B200" s="222"/>
      <c r="C200" s="223"/>
      <c r="D200" s="223"/>
      <c r="E200" s="222"/>
      <c r="F200" s="227"/>
      <c r="G200" s="227"/>
      <c r="H200" s="226"/>
      <c r="I200" s="226"/>
    </row>
    <row r="201" spans="2:9" s="46" customFormat="1" x14ac:dyDescent="0.3">
      <c r="B201" s="222"/>
      <c r="C201" s="223"/>
      <c r="D201" s="223"/>
      <c r="E201" s="222"/>
      <c r="F201" s="227"/>
      <c r="G201" s="227"/>
      <c r="H201" s="226"/>
      <c r="I201" s="226"/>
    </row>
    <row r="202" spans="2:9" s="46" customFormat="1" x14ac:dyDescent="0.3">
      <c r="B202" s="222"/>
      <c r="C202" s="223"/>
      <c r="D202" s="223"/>
      <c r="E202" s="222"/>
      <c r="F202" s="227"/>
      <c r="G202" s="227"/>
      <c r="H202" s="226"/>
      <c r="I202" s="226"/>
    </row>
    <row r="203" spans="2:9" s="46" customFormat="1" x14ac:dyDescent="0.3">
      <c r="B203" s="222"/>
      <c r="C203" s="223"/>
      <c r="D203" s="223"/>
      <c r="E203" s="222"/>
      <c r="F203" s="227"/>
      <c r="G203" s="227"/>
      <c r="H203" s="226"/>
      <c r="I203" s="226"/>
    </row>
    <row r="204" spans="2:9" s="46" customFormat="1" x14ac:dyDescent="0.3">
      <c r="B204" s="222"/>
      <c r="C204" s="223"/>
      <c r="D204" s="223"/>
      <c r="E204" s="222"/>
      <c r="F204" s="227"/>
      <c r="G204" s="227"/>
      <c r="H204" s="226"/>
      <c r="I204" s="226"/>
    </row>
    <row r="205" spans="2:9" s="46" customFormat="1" x14ac:dyDescent="0.3">
      <c r="B205" s="222"/>
      <c r="C205" s="223"/>
      <c r="D205" s="223"/>
      <c r="E205" s="222"/>
      <c r="F205" s="227"/>
      <c r="G205" s="227"/>
      <c r="H205" s="226"/>
      <c r="I205" s="226"/>
    </row>
    <row r="206" spans="2:9" s="46" customFormat="1" x14ac:dyDescent="0.3">
      <c r="B206" s="222"/>
      <c r="C206" s="223"/>
      <c r="D206" s="223"/>
      <c r="E206" s="222"/>
      <c r="F206" s="227"/>
      <c r="G206" s="227"/>
      <c r="H206" s="226"/>
      <c r="I206" s="226"/>
    </row>
    <row r="207" spans="2:9" s="46" customFormat="1" x14ac:dyDescent="0.3">
      <c r="B207" s="222"/>
      <c r="C207" s="223"/>
      <c r="D207" s="223"/>
      <c r="E207" s="222"/>
      <c r="F207" s="227"/>
      <c r="G207" s="227"/>
      <c r="H207" s="226"/>
      <c r="I207" s="226"/>
    </row>
    <row r="208" spans="2:9" s="46" customFormat="1" x14ac:dyDescent="0.3">
      <c r="B208" s="222"/>
      <c r="C208" s="223"/>
      <c r="D208" s="223"/>
      <c r="E208" s="222"/>
      <c r="F208" s="227"/>
      <c r="G208" s="227"/>
      <c r="H208" s="226"/>
      <c r="I208" s="226"/>
    </row>
    <row r="209" spans="2:9" s="46" customFormat="1" x14ac:dyDescent="0.3">
      <c r="B209" s="222"/>
      <c r="C209" s="223"/>
      <c r="D209" s="223"/>
      <c r="E209" s="222"/>
      <c r="F209" s="227"/>
      <c r="G209" s="227"/>
      <c r="H209" s="226"/>
      <c r="I209" s="226"/>
    </row>
    <row r="210" spans="2:9" s="46" customFormat="1" x14ac:dyDescent="0.3">
      <c r="B210" s="222"/>
      <c r="C210" s="223"/>
      <c r="D210" s="223"/>
      <c r="E210" s="222"/>
      <c r="F210" s="227"/>
      <c r="G210" s="227"/>
      <c r="H210" s="226"/>
      <c r="I210" s="226"/>
    </row>
    <row r="211" spans="2:9" s="46" customFormat="1" x14ac:dyDescent="0.3">
      <c r="B211" s="222"/>
      <c r="C211" s="223"/>
      <c r="D211" s="223"/>
      <c r="E211" s="222"/>
      <c r="F211" s="227"/>
      <c r="G211" s="227"/>
      <c r="H211" s="226"/>
      <c r="I211" s="226"/>
    </row>
    <row r="212" spans="2:9" s="46" customFormat="1" x14ac:dyDescent="0.3">
      <c r="B212" s="222"/>
      <c r="C212" s="223"/>
      <c r="D212" s="223"/>
      <c r="E212" s="222"/>
      <c r="F212" s="227"/>
      <c r="G212" s="227"/>
      <c r="H212" s="226"/>
      <c r="I212" s="226"/>
    </row>
    <row r="213" spans="2:9" s="46" customFormat="1" x14ac:dyDescent="0.3">
      <c r="B213" s="222"/>
      <c r="C213" s="223"/>
      <c r="D213" s="223"/>
      <c r="E213" s="222"/>
      <c r="F213" s="227"/>
      <c r="G213" s="227"/>
      <c r="H213" s="226"/>
      <c r="I213" s="226"/>
    </row>
    <row r="214" spans="2:9" s="46" customFormat="1" x14ac:dyDescent="0.3">
      <c r="B214" s="222"/>
      <c r="C214" s="223"/>
      <c r="D214" s="223"/>
      <c r="E214" s="222"/>
      <c r="F214" s="227"/>
      <c r="G214" s="227"/>
      <c r="H214" s="226"/>
      <c r="I214" s="226"/>
    </row>
    <row r="215" spans="2:9" s="46" customFormat="1" x14ac:dyDescent="0.3">
      <c r="B215" s="222"/>
      <c r="C215" s="223"/>
      <c r="D215" s="223"/>
      <c r="E215" s="222"/>
      <c r="F215" s="227"/>
      <c r="G215" s="227"/>
      <c r="H215" s="226"/>
      <c r="I215" s="226"/>
    </row>
    <row r="216" spans="2:9" s="46" customFormat="1" x14ac:dyDescent="0.3">
      <c r="B216" s="222"/>
      <c r="C216" s="223"/>
      <c r="D216" s="223"/>
      <c r="E216" s="222"/>
      <c r="F216" s="227"/>
      <c r="G216" s="227"/>
      <c r="H216" s="226"/>
      <c r="I216" s="226"/>
    </row>
    <row r="217" spans="2:9" s="46" customFormat="1" x14ac:dyDescent="0.3">
      <c r="B217" s="222"/>
      <c r="C217" s="223"/>
      <c r="D217" s="223"/>
      <c r="E217" s="222"/>
      <c r="F217" s="227"/>
      <c r="G217" s="227"/>
      <c r="H217" s="226"/>
      <c r="I217" s="226"/>
    </row>
    <row r="218" spans="2:9" s="46" customFormat="1" x14ac:dyDescent="0.3">
      <c r="B218" s="222"/>
      <c r="C218" s="223"/>
      <c r="D218" s="223"/>
      <c r="E218" s="222"/>
      <c r="F218" s="227"/>
      <c r="G218" s="227"/>
      <c r="H218" s="226"/>
      <c r="I218" s="226"/>
    </row>
    <row r="219" spans="2:9" s="46" customFormat="1" x14ac:dyDescent="0.3">
      <c r="B219" s="222"/>
      <c r="C219" s="223"/>
      <c r="D219" s="223"/>
      <c r="E219" s="222"/>
      <c r="F219" s="227"/>
      <c r="G219" s="227"/>
      <c r="H219" s="226"/>
      <c r="I219" s="226"/>
    </row>
    <row r="220" spans="2:9" s="46" customFormat="1" x14ac:dyDescent="0.3">
      <c r="B220" s="222"/>
      <c r="C220" s="223"/>
      <c r="D220" s="223"/>
      <c r="E220" s="222"/>
      <c r="F220" s="227"/>
      <c r="G220" s="227"/>
      <c r="H220" s="226"/>
      <c r="I220" s="226"/>
    </row>
    <row r="221" spans="2:9" s="46" customFormat="1" x14ac:dyDescent="0.3">
      <c r="B221" s="222"/>
      <c r="C221" s="223"/>
      <c r="D221" s="223"/>
      <c r="E221" s="222"/>
      <c r="F221" s="227"/>
      <c r="G221" s="227"/>
      <c r="H221" s="226"/>
      <c r="I221" s="226"/>
    </row>
    <row r="222" spans="2:9" s="46" customFormat="1" x14ac:dyDescent="0.3">
      <c r="B222" s="222"/>
      <c r="C222" s="223"/>
      <c r="D222" s="223"/>
      <c r="E222" s="222"/>
      <c r="F222" s="227"/>
      <c r="G222" s="227"/>
      <c r="H222" s="226"/>
      <c r="I222" s="226"/>
    </row>
    <row r="223" spans="2:9" s="46" customFormat="1" x14ac:dyDescent="0.3">
      <c r="B223" s="222"/>
      <c r="C223" s="223"/>
      <c r="D223" s="223"/>
      <c r="E223" s="222"/>
      <c r="F223" s="227"/>
      <c r="G223" s="227"/>
      <c r="H223" s="226"/>
      <c r="I223" s="226"/>
    </row>
    <row r="224" spans="2:9" s="46" customFormat="1" x14ac:dyDescent="0.3">
      <c r="B224" s="222"/>
      <c r="C224" s="223"/>
      <c r="D224" s="223"/>
      <c r="E224" s="222"/>
      <c r="F224" s="227"/>
      <c r="G224" s="227"/>
      <c r="H224" s="226"/>
      <c r="I224" s="226"/>
    </row>
    <row r="225" spans="2:9" s="46" customFormat="1" x14ac:dyDescent="0.3">
      <c r="B225" s="222"/>
      <c r="C225" s="223"/>
      <c r="D225" s="223"/>
      <c r="E225" s="222"/>
      <c r="F225" s="227"/>
      <c r="G225" s="227"/>
      <c r="H225" s="226"/>
      <c r="I225" s="226"/>
    </row>
    <row r="226" spans="2:9" s="46" customFormat="1" x14ac:dyDescent="0.3">
      <c r="B226" s="222"/>
      <c r="C226" s="223"/>
      <c r="D226" s="223"/>
      <c r="E226" s="222"/>
      <c r="F226" s="227"/>
      <c r="G226" s="227"/>
      <c r="H226" s="226"/>
      <c r="I226" s="226"/>
    </row>
    <row r="227" spans="2:9" s="46" customFormat="1" x14ac:dyDescent="0.3">
      <c r="B227" s="222"/>
      <c r="C227" s="223"/>
      <c r="D227" s="223"/>
      <c r="E227" s="222"/>
      <c r="F227" s="227"/>
      <c r="G227" s="227"/>
      <c r="H227" s="226"/>
      <c r="I227" s="226"/>
    </row>
    <row r="228" spans="2:9" s="46" customFormat="1" x14ac:dyDescent="0.3">
      <c r="B228" s="222"/>
      <c r="C228" s="223"/>
      <c r="D228" s="223"/>
      <c r="E228" s="222"/>
      <c r="F228" s="227"/>
      <c r="G228" s="227"/>
      <c r="H228" s="226"/>
      <c r="I228" s="226"/>
    </row>
    <row r="229" spans="2:9" s="46" customFormat="1" x14ac:dyDescent="0.3">
      <c r="B229" s="222"/>
      <c r="C229" s="223"/>
      <c r="D229" s="223"/>
      <c r="E229" s="222"/>
      <c r="F229" s="227"/>
      <c r="G229" s="227"/>
      <c r="H229" s="226"/>
      <c r="I229" s="226"/>
    </row>
    <row r="230" spans="2:9" s="46" customFormat="1" x14ac:dyDescent="0.3">
      <c r="B230" s="222"/>
      <c r="C230" s="223"/>
      <c r="D230" s="223"/>
      <c r="E230" s="222"/>
      <c r="F230" s="227"/>
      <c r="G230" s="227"/>
      <c r="H230" s="226"/>
      <c r="I230" s="226"/>
    </row>
    <row r="231" spans="2:9" s="46" customFormat="1" x14ac:dyDescent="0.3">
      <c r="B231" s="222"/>
      <c r="C231" s="223"/>
      <c r="D231" s="223"/>
      <c r="E231" s="222"/>
      <c r="F231" s="227"/>
      <c r="G231" s="227"/>
      <c r="H231" s="226"/>
      <c r="I231" s="226"/>
    </row>
    <row r="232" spans="2:9" s="46" customFormat="1" x14ac:dyDescent="0.3">
      <c r="B232" s="222"/>
      <c r="C232" s="223"/>
      <c r="D232" s="223"/>
      <c r="E232" s="222"/>
      <c r="F232" s="227"/>
      <c r="G232" s="227"/>
      <c r="H232" s="226"/>
      <c r="I232" s="226"/>
    </row>
    <row r="233" spans="2:9" s="46" customFormat="1" x14ac:dyDescent="0.3">
      <c r="B233" s="222"/>
      <c r="C233" s="223"/>
      <c r="D233" s="223"/>
      <c r="E233" s="222"/>
      <c r="F233" s="227"/>
      <c r="G233" s="227"/>
      <c r="H233" s="226"/>
      <c r="I233" s="226"/>
    </row>
    <row r="234" spans="2:9" s="46" customFormat="1" x14ac:dyDescent="0.3">
      <c r="B234" s="222"/>
      <c r="C234" s="223"/>
      <c r="D234" s="223"/>
      <c r="E234" s="222"/>
      <c r="F234" s="227"/>
      <c r="G234" s="227"/>
      <c r="H234" s="226"/>
      <c r="I234" s="226"/>
    </row>
    <row r="235" spans="2:9" s="46" customFormat="1" x14ac:dyDescent="0.3">
      <c r="B235" s="222"/>
      <c r="C235" s="223"/>
      <c r="D235" s="223"/>
      <c r="E235" s="222"/>
      <c r="F235" s="227"/>
      <c r="G235" s="227"/>
      <c r="H235" s="226"/>
      <c r="I235" s="226"/>
    </row>
    <row r="236" spans="2:9" s="46" customFormat="1" x14ac:dyDescent="0.3">
      <c r="B236" s="222"/>
      <c r="C236" s="223"/>
      <c r="D236" s="223"/>
      <c r="E236" s="222"/>
      <c r="F236" s="227"/>
      <c r="G236" s="227"/>
      <c r="H236" s="226"/>
      <c r="I236" s="226"/>
    </row>
    <row r="237" spans="2:9" s="46" customFormat="1" x14ac:dyDescent="0.3">
      <c r="B237" s="222"/>
      <c r="C237" s="223"/>
      <c r="D237" s="223"/>
      <c r="E237" s="222"/>
      <c r="F237" s="227"/>
      <c r="G237" s="227"/>
      <c r="H237" s="226"/>
      <c r="I237" s="226"/>
    </row>
    <row r="238" spans="2:9" s="46" customFormat="1" x14ac:dyDescent="0.3">
      <c r="B238" s="222"/>
      <c r="C238" s="223"/>
      <c r="D238" s="223"/>
      <c r="E238" s="222"/>
      <c r="F238" s="227"/>
      <c r="G238" s="227"/>
      <c r="H238" s="226"/>
      <c r="I238" s="226"/>
    </row>
    <row r="239" spans="2:9" s="46" customFormat="1" x14ac:dyDescent="0.3">
      <c r="B239" s="222"/>
      <c r="C239" s="223"/>
      <c r="D239" s="223"/>
      <c r="E239" s="222"/>
      <c r="F239" s="227"/>
      <c r="G239" s="227"/>
      <c r="H239" s="226"/>
      <c r="I239" s="226"/>
    </row>
    <row r="240" spans="2:9" s="46" customFormat="1" x14ac:dyDescent="0.3">
      <c r="B240" s="222"/>
      <c r="C240" s="223"/>
      <c r="D240" s="223"/>
      <c r="E240" s="222"/>
      <c r="F240" s="227"/>
      <c r="G240" s="227"/>
      <c r="H240" s="226"/>
      <c r="I240" s="226"/>
    </row>
    <row r="241" spans="2:9" s="46" customFormat="1" x14ac:dyDescent="0.3">
      <c r="B241" s="222"/>
      <c r="C241" s="223"/>
      <c r="D241" s="223"/>
      <c r="E241" s="222"/>
      <c r="F241" s="227"/>
      <c r="G241" s="227"/>
      <c r="H241" s="226"/>
      <c r="I241" s="226"/>
    </row>
    <row r="242" spans="2:9" s="46" customFormat="1" x14ac:dyDescent="0.3">
      <c r="B242" s="222"/>
      <c r="C242" s="223"/>
      <c r="D242" s="223"/>
      <c r="E242" s="222"/>
      <c r="F242" s="227"/>
      <c r="G242" s="227"/>
      <c r="H242" s="226"/>
      <c r="I242" s="226"/>
    </row>
    <row r="243" spans="2:9" s="46" customFormat="1" x14ac:dyDescent="0.3">
      <c r="B243" s="222"/>
      <c r="C243" s="223"/>
      <c r="D243" s="223"/>
      <c r="E243" s="222"/>
      <c r="F243" s="227"/>
      <c r="G243" s="227"/>
      <c r="H243" s="226"/>
      <c r="I243" s="226"/>
    </row>
    <row r="244" spans="2:9" s="46" customFormat="1" x14ac:dyDescent="0.3">
      <c r="B244" s="222"/>
      <c r="C244" s="223"/>
      <c r="D244" s="223"/>
      <c r="E244" s="222"/>
      <c r="F244" s="227"/>
      <c r="G244" s="227"/>
      <c r="H244" s="226"/>
      <c r="I244" s="226"/>
    </row>
    <row r="245" spans="2:9" s="46" customFormat="1" x14ac:dyDescent="0.3">
      <c r="B245" s="222"/>
      <c r="C245" s="223"/>
      <c r="D245" s="223"/>
      <c r="E245" s="222"/>
      <c r="F245" s="227"/>
      <c r="G245" s="227"/>
      <c r="H245" s="226"/>
      <c r="I245" s="226"/>
    </row>
    <row r="246" spans="2:9" s="46" customFormat="1" x14ac:dyDescent="0.3">
      <c r="B246" s="222"/>
      <c r="C246" s="223"/>
      <c r="D246" s="223"/>
      <c r="E246" s="222"/>
      <c r="F246" s="227"/>
      <c r="G246" s="227"/>
      <c r="H246" s="226"/>
      <c r="I246" s="226"/>
    </row>
    <row r="247" spans="2:9" s="46" customFormat="1" x14ac:dyDescent="0.3">
      <c r="B247" s="222"/>
      <c r="C247" s="223"/>
      <c r="D247" s="223"/>
      <c r="E247" s="222"/>
      <c r="F247" s="227"/>
      <c r="G247" s="227"/>
      <c r="H247" s="226"/>
      <c r="I247" s="226"/>
    </row>
    <row r="248" spans="2:9" s="46" customFormat="1" x14ac:dyDescent="0.3">
      <c r="B248" s="222"/>
      <c r="C248" s="223"/>
      <c r="D248" s="223"/>
      <c r="E248" s="222"/>
      <c r="F248" s="227"/>
      <c r="G248" s="227"/>
      <c r="H248" s="226"/>
      <c r="I248" s="226"/>
    </row>
    <row r="249" spans="2:9" s="46" customFormat="1" x14ac:dyDescent="0.3">
      <c r="B249" s="222"/>
      <c r="C249" s="223"/>
      <c r="D249" s="223"/>
      <c r="E249" s="222"/>
      <c r="F249" s="227"/>
      <c r="G249" s="227"/>
      <c r="H249" s="226"/>
      <c r="I249" s="226"/>
    </row>
    <row r="250" spans="2:9" s="46" customFormat="1" x14ac:dyDescent="0.3">
      <c r="B250" s="222"/>
      <c r="C250" s="223"/>
      <c r="D250" s="223"/>
      <c r="E250" s="222"/>
      <c r="F250" s="227"/>
      <c r="G250" s="227"/>
      <c r="H250" s="226"/>
      <c r="I250" s="226"/>
    </row>
    <row r="251" spans="2:9" s="46" customFormat="1" x14ac:dyDescent="0.3">
      <c r="B251" s="222"/>
      <c r="C251" s="223"/>
      <c r="D251" s="223"/>
      <c r="E251" s="222"/>
      <c r="F251" s="227"/>
      <c r="G251" s="227"/>
      <c r="H251" s="226"/>
      <c r="I251" s="226"/>
    </row>
    <row r="252" spans="2:9" s="46" customFormat="1" x14ac:dyDescent="0.3">
      <c r="B252" s="222"/>
      <c r="C252" s="223"/>
      <c r="D252" s="223"/>
      <c r="E252" s="222"/>
      <c r="F252" s="227"/>
      <c r="G252" s="227"/>
      <c r="H252" s="226"/>
      <c r="I252" s="226"/>
    </row>
    <row r="253" spans="2:9" s="46" customFormat="1" x14ac:dyDescent="0.3">
      <c r="B253" s="222"/>
      <c r="C253" s="223"/>
      <c r="D253" s="223"/>
      <c r="E253" s="222"/>
      <c r="F253" s="227"/>
      <c r="G253" s="227"/>
      <c r="H253" s="226"/>
      <c r="I253" s="226"/>
    </row>
    <row r="254" spans="2:9" s="46" customFormat="1" x14ac:dyDescent="0.3">
      <c r="B254" s="222"/>
      <c r="C254" s="223"/>
      <c r="D254" s="223"/>
      <c r="E254" s="222"/>
      <c r="F254" s="227"/>
      <c r="G254" s="227"/>
      <c r="H254" s="226"/>
      <c r="I254" s="226"/>
    </row>
    <row r="255" spans="2:9" s="46" customFormat="1" x14ac:dyDescent="0.3">
      <c r="B255" s="222"/>
      <c r="C255" s="223"/>
      <c r="D255" s="223"/>
      <c r="E255" s="222"/>
      <c r="F255" s="227"/>
      <c r="G255" s="227"/>
      <c r="H255" s="226"/>
      <c r="I255" s="226"/>
    </row>
    <row r="256" spans="2:9" s="46" customFormat="1" x14ac:dyDescent="0.3">
      <c r="B256" s="222"/>
      <c r="C256" s="223"/>
      <c r="D256" s="223"/>
      <c r="E256" s="222"/>
      <c r="F256" s="227"/>
      <c r="G256" s="227"/>
      <c r="H256" s="226"/>
      <c r="I256" s="226"/>
    </row>
    <row r="257" spans="2:9" s="46" customFormat="1" x14ac:dyDescent="0.3">
      <c r="B257" s="222"/>
      <c r="C257" s="223"/>
      <c r="D257" s="223"/>
      <c r="E257" s="222"/>
      <c r="F257" s="227"/>
      <c r="G257" s="227"/>
      <c r="H257" s="226"/>
      <c r="I257" s="226"/>
    </row>
    <row r="258" spans="2:9" s="46" customFormat="1" x14ac:dyDescent="0.3">
      <c r="B258" s="222"/>
      <c r="C258" s="223"/>
      <c r="D258" s="223"/>
      <c r="E258" s="222"/>
      <c r="F258" s="227"/>
      <c r="G258" s="227"/>
      <c r="H258" s="226"/>
      <c r="I258" s="226"/>
    </row>
    <row r="259" spans="2:9" s="46" customFormat="1" x14ac:dyDescent="0.3">
      <c r="B259" s="222"/>
      <c r="C259" s="223"/>
      <c r="D259" s="223"/>
      <c r="E259" s="222"/>
      <c r="F259" s="227"/>
      <c r="G259" s="227"/>
      <c r="H259" s="226"/>
      <c r="I259" s="226"/>
    </row>
    <row r="260" spans="2:9" s="46" customFormat="1" x14ac:dyDescent="0.3">
      <c r="B260" s="222"/>
      <c r="C260" s="223"/>
      <c r="D260" s="223"/>
      <c r="E260" s="222"/>
      <c r="F260" s="227"/>
      <c r="G260" s="227"/>
      <c r="H260" s="226"/>
      <c r="I260" s="226"/>
    </row>
    <row r="261" spans="2:9" s="46" customFormat="1" x14ac:dyDescent="0.3">
      <c r="B261" s="222"/>
      <c r="C261" s="223"/>
      <c r="D261" s="223"/>
      <c r="E261" s="222"/>
      <c r="F261" s="227"/>
      <c r="G261" s="227"/>
      <c r="H261" s="226"/>
      <c r="I261" s="226"/>
    </row>
    <row r="262" spans="2:9" s="46" customFormat="1" x14ac:dyDescent="0.3">
      <c r="B262" s="222"/>
      <c r="C262" s="223"/>
      <c r="D262" s="223"/>
      <c r="E262" s="222"/>
      <c r="F262" s="227"/>
      <c r="G262" s="227"/>
      <c r="H262" s="226"/>
      <c r="I262" s="226"/>
    </row>
    <row r="263" spans="2:9" s="46" customFormat="1" x14ac:dyDescent="0.3">
      <c r="B263" s="222"/>
      <c r="C263" s="223"/>
      <c r="D263" s="223"/>
      <c r="E263" s="222"/>
      <c r="F263" s="227"/>
      <c r="G263" s="227"/>
      <c r="H263" s="226"/>
      <c r="I263" s="226"/>
    </row>
    <row r="264" spans="2:9" s="46" customFormat="1" x14ac:dyDescent="0.3">
      <c r="B264" s="222"/>
      <c r="C264" s="223"/>
      <c r="D264" s="223"/>
      <c r="E264" s="222"/>
      <c r="F264" s="227"/>
      <c r="G264" s="227"/>
      <c r="H264" s="226"/>
      <c r="I264" s="226"/>
    </row>
    <row r="265" spans="2:9" s="46" customFormat="1" x14ac:dyDescent="0.3">
      <c r="B265" s="222"/>
      <c r="C265" s="223"/>
      <c r="D265" s="223"/>
      <c r="E265" s="222"/>
      <c r="F265" s="227"/>
      <c r="G265" s="227"/>
      <c r="H265" s="226"/>
      <c r="I265" s="226"/>
    </row>
    <row r="266" spans="2:9" s="46" customFormat="1" x14ac:dyDescent="0.3">
      <c r="B266" s="222"/>
      <c r="C266" s="223"/>
      <c r="D266" s="223"/>
      <c r="E266" s="222"/>
      <c r="F266" s="227"/>
      <c r="G266" s="227"/>
      <c r="H266" s="226"/>
      <c r="I266" s="226"/>
    </row>
    <row r="267" spans="2:9" s="46" customFormat="1" x14ac:dyDescent="0.3">
      <c r="B267" s="222"/>
      <c r="C267" s="223"/>
      <c r="D267" s="223"/>
      <c r="E267" s="222"/>
      <c r="F267" s="227"/>
      <c r="G267" s="227"/>
      <c r="H267" s="226"/>
      <c r="I267" s="226"/>
    </row>
    <row r="268" spans="2:9" s="46" customFormat="1" x14ac:dyDescent="0.3">
      <c r="B268" s="222"/>
      <c r="C268" s="223"/>
      <c r="D268" s="223"/>
      <c r="E268" s="222"/>
      <c r="F268" s="227"/>
      <c r="G268" s="227"/>
      <c r="H268" s="226"/>
      <c r="I268" s="226"/>
    </row>
    <row r="269" spans="2:9" s="46" customFormat="1" x14ac:dyDescent="0.3">
      <c r="B269" s="222"/>
      <c r="C269" s="223"/>
      <c r="D269" s="223"/>
      <c r="E269" s="222"/>
      <c r="F269" s="227"/>
      <c r="G269" s="227"/>
      <c r="H269" s="226"/>
      <c r="I269" s="226"/>
    </row>
    <row r="270" spans="2:9" s="46" customFormat="1" x14ac:dyDescent="0.3">
      <c r="B270" s="222"/>
      <c r="C270" s="223"/>
      <c r="D270" s="223"/>
      <c r="E270" s="222"/>
      <c r="F270" s="227"/>
      <c r="G270" s="227"/>
      <c r="H270" s="226"/>
      <c r="I270" s="226"/>
    </row>
    <row r="271" spans="2:9" s="46" customFormat="1" x14ac:dyDescent="0.3">
      <c r="B271" s="222"/>
      <c r="C271" s="223"/>
      <c r="D271" s="223"/>
      <c r="E271" s="222"/>
      <c r="F271" s="227"/>
      <c r="G271" s="227"/>
      <c r="H271" s="226"/>
      <c r="I271" s="226"/>
    </row>
    <row r="272" spans="2:9" s="46" customFormat="1" x14ac:dyDescent="0.3">
      <c r="B272" s="222"/>
      <c r="C272" s="223"/>
      <c r="D272" s="223"/>
      <c r="E272" s="222"/>
      <c r="F272" s="227"/>
      <c r="G272" s="227"/>
      <c r="H272" s="226"/>
      <c r="I272" s="226"/>
    </row>
    <row r="273" spans="2:9" s="46" customFormat="1" x14ac:dyDescent="0.3">
      <c r="B273" s="222"/>
      <c r="C273" s="223"/>
      <c r="D273" s="223"/>
      <c r="E273" s="222"/>
      <c r="F273" s="227"/>
      <c r="G273" s="227"/>
      <c r="H273" s="226"/>
      <c r="I273" s="226"/>
    </row>
    <row r="274" spans="2:9" s="46" customFormat="1" x14ac:dyDescent="0.3">
      <c r="B274" s="222"/>
      <c r="C274" s="223"/>
      <c r="D274" s="223"/>
      <c r="E274" s="222"/>
      <c r="F274" s="227"/>
      <c r="G274" s="227"/>
      <c r="H274" s="226"/>
      <c r="I274" s="226"/>
    </row>
    <row r="275" spans="2:9" s="46" customFormat="1" x14ac:dyDescent="0.3">
      <c r="B275" s="222"/>
      <c r="C275" s="223"/>
      <c r="D275" s="223"/>
      <c r="E275" s="222"/>
      <c r="F275" s="227"/>
      <c r="G275" s="227"/>
      <c r="H275" s="226"/>
      <c r="I275" s="226"/>
    </row>
    <row r="276" spans="2:9" s="46" customFormat="1" x14ac:dyDescent="0.3">
      <c r="B276" s="222"/>
      <c r="C276" s="223"/>
      <c r="D276" s="223"/>
      <c r="E276" s="222"/>
      <c r="F276" s="227"/>
      <c r="G276" s="227"/>
      <c r="H276" s="226"/>
      <c r="I276" s="226"/>
    </row>
    <row r="277" spans="2:9" s="46" customFormat="1" x14ac:dyDescent="0.3">
      <c r="B277" s="222"/>
      <c r="C277" s="223"/>
      <c r="D277" s="223"/>
      <c r="E277" s="222"/>
      <c r="F277" s="227"/>
      <c r="G277" s="227"/>
      <c r="H277" s="226"/>
      <c r="I277" s="226"/>
    </row>
    <row r="278" spans="2:9" s="46" customFormat="1" x14ac:dyDescent="0.3">
      <c r="B278" s="222"/>
      <c r="C278" s="223"/>
      <c r="D278" s="223"/>
      <c r="E278" s="222"/>
      <c r="F278" s="227"/>
      <c r="G278" s="227"/>
      <c r="H278" s="226"/>
      <c r="I278" s="226"/>
    </row>
    <row r="279" spans="2:9" s="46" customFormat="1" x14ac:dyDescent="0.3">
      <c r="B279" s="222"/>
      <c r="C279" s="223"/>
      <c r="D279" s="223"/>
      <c r="E279" s="222"/>
      <c r="F279" s="227"/>
      <c r="G279" s="227"/>
      <c r="H279" s="226"/>
      <c r="I279" s="226"/>
    </row>
    <row r="280" spans="2:9" s="46" customFormat="1" x14ac:dyDescent="0.3">
      <c r="B280" s="222"/>
      <c r="C280" s="223"/>
      <c r="D280" s="223"/>
      <c r="E280" s="222"/>
      <c r="F280" s="227"/>
      <c r="G280" s="227"/>
      <c r="H280" s="226"/>
      <c r="I280" s="226"/>
    </row>
    <row r="281" spans="2:9" s="46" customFormat="1" x14ac:dyDescent="0.3">
      <c r="B281" s="222"/>
      <c r="C281" s="223"/>
      <c r="D281" s="223"/>
      <c r="E281" s="222"/>
      <c r="F281" s="227"/>
      <c r="G281" s="227"/>
      <c r="H281" s="226"/>
      <c r="I281" s="226"/>
    </row>
    <row r="282" spans="2:9" s="46" customFormat="1" x14ac:dyDescent="0.3">
      <c r="B282" s="222"/>
      <c r="C282" s="223"/>
      <c r="D282" s="223"/>
      <c r="E282" s="222"/>
      <c r="F282" s="227"/>
      <c r="G282" s="227"/>
      <c r="H282" s="226"/>
      <c r="I282" s="226"/>
    </row>
    <row r="283" spans="2:9" s="46" customFormat="1" x14ac:dyDescent="0.3">
      <c r="B283" s="222"/>
      <c r="C283" s="223"/>
      <c r="D283" s="223"/>
      <c r="E283" s="222"/>
      <c r="F283" s="227"/>
      <c r="G283" s="227"/>
      <c r="H283" s="226"/>
      <c r="I283" s="226"/>
    </row>
    <row r="284" spans="2:9" s="46" customFormat="1" x14ac:dyDescent="0.3">
      <c r="B284" s="222"/>
      <c r="C284" s="223"/>
      <c r="D284" s="223"/>
      <c r="E284" s="222"/>
      <c r="F284" s="227"/>
      <c r="G284" s="227"/>
      <c r="H284" s="226"/>
      <c r="I284" s="226"/>
    </row>
    <row r="285" spans="2:9" s="46" customFormat="1" x14ac:dyDescent="0.3">
      <c r="B285" s="222"/>
      <c r="C285" s="223"/>
      <c r="D285" s="223"/>
      <c r="E285" s="222"/>
      <c r="F285" s="227"/>
      <c r="G285" s="227"/>
      <c r="H285" s="226"/>
      <c r="I285" s="226"/>
    </row>
    <row r="286" spans="2:9" s="46" customFormat="1" x14ac:dyDescent="0.3">
      <c r="B286" s="222"/>
      <c r="C286" s="223"/>
      <c r="D286" s="223"/>
      <c r="E286" s="222"/>
      <c r="F286" s="227"/>
      <c r="G286" s="227"/>
      <c r="H286" s="226"/>
      <c r="I286" s="226"/>
    </row>
    <row r="287" spans="2:9" s="46" customFormat="1" x14ac:dyDescent="0.3">
      <c r="B287" s="222"/>
      <c r="C287" s="223"/>
      <c r="D287" s="223"/>
      <c r="E287" s="222"/>
      <c r="F287" s="227"/>
      <c r="G287" s="227"/>
      <c r="H287" s="226"/>
      <c r="I287" s="226"/>
    </row>
    <row r="288" spans="2:9" s="46" customFormat="1" x14ac:dyDescent="0.3">
      <c r="B288" s="222"/>
      <c r="C288" s="223"/>
      <c r="D288" s="223"/>
      <c r="E288" s="222"/>
      <c r="F288" s="227"/>
      <c r="G288" s="227"/>
      <c r="H288" s="226"/>
      <c r="I288" s="226"/>
    </row>
    <row r="289" spans="2:9" s="46" customFormat="1" x14ac:dyDescent="0.3">
      <c r="B289" s="222"/>
      <c r="C289" s="223"/>
      <c r="D289" s="223"/>
      <c r="E289" s="222"/>
      <c r="F289" s="227"/>
      <c r="G289" s="227"/>
      <c r="H289" s="226"/>
      <c r="I289" s="226"/>
    </row>
    <row r="290" spans="2:9" s="46" customFormat="1" x14ac:dyDescent="0.3">
      <c r="B290" s="222"/>
      <c r="C290" s="223"/>
      <c r="D290" s="223"/>
      <c r="E290" s="222"/>
      <c r="F290" s="227"/>
      <c r="G290" s="227"/>
      <c r="H290" s="226"/>
      <c r="I290" s="226"/>
    </row>
    <row r="291" spans="2:9" s="46" customFormat="1" x14ac:dyDescent="0.3">
      <c r="B291" s="222"/>
      <c r="C291" s="223"/>
      <c r="D291" s="223"/>
      <c r="E291" s="222"/>
      <c r="F291" s="227"/>
      <c r="G291" s="227"/>
      <c r="H291" s="226"/>
      <c r="I291" s="226"/>
    </row>
    <row r="292" spans="2:9" s="46" customFormat="1" x14ac:dyDescent="0.3">
      <c r="B292" s="222"/>
      <c r="C292" s="223"/>
      <c r="D292" s="223"/>
      <c r="E292" s="222"/>
      <c r="F292" s="227"/>
      <c r="G292" s="227"/>
      <c r="H292" s="226"/>
      <c r="I292" s="226"/>
    </row>
    <row r="293" spans="2:9" s="46" customFormat="1" x14ac:dyDescent="0.3">
      <c r="B293" s="222"/>
      <c r="C293" s="223"/>
      <c r="D293" s="223"/>
      <c r="E293" s="222"/>
      <c r="F293" s="227"/>
      <c r="G293" s="227"/>
      <c r="H293" s="226"/>
      <c r="I293" s="226"/>
    </row>
    <row r="294" spans="2:9" s="46" customFormat="1" x14ac:dyDescent="0.3">
      <c r="B294" s="222"/>
      <c r="C294" s="223"/>
      <c r="D294" s="223"/>
      <c r="E294" s="222"/>
      <c r="F294" s="227"/>
      <c r="G294" s="227"/>
      <c r="H294" s="226"/>
      <c r="I294" s="226"/>
    </row>
    <row r="295" spans="2:9" s="46" customFormat="1" x14ac:dyDescent="0.3">
      <c r="B295" s="222"/>
      <c r="C295" s="223"/>
      <c r="D295" s="223"/>
      <c r="E295" s="222"/>
      <c r="F295" s="227"/>
      <c r="G295" s="227"/>
      <c r="H295" s="226"/>
      <c r="I295" s="226"/>
    </row>
    <row r="296" spans="2:9" s="46" customFormat="1" x14ac:dyDescent="0.3">
      <c r="B296" s="222"/>
      <c r="C296" s="223"/>
      <c r="D296" s="223"/>
      <c r="E296" s="222"/>
      <c r="F296" s="227"/>
      <c r="G296" s="227"/>
      <c r="H296" s="226"/>
      <c r="I296" s="226"/>
    </row>
    <row r="297" spans="2:9" s="46" customFormat="1" x14ac:dyDescent="0.3">
      <c r="B297" s="222"/>
      <c r="C297" s="223"/>
      <c r="D297" s="223"/>
      <c r="E297" s="222"/>
      <c r="F297" s="227"/>
      <c r="G297" s="227"/>
      <c r="H297" s="226"/>
      <c r="I297" s="226"/>
    </row>
    <row r="298" spans="2:9" s="46" customFormat="1" x14ac:dyDescent="0.3">
      <c r="B298" s="222"/>
      <c r="C298" s="223"/>
      <c r="D298" s="223"/>
      <c r="E298" s="222"/>
      <c r="F298" s="227"/>
      <c r="G298" s="227"/>
      <c r="H298" s="226"/>
      <c r="I298" s="226"/>
    </row>
    <row r="299" spans="2:9" s="46" customFormat="1" x14ac:dyDescent="0.3">
      <c r="B299" s="222"/>
      <c r="C299" s="223"/>
      <c r="D299" s="223"/>
      <c r="E299" s="222"/>
      <c r="F299" s="227"/>
      <c r="G299" s="227"/>
      <c r="H299" s="226"/>
      <c r="I299" s="226"/>
    </row>
    <row r="300" spans="2:9" s="46" customFormat="1" x14ac:dyDescent="0.3">
      <c r="B300" s="222"/>
      <c r="C300" s="223"/>
      <c r="D300" s="223"/>
      <c r="E300" s="222"/>
      <c r="F300" s="227"/>
      <c r="G300" s="227"/>
      <c r="H300" s="226"/>
      <c r="I300" s="226"/>
    </row>
    <row r="301" spans="2:9" s="46" customFormat="1" x14ac:dyDescent="0.3">
      <c r="B301" s="222"/>
      <c r="C301" s="223"/>
      <c r="D301" s="223"/>
      <c r="E301" s="222"/>
      <c r="F301" s="227"/>
      <c r="G301" s="227"/>
      <c r="H301" s="226"/>
      <c r="I301" s="226"/>
    </row>
    <row r="302" spans="2:9" s="46" customFormat="1" x14ac:dyDescent="0.3">
      <c r="B302" s="222"/>
      <c r="C302" s="223"/>
      <c r="D302" s="223"/>
      <c r="E302" s="222"/>
      <c r="F302" s="227"/>
      <c r="G302" s="227"/>
      <c r="H302" s="226"/>
      <c r="I302" s="226"/>
    </row>
    <row r="303" spans="2:9" s="46" customFormat="1" x14ac:dyDescent="0.3">
      <c r="B303" s="222"/>
      <c r="C303" s="223"/>
      <c r="D303" s="223"/>
      <c r="E303" s="222"/>
      <c r="F303" s="227"/>
      <c r="G303" s="227"/>
      <c r="H303" s="226"/>
      <c r="I303" s="226"/>
    </row>
    <row r="304" spans="2:9" s="46" customFormat="1" x14ac:dyDescent="0.3">
      <c r="B304" s="222"/>
      <c r="C304" s="223"/>
      <c r="D304" s="223"/>
      <c r="E304" s="222"/>
      <c r="F304" s="227"/>
      <c r="G304" s="227"/>
      <c r="H304" s="226"/>
      <c r="I304" s="226"/>
    </row>
    <row r="305" spans="2:9" s="46" customFormat="1" x14ac:dyDescent="0.3">
      <c r="B305" s="222"/>
      <c r="C305" s="223"/>
      <c r="D305" s="223"/>
      <c r="E305" s="222"/>
      <c r="F305" s="227"/>
      <c r="G305" s="227"/>
      <c r="H305" s="226"/>
      <c r="I305" s="226"/>
    </row>
    <row r="306" spans="2:9" s="46" customFormat="1" x14ac:dyDescent="0.3">
      <c r="B306" s="222"/>
      <c r="C306" s="223"/>
      <c r="D306" s="223"/>
      <c r="E306" s="222"/>
      <c r="F306" s="227"/>
      <c r="G306" s="227"/>
      <c r="H306" s="226"/>
      <c r="I306" s="226"/>
    </row>
    <row r="307" spans="2:9" s="46" customFormat="1" x14ac:dyDescent="0.3">
      <c r="B307" s="222"/>
      <c r="C307" s="223"/>
      <c r="D307" s="223"/>
      <c r="E307" s="222"/>
      <c r="F307" s="227"/>
      <c r="G307" s="227"/>
      <c r="H307" s="226"/>
      <c r="I307" s="226"/>
    </row>
    <row r="308" spans="2:9" s="46" customFormat="1" x14ac:dyDescent="0.3">
      <c r="B308" s="222"/>
      <c r="C308" s="223"/>
      <c r="D308" s="223"/>
      <c r="E308" s="222"/>
      <c r="F308" s="227"/>
      <c r="G308" s="227"/>
      <c r="H308" s="226"/>
      <c r="I308" s="226"/>
    </row>
    <row r="309" spans="2:9" s="46" customFormat="1" x14ac:dyDescent="0.3">
      <c r="B309" s="222"/>
      <c r="C309" s="223"/>
      <c r="D309" s="223"/>
      <c r="E309" s="222"/>
      <c r="F309" s="227"/>
      <c r="G309" s="227"/>
      <c r="H309" s="226"/>
      <c r="I309" s="226"/>
    </row>
    <row r="310" spans="2:9" s="46" customFormat="1" x14ac:dyDescent="0.3">
      <c r="B310" s="222"/>
      <c r="C310" s="223"/>
      <c r="D310" s="223"/>
      <c r="E310" s="222"/>
      <c r="F310" s="227"/>
      <c r="G310" s="227"/>
      <c r="H310" s="226"/>
      <c r="I310" s="226"/>
    </row>
    <row r="311" spans="2:9" s="46" customFormat="1" x14ac:dyDescent="0.3">
      <c r="B311" s="222"/>
      <c r="C311" s="223"/>
      <c r="D311" s="223"/>
      <c r="E311" s="222"/>
      <c r="F311" s="227"/>
      <c r="G311" s="227"/>
      <c r="H311" s="226"/>
      <c r="I311" s="226"/>
    </row>
    <row r="312" spans="2:9" s="46" customFormat="1" x14ac:dyDescent="0.3">
      <c r="B312" s="222"/>
      <c r="C312" s="223"/>
      <c r="D312" s="223"/>
      <c r="E312" s="222"/>
      <c r="F312" s="227"/>
      <c r="G312" s="227"/>
      <c r="H312" s="226"/>
      <c r="I312" s="226"/>
    </row>
    <row r="313" spans="2:9" s="46" customFormat="1" x14ac:dyDescent="0.3">
      <c r="B313" s="222"/>
      <c r="C313" s="223"/>
      <c r="D313" s="223"/>
      <c r="E313" s="222"/>
      <c r="F313" s="227"/>
      <c r="G313" s="227"/>
      <c r="H313" s="226"/>
      <c r="I313" s="226"/>
    </row>
    <row r="314" spans="2:9" s="46" customFormat="1" x14ac:dyDescent="0.3">
      <c r="B314" s="222"/>
      <c r="C314" s="223"/>
      <c r="D314" s="223"/>
      <c r="E314" s="222"/>
      <c r="F314" s="227"/>
      <c r="G314" s="227"/>
      <c r="H314" s="226"/>
      <c r="I314" s="226"/>
    </row>
    <row r="315" spans="2:9" s="46" customFormat="1" x14ac:dyDescent="0.3">
      <c r="B315" s="222"/>
      <c r="C315" s="223"/>
      <c r="D315" s="223"/>
      <c r="E315" s="222"/>
      <c r="F315" s="227"/>
      <c r="G315" s="227"/>
      <c r="H315" s="226"/>
      <c r="I315" s="226"/>
    </row>
    <row r="316" spans="2:9" s="46" customFormat="1" x14ac:dyDescent="0.3">
      <c r="B316" s="222"/>
      <c r="C316" s="223"/>
      <c r="D316" s="223"/>
      <c r="E316" s="222"/>
      <c r="F316" s="227"/>
      <c r="G316" s="227"/>
      <c r="H316" s="226"/>
      <c r="I316" s="226"/>
    </row>
    <row r="317" spans="2:9" s="46" customFormat="1" x14ac:dyDescent="0.3">
      <c r="B317" s="222"/>
      <c r="C317" s="223"/>
      <c r="D317" s="223"/>
      <c r="E317" s="222"/>
      <c r="F317" s="227"/>
      <c r="G317" s="227"/>
      <c r="H317" s="226"/>
      <c r="I317" s="226"/>
    </row>
    <row r="318" spans="2:9" s="46" customFormat="1" x14ac:dyDescent="0.3">
      <c r="B318" s="222"/>
      <c r="C318" s="223"/>
      <c r="D318" s="223"/>
      <c r="E318" s="222"/>
      <c r="F318" s="227"/>
      <c r="G318" s="227"/>
      <c r="H318" s="226"/>
      <c r="I318" s="226"/>
    </row>
    <row r="319" spans="2:9" s="46" customFormat="1" x14ac:dyDescent="0.3">
      <c r="B319" s="222"/>
      <c r="C319" s="223"/>
      <c r="D319" s="223"/>
      <c r="E319" s="222"/>
      <c r="F319" s="227"/>
      <c r="G319" s="227"/>
      <c r="H319" s="226"/>
      <c r="I319" s="226"/>
    </row>
    <row r="320" spans="2:9" s="46" customFormat="1" x14ac:dyDescent="0.3">
      <c r="B320" s="222"/>
      <c r="C320" s="223"/>
      <c r="D320" s="223"/>
      <c r="E320" s="222"/>
      <c r="F320" s="227"/>
      <c r="G320" s="227"/>
      <c r="H320" s="226"/>
      <c r="I320" s="226"/>
    </row>
    <row r="321" spans="2:9" s="46" customFormat="1" x14ac:dyDescent="0.3">
      <c r="B321" s="222"/>
      <c r="C321" s="223"/>
      <c r="D321" s="223"/>
      <c r="E321" s="222"/>
      <c r="F321" s="227"/>
      <c r="G321" s="227"/>
      <c r="H321" s="226"/>
      <c r="I321" s="226"/>
    </row>
    <row r="322" spans="2:9" s="46" customFormat="1" x14ac:dyDescent="0.3">
      <c r="B322" s="222"/>
      <c r="C322" s="223"/>
      <c r="D322" s="223"/>
      <c r="E322" s="222"/>
      <c r="F322" s="227"/>
      <c r="G322" s="227"/>
      <c r="H322" s="226"/>
      <c r="I322" s="226"/>
    </row>
    <row r="323" spans="2:9" s="46" customFormat="1" x14ac:dyDescent="0.3">
      <c r="B323" s="222"/>
      <c r="C323" s="223"/>
      <c r="D323" s="223"/>
      <c r="E323" s="222"/>
      <c r="F323" s="227"/>
      <c r="G323" s="227"/>
      <c r="H323" s="226"/>
      <c r="I323" s="226"/>
    </row>
    <row r="324" spans="2:9" s="46" customFormat="1" x14ac:dyDescent="0.3">
      <c r="B324" s="222"/>
      <c r="C324" s="223"/>
      <c r="D324" s="223"/>
      <c r="E324" s="222"/>
      <c r="F324" s="227"/>
      <c r="G324" s="227"/>
      <c r="H324" s="226"/>
      <c r="I324" s="226"/>
    </row>
    <row r="325" spans="2:9" s="46" customFormat="1" x14ac:dyDescent="0.3">
      <c r="B325" s="222"/>
      <c r="C325" s="223"/>
      <c r="D325" s="223"/>
      <c r="E325" s="222"/>
      <c r="F325" s="227"/>
      <c r="G325" s="227"/>
      <c r="H325" s="226"/>
      <c r="I325" s="226"/>
    </row>
    <row r="326" spans="2:9" s="46" customFormat="1" x14ac:dyDescent="0.3">
      <c r="B326" s="222"/>
      <c r="C326" s="223"/>
      <c r="D326" s="223"/>
      <c r="E326" s="222"/>
      <c r="F326" s="227"/>
      <c r="G326" s="227"/>
      <c r="H326" s="226"/>
      <c r="I326" s="226"/>
    </row>
    <row r="327" spans="2:9" s="46" customFormat="1" x14ac:dyDescent="0.3">
      <c r="B327" s="222"/>
      <c r="C327" s="223"/>
      <c r="D327" s="223"/>
      <c r="E327" s="222"/>
      <c r="F327" s="227"/>
      <c r="G327" s="227"/>
      <c r="H327" s="226"/>
      <c r="I327" s="226"/>
    </row>
    <row r="328" spans="2:9" s="46" customFormat="1" x14ac:dyDescent="0.3">
      <c r="B328" s="222"/>
      <c r="C328" s="223"/>
      <c r="D328" s="223"/>
      <c r="E328" s="222"/>
      <c r="F328" s="227"/>
      <c r="G328" s="227"/>
      <c r="H328" s="226"/>
      <c r="I328" s="226"/>
    </row>
    <row r="329" spans="2:9" s="46" customFormat="1" x14ac:dyDescent="0.3">
      <c r="B329" s="222"/>
      <c r="C329" s="223"/>
      <c r="D329" s="223"/>
      <c r="E329" s="222"/>
      <c r="F329" s="227"/>
      <c r="G329" s="227"/>
      <c r="H329" s="226"/>
      <c r="I329" s="226"/>
    </row>
    <row r="330" spans="2:9" s="46" customFormat="1" x14ac:dyDescent="0.3">
      <c r="B330" s="222"/>
      <c r="C330" s="223"/>
      <c r="D330" s="223"/>
      <c r="E330" s="222"/>
      <c r="F330" s="227"/>
      <c r="G330" s="227"/>
      <c r="H330" s="226"/>
      <c r="I330" s="226"/>
    </row>
    <row r="331" spans="2:9" s="46" customFormat="1" x14ac:dyDescent="0.3">
      <c r="B331" s="222"/>
      <c r="C331" s="223"/>
      <c r="D331" s="223"/>
      <c r="E331" s="222"/>
      <c r="F331" s="227"/>
      <c r="G331" s="227"/>
      <c r="H331" s="226"/>
      <c r="I331" s="226"/>
    </row>
    <row r="332" spans="2:9" s="46" customFormat="1" x14ac:dyDescent="0.3">
      <c r="B332" s="222"/>
      <c r="C332" s="223"/>
      <c r="D332" s="223"/>
      <c r="E332" s="222"/>
      <c r="F332" s="227"/>
      <c r="G332" s="227"/>
      <c r="H332" s="226"/>
      <c r="I332" s="226"/>
    </row>
    <row r="333" spans="2:9" s="46" customFormat="1" x14ac:dyDescent="0.3">
      <c r="B333" s="222"/>
      <c r="C333" s="223"/>
      <c r="D333" s="223"/>
      <c r="E333" s="222"/>
      <c r="F333" s="227"/>
      <c r="G333" s="227"/>
      <c r="H333" s="226"/>
      <c r="I333" s="226"/>
    </row>
    <row r="334" spans="2:9" s="46" customFormat="1" x14ac:dyDescent="0.3">
      <c r="B334" s="222"/>
      <c r="C334" s="223"/>
      <c r="D334" s="223"/>
      <c r="E334" s="222"/>
      <c r="F334" s="227"/>
      <c r="G334" s="227"/>
      <c r="H334" s="226"/>
      <c r="I334" s="226"/>
    </row>
    <row r="335" spans="2:9" s="46" customFormat="1" x14ac:dyDescent="0.3">
      <c r="B335" s="222"/>
      <c r="C335" s="223"/>
      <c r="D335" s="223"/>
      <c r="E335" s="222"/>
      <c r="F335" s="227"/>
      <c r="G335" s="227"/>
      <c r="H335" s="226"/>
      <c r="I335" s="226"/>
    </row>
    <row r="336" spans="2:9" s="46" customFormat="1" x14ac:dyDescent="0.3">
      <c r="B336" s="222"/>
      <c r="C336" s="223"/>
      <c r="D336" s="223"/>
      <c r="E336" s="222"/>
      <c r="F336" s="227"/>
      <c r="G336" s="227"/>
      <c r="H336" s="226"/>
      <c r="I336" s="226"/>
    </row>
    <row r="337" spans="2:9" s="46" customFormat="1" x14ac:dyDescent="0.3">
      <c r="B337" s="222"/>
      <c r="C337" s="223"/>
      <c r="D337" s="223"/>
      <c r="E337" s="222"/>
      <c r="F337" s="227"/>
      <c r="G337" s="227"/>
      <c r="H337" s="226"/>
      <c r="I337" s="226"/>
    </row>
    <row r="338" spans="2:9" s="46" customFormat="1" x14ac:dyDescent="0.3">
      <c r="B338" s="222"/>
      <c r="C338" s="223"/>
      <c r="D338" s="223"/>
      <c r="E338" s="222"/>
      <c r="F338" s="227"/>
      <c r="G338" s="227"/>
      <c r="H338" s="226"/>
      <c r="I338" s="226"/>
    </row>
    <row r="339" spans="2:9" s="46" customFormat="1" x14ac:dyDescent="0.3">
      <c r="B339" s="222"/>
      <c r="C339" s="223"/>
      <c r="D339" s="223"/>
      <c r="E339" s="222"/>
      <c r="F339" s="227"/>
      <c r="G339" s="227"/>
      <c r="H339" s="226"/>
      <c r="I339" s="226"/>
    </row>
    <row r="340" spans="2:9" s="46" customFormat="1" x14ac:dyDescent="0.3">
      <c r="B340" s="222"/>
      <c r="C340" s="223"/>
      <c r="D340" s="223"/>
      <c r="E340" s="222"/>
      <c r="F340" s="227"/>
      <c r="G340" s="227"/>
      <c r="H340" s="226"/>
      <c r="I340" s="226"/>
    </row>
    <row r="341" spans="2:9" s="46" customFormat="1" x14ac:dyDescent="0.3">
      <c r="B341" s="222"/>
      <c r="C341" s="223"/>
      <c r="D341" s="223"/>
      <c r="E341" s="222"/>
      <c r="F341" s="227"/>
      <c r="G341" s="227"/>
      <c r="H341" s="226"/>
      <c r="I341" s="226"/>
    </row>
    <row r="342" spans="2:9" s="46" customFormat="1" x14ac:dyDescent="0.3">
      <c r="B342" s="222"/>
      <c r="C342" s="223"/>
      <c r="D342" s="223"/>
      <c r="E342" s="222"/>
      <c r="F342" s="227"/>
      <c r="G342" s="227"/>
      <c r="H342" s="226"/>
      <c r="I342" s="226"/>
    </row>
    <row r="343" spans="2:9" s="46" customFormat="1" x14ac:dyDescent="0.3">
      <c r="B343" s="222"/>
      <c r="C343" s="223"/>
      <c r="D343" s="223"/>
      <c r="E343" s="222"/>
      <c r="F343" s="227"/>
      <c r="G343" s="227"/>
      <c r="H343" s="226"/>
      <c r="I343" s="226"/>
    </row>
    <row r="344" spans="2:9" s="46" customFormat="1" x14ac:dyDescent="0.3">
      <c r="B344" s="222"/>
      <c r="C344" s="223"/>
      <c r="D344" s="223"/>
      <c r="E344" s="222"/>
      <c r="F344" s="227"/>
      <c r="G344" s="227"/>
      <c r="H344" s="226"/>
      <c r="I344" s="226"/>
    </row>
    <row r="345" spans="2:9" s="46" customFormat="1" x14ac:dyDescent="0.3">
      <c r="B345" s="222"/>
      <c r="C345" s="223"/>
      <c r="D345" s="223"/>
      <c r="E345" s="222"/>
      <c r="F345" s="227"/>
      <c r="G345" s="227"/>
      <c r="H345" s="226"/>
      <c r="I345" s="226"/>
    </row>
    <row r="346" spans="2:9" s="46" customFormat="1" x14ac:dyDescent="0.3">
      <c r="B346" s="222"/>
      <c r="C346" s="223"/>
      <c r="D346" s="223"/>
      <c r="E346" s="222"/>
      <c r="F346" s="227"/>
      <c r="G346" s="227"/>
      <c r="H346" s="226"/>
      <c r="I346" s="226"/>
    </row>
    <row r="347" spans="2:9" s="46" customFormat="1" x14ac:dyDescent="0.3">
      <c r="B347" s="222"/>
      <c r="C347" s="223"/>
      <c r="D347" s="223"/>
      <c r="E347" s="222"/>
      <c r="F347" s="227"/>
      <c r="G347" s="227"/>
      <c r="H347" s="226"/>
      <c r="I347" s="226"/>
    </row>
    <row r="348" spans="2:9" s="46" customFormat="1" x14ac:dyDescent="0.3">
      <c r="B348" s="222"/>
      <c r="C348" s="223"/>
      <c r="D348" s="223"/>
      <c r="E348" s="222"/>
      <c r="F348" s="227"/>
      <c r="G348" s="227"/>
      <c r="H348" s="226"/>
      <c r="I348" s="226"/>
    </row>
    <row r="349" spans="2:9" s="46" customFormat="1" x14ac:dyDescent="0.3">
      <c r="B349" s="222"/>
      <c r="C349" s="223"/>
      <c r="D349" s="223"/>
      <c r="E349" s="222"/>
      <c r="F349" s="227"/>
      <c r="G349" s="227"/>
      <c r="H349" s="226"/>
      <c r="I349" s="226"/>
    </row>
    <row r="350" spans="2:9" s="46" customFormat="1" x14ac:dyDescent="0.3">
      <c r="B350" s="222"/>
      <c r="C350" s="223"/>
      <c r="D350" s="223"/>
      <c r="E350" s="222"/>
      <c r="F350" s="227"/>
      <c r="G350" s="227"/>
      <c r="H350" s="226"/>
      <c r="I350" s="226"/>
    </row>
    <row r="351" spans="2:9" s="46" customFormat="1" x14ac:dyDescent="0.3">
      <c r="B351" s="222"/>
      <c r="C351" s="223"/>
      <c r="D351" s="223"/>
      <c r="E351" s="222"/>
      <c r="F351" s="227"/>
      <c r="G351" s="227"/>
      <c r="H351" s="226"/>
      <c r="I351" s="226"/>
    </row>
    <row r="352" spans="2:9" s="46" customFormat="1" x14ac:dyDescent="0.3">
      <c r="B352" s="222"/>
      <c r="C352" s="223"/>
      <c r="D352" s="223"/>
      <c r="E352" s="222"/>
      <c r="F352" s="227"/>
      <c r="G352" s="227"/>
      <c r="H352" s="226"/>
      <c r="I352" s="226"/>
    </row>
    <row r="353" spans="2:9" s="46" customFormat="1" x14ac:dyDescent="0.3">
      <c r="B353" s="222"/>
      <c r="C353" s="223"/>
      <c r="D353" s="223"/>
      <c r="E353" s="222"/>
      <c r="F353" s="227"/>
      <c r="G353" s="227"/>
      <c r="H353" s="226"/>
      <c r="I353" s="226"/>
    </row>
    <row r="354" spans="2:9" s="46" customFormat="1" x14ac:dyDescent="0.3">
      <c r="B354" s="222"/>
      <c r="C354" s="223"/>
      <c r="D354" s="223"/>
      <c r="E354" s="222"/>
      <c r="F354" s="227"/>
      <c r="G354" s="227"/>
      <c r="H354" s="226"/>
      <c r="I354" s="226"/>
    </row>
    <row r="355" spans="2:9" s="46" customFormat="1" x14ac:dyDescent="0.3">
      <c r="B355" s="222"/>
      <c r="C355" s="223"/>
      <c r="D355" s="223"/>
      <c r="E355" s="222"/>
      <c r="F355" s="227"/>
      <c r="G355" s="227"/>
      <c r="H355" s="226"/>
      <c r="I355" s="226"/>
    </row>
    <row r="356" spans="2:9" s="46" customFormat="1" x14ac:dyDescent="0.3">
      <c r="B356" s="222"/>
      <c r="C356" s="223"/>
      <c r="D356" s="223"/>
      <c r="E356" s="222"/>
      <c r="F356" s="227"/>
      <c r="G356" s="227"/>
      <c r="H356" s="226"/>
      <c r="I356" s="226"/>
    </row>
    <row r="357" spans="2:9" s="46" customFormat="1" x14ac:dyDescent="0.3">
      <c r="B357" s="222"/>
      <c r="C357" s="223"/>
      <c r="D357" s="223"/>
      <c r="E357" s="222"/>
      <c r="F357" s="227"/>
      <c r="G357" s="227"/>
      <c r="H357" s="226"/>
      <c r="I357" s="226"/>
    </row>
    <row r="358" spans="2:9" s="46" customFormat="1" x14ac:dyDescent="0.3">
      <c r="B358" s="222"/>
      <c r="C358" s="223"/>
      <c r="D358" s="223"/>
      <c r="E358" s="222"/>
      <c r="F358" s="227"/>
      <c r="G358" s="227"/>
      <c r="H358" s="226"/>
      <c r="I358" s="226"/>
    </row>
    <row r="359" spans="2:9" s="46" customFormat="1" x14ac:dyDescent="0.3">
      <c r="B359" s="222"/>
      <c r="C359" s="223"/>
      <c r="D359" s="223"/>
      <c r="E359" s="222"/>
      <c r="F359" s="227"/>
      <c r="G359" s="227"/>
      <c r="H359" s="226"/>
      <c r="I359" s="226"/>
    </row>
    <row r="360" spans="2:9" s="46" customFormat="1" x14ac:dyDescent="0.3">
      <c r="B360" s="222"/>
      <c r="C360" s="223"/>
      <c r="D360" s="223"/>
      <c r="E360" s="222"/>
      <c r="F360" s="227"/>
      <c r="G360" s="227"/>
      <c r="H360" s="226"/>
      <c r="I360" s="226"/>
    </row>
    <row r="361" spans="2:9" s="46" customFormat="1" x14ac:dyDescent="0.3">
      <c r="B361" s="222"/>
      <c r="C361" s="223"/>
      <c r="D361" s="223"/>
      <c r="E361" s="222"/>
      <c r="F361" s="227"/>
      <c r="G361" s="227"/>
      <c r="H361" s="226"/>
      <c r="I361" s="226"/>
    </row>
    <row r="362" spans="2:9" s="46" customFormat="1" x14ac:dyDescent="0.3">
      <c r="B362" s="222"/>
      <c r="C362" s="223"/>
      <c r="D362" s="223"/>
      <c r="E362" s="222"/>
      <c r="F362" s="227"/>
      <c r="G362" s="227"/>
      <c r="H362" s="226"/>
      <c r="I362" s="226"/>
    </row>
    <row r="363" spans="2:9" s="46" customFormat="1" x14ac:dyDescent="0.3">
      <c r="B363" s="222"/>
      <c r="C363" s="223"/>
      <c r="D363" s="223"/>
      <c r="E363" s="222"/>
      <c r="F363" s="227"/>
      <c r="G363" s="227"/>
      <c r="H363" s="226"/>
      <c r="I363" s="226"/>
    </row>
    <row r="364" spans="2:9" s="46" customFormat="1" x14ac:dyDescent="0.3">
      <c r="B364" s="222"/>
      <c r="C364" s="223"/>
      <c r="D364" s="223"/>
      <c r="E364" s="222"/>
      <c r="F364" s="227"/>
      <c r="G364" s="227"/>
      <c r="H364" s="226"/>
      <c r="I364" s="226"/>
    </row>
    <row r="365" spans="2:9" s="46" customFormat="1" x14ac:dyDescent="0.3">
      <c r="B365" s="222"/>
      <c r="C365" s="223"/>
      <c r="D365" s="223"/>
      <c r="E365" s="222"/>
      <c r="F365" s="227"/>
      <c r="G365" s="227"/>
      <c r="H365" s="226"/>
      <c r="I365" s="226"/>
    </row>
    <row r="366" spans="2:9" s="46" customFormat="1" x14ac:dyDescent="0.3">
      <c r="B366" s="222"/>
      <c r="C366" s="223"/>
      <c r="D366" s="223"/>
      <c r="E366" s="222"/>
      <c r="F366" s="227"/>
      <c r="G366" s="227"/>
      <c r="H366" s="226"/>
      <c r="I366" s="226"/>
    </row>
    <row r="367" spans="2:9" s="46" customFormat="1" x14ac:dyDescent="0.3">
      <c r="B367" s="222"/>
      <c r="C367" s="223"/>
      <c r="D367" s="223"/>
      <c r="E367" s="222"/>
      <c r="F367" s="227"/>
      <c r="G367" s="227"/>
      <c r="H367" s="226"/>
      <c r="I367" s="226"/>
    </row>
    <row r="368" spans="2:9" s="46" customFormat="1" x14ac:dyDescent="0.3">
      <c r="B368" s="222"/>
      <c r="C368" s="223"/>
      <c r="D368" s="223"/>
      <c r="E368" s="222"/>
      <c r="F368" s="227"/>
      <c r="G368" s="227"/>
      <c r="H368" s="226"/>
      <c r="I368" s="226"/>
    </row>
    <row r="369" spans="2:9" s="46" customFormat="1" x14ac:dyDescent="0.3">
      <c r="B369" s="222"/>
      <c r="C369" s="223"/>
      <c r="D369" s="223"/>
      <c r="E369" s="222"/>
      <c r="F369" s="227"/>
      <c r="G369" s="227"/>
      <c r="H369" s="226"/>
      <c r="I369" s="226"/>
    </row>
    <row r="370" spans="2:9" s="46" customFormat="1" x14ac:dyDescent="0.3">
      <c r="B370" s="222"/>
      <c r="C370" s="223"/>
      <c r="D370" s="223"/>
      <c r="E370" s="222"/>
      <c r="F370" s="227"/>
      <c r="G370" s="227"/>
      <c r="H370" s="226"/>
      <c r="I370" s="226"/>
    </row>
    <row r="371" spans="2:9" s="46" customFormat="1" x14ac:dyDescent="0.3">
      <c r="B371" s="222"/>
      <c r="C371" s="223"/>
      <c r="D371" s="223"/>
      <c r="E371" s="222"/>
      <c r="F371" s="227"/>
      <c r="G371" s="227"/>
      <c r="H371" s="226"/>
      <c r="I371" s="226"/>
    </row>
    <row r="372" spans="2:9" s="46" customFormat="1" x14ac:dyDescent="0.3">
      <c r="B372" s="222"/>
      <c r="C372" s="223"/>
      <c r="D372" s="223"/>
      <c r="E372" s="222"/>
      <c r="F372" s="227"/>
      <c r="G372" s="227"/>
      <c r="H372" s="226"/>
      <c r="I372" s="226"/>
    </row>
    <row r="373" spans="2:9" s="46" customFormat="1" x14ac:dyDescent="0.3">
      <c r="B373" s="222"/>
      <c r="C373" s="223"/>
      <c r="D373" s="223"/>
      <c r="E373" s="222"/>
      <c r="F373" s="227"/>
      <c r="G373" s="227"/>
      <c r="H373" s="226"/>
      <c r="I373" s="226"/>
    </row>
    <row r="374" spans="2:9" s="46" customFormat="1" x14ac:dyDescent="0.3">
      <c r="B374" s="222"/>
      <c r="C374" s="223"/>
      <c r="D374" s="223"/>
      <c r="E374" s="222"/>
      <c r="F374" s="227"/>
      <c r="G374" s="227"/>
      <c r="H374" s="226"/>
      <c r="I374" s="226"/>
    </row>
    <row r="375" spans="2:9" s="46" customFormat="1" x14ac:dyDescent="0.3">
      <c r="B375" s="222"/>
      <c r="C375" s="223"/>
      <c r="D375" s="223"/>
      <c r="E375" s="222"/>
      <c r="F375" s="227"/>
      <c r="G375" s="227"/>
      <c r="H375" s="226"/>
      <c r="I375" s="226"/>
    </row>
    <row r="376" spans="2:9" s="46" customFormat="1" x14ac:dyDescent="0.3">
      <c r="B376" s="222"/>
      <c r="C376" s="223"/>
      <c r="D376" s="223"/>
      <c r="E376" s="222"/>
      <c r="F376" s="227"/>
      <c r="G376" s="227"/>
      <c r="H376" s="226"/>
      <c r="I376" s="226"/>
    </row>
    <row r="377" spans="2:9" s="46" customFormat="1" x14ac:dyDescent="0.3">
      <c r="B377" s="222"/>
      <c r="C377" s="223"/>
      <c r="D377" s="223"/>
      <c r="E377" s="222"/>
      <c r="F377" s="227"/>
      <c r="G377" s="227"/>
      <c r="H377" s="226"/>
      <c r="I377" s="226"/>
    </row>
    <row r="378" spans="2:9" s="46" customFormat="1" x14ac:dyDescent="0.3">
      <c r="B378" s="222"/>
      <c r="C378" s="223"/>
      <c r="D378" s="223"/>
      <c r="E378" s="222"/>
      <c r="F378" s="227"/>
      <c r="G378" s="227"/>
      <c r="H378" s="226"/>
      <c r="I378" s="226"/>
    </row>
    <row r="379" spans="2:9" s="46" customFormat="1" x14ac:dyDescent="0.3">
      <c r="B379" s="222"/>
      <c r="C379" s="223"/>
      <c r="D379" s="223"/>
      <c r="E379" s="222"/>
      <c r="F379" s="227"/>
      <c r="G379" s="227"/>
      <c r="H379" s="226"/>
      <c r="I379" s="226"/>
    </row>
    <row r="380" spans="2:9" s="46" customFormat="1" x14ac:dyDescent="0.3">
      <c r="B380" s="222"/>
      <c r="C380" s="223"/>
      <c r="D380" s="223"/>
      <c r="E380" s="222"/>
      <c r="F380" s="227"/>
      <c r="G380" s="227"/>
      <c r="H380" s="226"/>
      <c r="I380" s="226"/>
    </row>
    <row r="381" spans="2:9" s="46" customFormat="1" x14ac:dyDescent="0.3">
      <c r="B381" s="222"/>
      <c r="C381" s="223"/>
      <c r="D381" s="223"/>
      <c r="E381" s="222"/>
      <c r="F381" s="227"/>
      <c r="G381" s="227"/>
      <c r="H381" s="226"/>
      <c r="I381" s="226"/>
    </row>
    <row r="382" spans="2:9" s="46" customFormat="1" x14ac:dyDescent="0.3">
      <c r="B382" s="222"/>
      <c r="C382" s="223"/>
      <c r="D382" s="223"/>
      <c r="E382" s="222"/>
      <c r="F382" s="227"/>
      <c r="G382" s="227"/>
      <c r="H382" s="226"/>
      <c r="I382" s="226"/>
    </row>
    <row r="383" spans="2:9" s="46" customFormat="1" x14ac:dyDescent="0.3">
      <c r="B383" s="222"/>
      <c r="C383" s="223"/>
      <c r="D383" s="223"/>
      <c r="E383" s="222"/>
      <c r="F383" s="227"/>
      <c r="G383" s="227"/>
      <c r="H383" s="226"/>
      <c r="I383" s="226"/>
    </row>
    <row r="384" spans="2:9" s="46" customFormat="1" x14ac:dyDescent="0.3">
      <c r="B384" s="222"/>
      <c r="C384" s="223"/>
      <c r="D384" s="223"/>
      <c r="E384" s="222"/>
      <c r="F384" s="227"/>
      <c r="G384" s="227"/>
      <c r="H384" s="226"/>
      <c r="I384" s="226"/>
    </row>
    <row r="385" spans="2:9" s="46" customFormat="1" x14ac:dyDescent="0.3">
      <c r="B385" s="222"/>
      <c r="C385" s="223"/>
      <c r="D385" s="223"/>
      <c r="E385" s="222"/>
      <c r="F385" s="227"/>
      <c r="G385" s="227"/>
      <c r="H385" s="226"/>
      <c r="I385" s="226"/>
    </row>
    <row r="386" spans="2:9" s="46" customFormat="1" x14ac:dyDescent="0.3">
      <c r="B386" s="222"/>
      <c r="C386" s="223"/>
      <c r="D386" s="223"/>
      <c r="E386" s="222"/>
      <c r="F386" s="227"/>
      <c r="G386" s="227"/>
      <c r="H386" s="226"/>
      <c r="I386" s="226"/>
    </row>
    <row r="387" spans="2:9" s="46" customFormat="1" x14ac:dyDescent="0.3">
      <c r="B387" s="222"/>
      <c r="C387" s="223"/>
      <c r="D387" s="223"/>
      <c r="E387" s="222"/>
      <c r="F387" s="227"/>
      <c r="G387" s="227"/>
      <c r="H387" s="226"/>
      <c r="I387" s="226"/>
    </row>
    <row r="388" spans="2:9" s="46" customFormat="1" x14ac:dyDescent="0.3">
      <c r="B388" s="222"/>
      <c r="C388" s="223"/>
      <c r="D388" s="223"/>
      <c r="E388" s="222"/>
      <c r="F388" s="227"/>
      <c r="G388" s="227"/>
      <c r="H388" s="226"/>
      <c r="I388" s="226"/>
    </row>
    <row r="389" spans="2:9" s="46" customFormat="1" x14ac:dyDescent="0.3">
      <c r="B389" s="222"/>
      <c r="C389" s="223"/>
      <c r="D389" s="223"/>
      <c r="E389" s="222"/>
      <c r="F389" s="227"/>
      <c r="G389" s="227"/>
      <c r="H389" s="226"/>
      <c r="I389" s="226"/>
    </row>
    <row r="390" spans="2:9" s="46" customFormat="1" x14ac:dyDescent="0.3">
      <c r="B390" s="222"/>
      <c r="C390" s="223"/>
      <c r="D390" s="223"/>
      <c r="E390" s="222"/>
      <c r="F390" s="227"/>
      <c r="G390" s="227"/>
      <c r="H390" s="226"/>
      <c r="I390" s="226"/>
    </row>
    <row r="391" spans="2:9" s="46" customFormat="1" x14ac:dyDescent="0.3">
      <c r="B391" s="222"/>
      <c r="C391" s="223"/>
      <c r="D391" s="223"/>
      <c r="E391" s="222"/>
      <c r="F391" s="227"/>
      <c r="G391" s="227"/>
      <c r="H391" s="226"/>
      <c r="I391" s="226"/>
    </row>
    <row r="392" spans="2:9" s="46" customFormat="1" x14ac:dyDescent="0.3">
      <c r="B392" s="222"/>
      <c r="C392" s="223"/>
      <c r="D392" s="223"/>
      <c r="E392" s="222"/>
      <c r="F392" s="227"/>
      <c r="G392" s="227"/>
      <c r="H392" s="226"/>
      <c r="I392" s="226"/>
    </row>
    <row r="393" spans="2:9" s="46" customFormat="1" x14ac:dyDescent="0.3">
      <c r="B393" s="222"/>
      <c r="C393" s="223"/>
      <c r="D393" s="223"/>
      <c r="E393" s="222"/>
      <c r="F393" s="227"/>
      <c r="G393" s="227"/>
      <c r="H393" s="226"/>
      <c r="I393" s="226"/>
    </row>
    <row r="394" spans="2:9" s="46" customFormat="1" x14ac:dyDescent="0.3">
      <c r="B394" s="222"/>
      <c r="C394" s="223"/>
      <c r="D394" s="223"/>
      <c r="E394" s="222"/>
      <c r="F394" s="227"/>
      <c r="G394" s="227"/>
      <c r="H394" s="226"/>
      <c r="I394" s="226"/>
    </row>
    <row r="395" spans="2:9" s="46" customFormat="1" x14ac:dyDescent="0.3">
      <c r="B395" s="222"/>
      <c r="C395" s="223"/>
      <c r="D395" s="223"/>
      <c r="E395" s="222"/>
      <c r="F395" s="227"/>
      <c r="G395" s="227"/>
      <c r="H395" s="226"/>
      <c r="I395" s="226"/>
    </row>
    <row r="396" spans="2:9" s="46" customFormat="1" x14ac:dyDescent="0.3">
      <c r="B396" s="222"/>
      <c r="C396" s="223"/>
      <c r="D396" s="223"/>
      <c r="E396" s="222"/>
      <c r="F396" s="227"/>
      <c r="G396" s="227"/>
      <c r="H396" s="226"/>
      <c r="I396" s="226"/>
    </row>
    <row r="397" spans="2:9" s="46" customFormat="1" x14ac:dyDescent="0.3">
      <c r="B397" s="222"/>
      <c r="C397" s="223"/>
      <c r="D397" s="223"/>
      <c r="E397" s="222"/>
      <c r="F397" s="227"/>
      <c r="G397" s="227"/>
      <c r="H397" s="226"/>
      <c r="I397" s="226"/>
    </row>
    <row r="398" spans="2:9" s="46" customFormat="1" x14ac:dyDescent="0.3">
      <c r="B398" s="222"/>
      <c r="C398" s="223"/>
      <c r="D398" s="223"/>
      <c r="E398" s="222"/>
      <c r="F398" s="227"/>
      <c r="G398" s="227"/>
      <c r="H398" s="226"/>
      <c r="I398" s="226"/>
    </row>
    <row r="399" spans="2:9" s="46" customFormat="1" x14ac:dyDescent="0.3">
      <c r="B399" s="222"/>
      <c r="C399" s="223"/>
      <c r="D399" s="223"/>
      <c r="E399" s="222"/>
      <c r="F399" s="227"/>
      <c r="G399" s="227"/>
      <c r="H399" s="226"/>
      <c r="I399" s="226"/>
    </row>
    <row r="400" spans="2:9" s="46" customFormat="1" x14ac:dyDescent="0.3">
      <c r="B400" s="222"/>
      <c r="C400" s="223"/>
      <c r="D400" s="223"/>
      <c r="E400" s="222"/>
      <c r="F400" s="227"/>
      <c r="G400" s="227"/>
      <c r="H400" s="226"/>
      <c r="I400" s="226"/>
    </row>
    <row r="401" spans="2:9" s="46" customFormat="1" x14ac:dyDescent="0.3">
      <c r="B401" s="222"/>
      <c r="C401" s="223"/>
      <c r="D401" s="223"/>
      <c r="E401" s="222"/>
      <c r="F401" s="227"/>
      <c r="G401" s="227"/>
      <c r="H401" s="226"/>
      <c r="I401" s="226"/>
    </row>
    <row r="402" spans="2:9" s="46" customFormat="1" x14ac:dyDescent="0.3">
      <c r="B402" s="222"/>
      <c r="C402" s="223"/>
      <c r="D402" s="223"/>
      <c r="E402" s="222"/>
      <c r="F402" s="227"/>
      <c r="G402" s="227"/>
      <c r="H402" s="226"/>
      <c r="I402" s="226"/>
    </row>
    <row r="403" spans="2:9" s="46" customFormat="1" x14ac:dyDescent="0.3">
      <c r="B403" s="222"/>
      <c r="C403" s="223"/>
      <c r="D403" s="223"/>
      <c r="E403" s="222"/>
      <c r="F403" s="227"/>
      <c r="G403" s="227"/>
      <c r="H403" s="226"/>
      <c r="I403" s="226"/>
    </row>
    <row r="404" spans="2:9" s="46" customFormat="1" x14ac:dyDescent="0.3">
      <c r="B404" s="222"/>
      <c r="C404" s="223"/>
      <c r="D404" s="223"/>
      <c r="E404" s="222"/>
      <c r="F404" s="227"/>
      <c r="G404" s="227"/>
      <c r="H404" s="226"/>
      <c r="I404" s="226"/>
    </row>
    <row r="405" spans="2:9" s="46" customFormat="1" x14ac:dyDescent="0.3">
      <c r="B405" s="222"/>
      <c r="C405" s="223"/>
      <c r="D405" s="223"/>
      <c r="E405" s="222"/>
      <c r="F405" s="227"/>
      <c r="G405" s="227"/>
      <c r="H405" s="226"/>
      <c r="I405" s="226"/>
    </row>
    <row r="406" spans="2:9" s="46" customFormat="1" x14ac:dyDescent="0.3">
      <c r="B406" s="222"/>
      <c r="C406" s="223"/>
      <c r="D406" s="223"/>
      <c r="E406" s="222"/>
      <c r="F406" s="227"/>
      <c r="G406" s="227"/>
      <c r="H406" s="226"/>
      <c r="I406" s="226"/>
    </row>
    <row r="407" spans="2:9" s="46" customFormat="1" x14ac:dyDescent="0.3">
      <c r="B407" s="222"/>
      <c r="C407" s="223"/>
      <c r="D407" s="223"/>
      <c r="E407" s="222"/>
      <c r="F407" s="227"/>
      <c r="G407" s="227"/>
      <c r="H407" s="226"/>
      <c r="I407" s="226"/>
    </row>
    <row r="408" spans="2:9" s="46" customFormat="1" x14ac:dyDescent="0.3">
      <c r="B408" s="222"/>
      <c r="C408" s="223"/>
      <c r="D408" s="223"/>
      <c r="E408" s="222"/>
      <c r="F408" s="227"/>
      <c r="G408" s="227"/>
      <c r="H408" s="226"/>
      <c r="I408" s="226"/>
    </row>
    <row r="409" spans="2:9" s="46" customFormat="1" x14ac:dyDescent="0.3">
      <c r="B409" s="222"/>
      <c r="C409" s="223"/>
      <c r="D409" s="223"/>
      <c r="E409" s="222"/>
      <c r="F409" s="227"/>
      <c r="G409" s="227"/>
      <c r="H409" s="226"/>
      <c r="I409" s="226"/>
    </row>
    <row r="410" spans="2:9" s="46" customFormat="1" x14ac:dyDescent="0.3">
      <c r="B410" s="222"/>
      <c r="C410" s="223"/>
      <c r="D410" s="223"/>
      <c r="E410" s="222"/>
      <c r="F410" s="227"/>
      <c r="G410" s="227"/>
      <c r="H410" s="226"/>
      <c r="I410" s="226"/>
    </row>
    <row r="411" spans="2:9" s="46" customFormat="1" x14ac:dyDescent="0.3">
      <c r="B411" s="222"/>
      <c r="C411" s="223"/>
      <c r="D411" s="223"/>
      <c r="E411" s="222"/>
      <c r="F411" s="227"/>
      <c r="G411" s="227"/>
      <c r="H411" s="226"/>
      <c r="I411" s="226"/>
    </row>
    <row r="412" spans="2:9" s="46" customFormat="1" x14ac:dyDescent="0.3">
      <c r="B412" s="222"/>
      <c r="C412" s="223"/>
      <c r="D412" s="223"/>
      <c r="E412" s="222"/>
      <c r="F412" s="227"/>
      <c r="G412" s="227"/>
      <c r="H412" s="226"/>
      <c r="I412" s="226"/>
    </row>
    <row r="413" spans="2:9" s="46" customFormat="1" x14ac:dyDescent="0.3">
      <c r="B413" s="222"/>
      <c r="C413" s="223"/>
      <c r="D413" s="223"/>
      <c r="E413" s="222"/>
      <c r="F413" s="227"/>
      <c r="G413" s="227"/>
      <c r="H413" s="226"/>
      <c r="I413" s="226"/>
    </row>
    <row r="414" spans="2:9" s="46" customFormat="1" x14ac:dyDescent="0.3">
      <c r="B414" s="222"/>
      <c r="C414" s="223"/>
      <c r="D414" s="223"/>
      <c r="E414" s="222"/>
      <c r="F414" s="227"/>
      <c r="G414" s="227"/>
      <c r="H414" s="226"/>
      <c r="I414" s="226"/>
    </row>
    <row r="415" spans="2:9" s="46" customFormat="1" x14ac:dyDescent="0.3">
      <c r="B415" s="222"/>
      <c r="C415" s="223"/>
      <c r="D415" s="223"/>
      <c r="E415" s="222"/>
      <c r="F415" s="227"/>
      <c r="G415" s="227"/>
      <c r="H415" s="226"/>
      <c r="I415" s="226"/>
    </row>
    <row r="416" spans="2:9" s="46" customFormat="1" x14ac:dyDescent="0.3">
      <c r="B416" s="222"/>
      <c r="C416" s="223"/>
      <c r="D416" s="223"/>
      <c r="E416" s="222"/>
      <c r="F416" s="227"/>
      <c r="G416" s="227"/>
      <c r="H416" s="226"/>
      <c r="I416" s="226"/>
    </row>
    <row r="417" spans="2:9" s="46" customFormat="1" x14ac:dyDescent="0.3">
      <c r="B417" s="222"/>
      <c r="C417" s="223"/>
      <c r="D417" s="223"/>
      <c r="E417" s="222"/>
      <c r="F417" s="227"/>
      <c r="G417" s="227"/>
      <c r="H417" s="226"/>
      <c r="I417" s="226"/>
    </row>
    <row r="418" spans="2:9" s="46" customFormat="1" x14ac:dyDescent="0.3">
      <c r="B418" s="222"/>
      <c r="C418" s="223"/>
      <c r="D418" s="223"/>
      <c r="E418" s="222"/>
      <c r="F418" s="227"/>
      <c r="G418" s="227"/>
      <c r="H418" s="226"/>
      <c r="I418" s="226"/>
    </row>
    <row r="419" spans="2:9" s="46" customFormat="1" x14ac:dyDescent="0.3">
      <c r="B419" s="222"/>
      <c r="C419" s="223"/>
      <c r="D419" s="223"/>
      <c r="E419" s="222"/>
      <c r="F419" s="227"/>
      <c r="G419" s="227"/>
      <c r="H419" s="226"/>
      <c r="I419" s="226"/>
    </row>
    <row r="420" spans="2:9" s="46" customFormat="1" x14ac:dyDescent="0.3">
      <c r="B420" s="222"/>
      <c r="C420" s="223"/>
      <c r="D420" s="223"/>
      <c r="E420" s="222"/>
      <c r="F420" s="227"/>
      <c r="G420" s="227"/>
      <c r="H420" s="226"/>
      <c r="I420" s="226"/>
    </row>
    <row r="421" spans="2:9" s="46" customFormat="1" x14ac:dyDescent="0.3">
      <c r="B421" s="222"/>
      <c r="C421" s="223"/>
      <c r="D421" s="223"/>
      <c r="E421" s="222"/>
      <c r="F421" s="227"/>
      <c r="G421" s="227"/>
      <c r="H421" s="226"/>
      <c r="I421" s="226"/>
    </row>
    <row r="422" spans="2:9" s="46" customFormat="1" x14ac:dyDescent="0.3">
      <c r="B422" s="222"/>
      <c r="C422" s="223"/>
      <c r="D422" s="223"/>
      <c r="E422" s="222"/>
      <c r="F422" s="227"/>
      <c r="G422" s="227"/>
      <c r="H422" s="226"/>
      <c r="I422" s="226"/>
    </row>
    <row r="423" spans="2:9" s="46" customFormat="1" x14ac:dyDescent="0.3">
      <c r="B423" s="222"/>
      <c r="C423" s="223"/>
      <c r="D423" s="223"/>
      <c r="E423" s="222"/>
      <c r="F423" s="227"/>
      <c r="G423" s="227"/>
      <c r="H423" s="226"/>
      <c r="I423" s="226"/>
    </row>
    <row r="424" spans="2:9" s="46" customFormat="1" x14ac:dyDescent="0.3">
      <c r="B424" s="222"/>
      <c r="C424" s="223"/>
      <c r="D424" s="223"/>
      <c r="E424" s="222"/>
      <c r="F424" s="227"/>
      <c r="G424" s="227"/>
      <c r="H424" s="226"/>
      <c r="I424" s="226"/>
    </row>
    <row r="425" spans="2:9" s="46" customFormat="1" x14ac:dyDescent="0.3">
      <c r="B425" s="222"/>
      <c r="C425" s="223"/>
      <c r="D425" s="223"/>
      <c r="E425" s="222"/>
      <c r="F425" s="227"/>
      <c r="G425" s="227"/>
      <c r="H425" s="226"/>
      <c r="I425" s="226"/>
    </row>
    <row r="426" spans="2:9" s="46" customFormat="1" x14ac:dyDescent="0.3">
      <c r="B426" s="222"/>
      <c r="C426" s="223"/>
      <c r="D426" s="223"/>
      <c r="E426" s="222"/>
      <c r="F426" s="227"/>
      <c r="G426" s="227"/>
      <c r="H426" s="226"/>
      <c r="I426" s="226"/>
    </row>
  </sheetData>
  <sheetProtection formatCells="0" formatColumns="0" formatRows="0" insertRows="0" deleteRows="0" autoFilter="0"/>
  <dataConsolidate/>
  <mergeCells count="5">
    <mergeCell ref="B1:B2"/>
    <mergeCell ref="I1:I2"/>
    <mergeCell ref="C1:H1"/>
    <mergeCell ref="C2:H2"/>
    <mergeCell ref="B4:D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Param_General!$AO$4:$AO$8</xm:f>
          </x14:formula1>
          <xm:sqref>B7:B426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1:AI1024"/>
  <sheetViews>
    <sheetView topLeftCell="B13" workbookViewId="0">
      <selection activeCell="I18" sqref="I18:M18"/>
    </sheetView>
  </sheetViews>
  <sheetFormatPr defaultColWidth="11.453125" defaultRowHeight="14.5" x14ac:dyDescent="0.35"/>
  <cols>
    <col min="1" max="1" width="3.6328125" style="19" customWidth="1"/>
    <col min="2" max="2" width="16" style="19" customWidth="1"/>
    <col min="3" max="3" width="14.453125" style="19" customWidth="1"/>
    <col min="4" max="4" width="15.6328125" style="19" customWidth="1"/>
    <col min="5" max="5" width="12" style="19" customWidth="1"/>
    <col min="6" max="6" width="20.6328125" style="19" bestFit="1" customWidth="1"/>
    <col min="7" max="7" width="14.6328125" style="19" customWidth="1"/>
    <col min="8" max="8" width="10" style="19" customWidth="1"/>
    <col min="9" max="9" width="13.54296875" style="19" customWidth="1"/>
    <col min="10" max="10" width="12.54296875" style="19" customWidth="1"/>
    <col min="11" max="11" width="11.36328125" style="19" customWidth="1"/>
    <col min="12" max="12" width="15.36328125" style="19" customWidth="1"/>
    <col min="13" max="13" width="9.6328125" style="19" customWidth="1"/>
    <col min="14" max="15" width="15.6328125" style="19" customWidth="1"/>
    <col min="16" max="16" width="11.6328125" style="19" customWidth="1"/>
    <col min="17" max="17" width="12.54296875" style="19" customWidth="1"/>
    <col min="18" max="18" width="18.453125" style="19" customWidth="1"/>
    <col min="19" max="19" width="20.453125" style="19" customWidth="1"/>
    <col min="20" max="20" width="14.36328125" style="19" customWidth="1"/>
    <col min="21" max="21" width="11.6328125" style="19" customWidth="1"/>
    <col min="22" max="22" width="10.36328125" style="19" customWidth="1"/>
    <col min="23" max="23" width="11.453125" style="19" customWidth="1"/>
    <col min="24" max="24" width="37.453125" style="19" hidden="1" customWidth="1"/>
    <col min="25" max="25" width="11.453125" style="19" hidden="1" customWidth="1"/>
    <col min="26" max="26" width="20.6328125" style="19" hidden="1" customWidth="1"/>
    <col min="27" max="27" width="11.453125" style="19" hidden="1" customWidth="1"/>
    <col min="28" max="28" width="25.453125" style="19" hidden="1" customWidth="1"/>
    <col min="29" max="29" width="11.453125" style="19" hidden="1" customWidth="1"/>
    <col min="30" max="30" width="12.6328125" style="19" hidden="1" customWidth="1"/>
    <col min="31" max="31" width="15.6328125" style="19" customWidth="1"/>
    <col min="32" max="16384" width="11.453125" style="19"/>
  </cols>
  <sheetData>
    <row r="1" spans="2:35" ht="25.5" customHeight="1" x14ac:dyDescent="0.35">
      <c r="B1" s="471"/>
      <c r="C1" s="470" t="str">
        <f>Planeación!D1</f>
        <v>VERIFICACIÓN Y VALIDACIÓN</v>
      </c>
      <c r="D1" s="470"/>
      <c r="E1" s="470"/>
      <c r="F1" s="470"/>
      <c r="G1" s="470"/>
      <c r="H1" s="470"/>
      <c r="I1" s="470"/>
      <c r="J1" s="470"/>
      <c r="K1" s="470"/>
      <c r="L1" s="470"/>
      <c r="M1" s="470"/>
      <c r="N1" s="470"/>
      <c r="O1" s="470"/>
      <c r="P1" s="470"/>
      <c r="Q1" s="470"/>
      <c r="R1" s="470"/>
      <c r="S1" s="470"/>
      <c r="T1" s="476" t="str">
        <f>Planeación!K1</f>
        <v>Versión: 10
Fecha de emisión:  21/03/2018
Código: F-TAI-010-001</v>
      </c>
      <c r="U1" s="476"/>
    </row>
    <row r="2" spans="2:35" ht="19.5" customHeight="1" x14ac:dyDescent="0.35">
      <c r="B2" s="471"/>
      <c r="C2" s="470" t="str">
        <f>Planeación!D2</f>
        <v>FORMATO: Prueba interna</v>
      </c>
      <c r="D2" s="470"/>
      <c r="E2" s="470"/>
      <c r="F2" s="470"/>
      <c r="G2" s="470"/>
      <c r="H2" s="470"/>
      <c r="I2" s="470"/>
      <c r="J2" s="470"/>
      <c r="K2" s="470"/>
      <c r="L2" s="470"/>
      <c r="M2" s="470"/>
      <c r="N2" s="470"/>
      <c r="O2" s="470"/>
      <c r="P2" s="470"/>
      <c r="Q2" s="470"/>
      <c r="R2" s="470"/>
      <c r="S2" s="470"/>
      <c r="T2" s="476"/>
      <c r="U2" s="476"/>
    </row>
    <row r="3" spans="2:35" ht="15" customHeight="1" x14ac:dyDescent="0.35">
      <c r="C3" s="24"/>
      <c r="D3" s="24"/>
    </row>
    <row r="4" spans="2:35" ht="33.75" customHeight="1" x14ac:dyDescent="0.35">
      <c r="B4" s="158" t="s">
        <v>5</v>
      </c>
      <c r="D4" s="25"/>
      <c r="N4" s="475" t="s">
        <v>838</v>
      </c>
      <c r="O4" s="475"/>
      <c r="P4" s="475"/>
      <c r="Q4" s="475"/>
      <c r="S4" s="474" t="s">
        <v>839</v>
      </c>
      <c r="T4" s="474"/>
      <c r="U4" s="474"/>
    </row>
    <row r="5" spans="2:35" ht="34.5" customHeight="1" x14ac:dyDescent="0.35">
      <c r="C5" s="24"/>
      <c r="D5" s="25"/>
      <c r="N5" s="209" t="s">
        <v>142</v>
      </c>
      <c r="O5" s="210" t="s">
        <v>728</v>
      </c>
      <c r="P5" s="464" t="s">
        <v>701</v>
      </c>
      <c r="Q5" s="464"/>
      <c r="S5" s="209" t="s">
        <v>163</v>
      </c>
      <c r="T5" s="210" t="s">
        <v>707</v>
      </c>
      <c r="U5" s="210" t="s">
        <v>708</v>
      </c>
    </row>
    <row r="6" spans="2:35" ht="15" customHeight="1" x14ac:dyDescent="0.35">
      <c r="B6" s="462" t="s">
        <v>877</v>
      </c>
      <c r="C6" s="462"/>
      <c r="D6" s="462"/>
      <c r="E6" s="462"/>
      <c r="F6" s="462" t="s">
        <v>727</v>
      </c>
      <c r="G6" s="462"/>
      <c r="I6" s="462" t="s">
        <v>721</v>
      </c>
      <c r="J6" s="462"/>
      <c r="K6" s="462"/>
      <c r="L6" s="462"/>
      <c r="M6" s="22"/>
      <c r="N6" s="208" t="s">
        <v>139</v>
      </c>
      <c r="O6" s="316">
        <f>COUNTIFS($O$18:$O$1024,"Ambiente",$H$18:$H$1024,"Si",$G$18:$G$1024,"Error")</f>
        <v>0</v>
      </c>
      <c r="P6" s="465">
        <f>IFERROR((SUMIFS($AA$18:$AA$1024,$O$18:$O$1024,"Ambiente",$Y$18:$Y$1024,"&lt;&gt;Si",$H$18:$H$1024,"Si",$G$18:$G$1024,"Error"))
/(COUNTIFS($Y$18:$Y$1024,"&lt;&gt;Si",$O$18:$O$1024,"Ambiente",$H$18:$H$1024,"Si",$G$18:$G$1024,"Error")),0)</f>
        <v>0</v>
      </c>
      <c r="Q6" s="465"/>
      <c r="S6" s="212" t="s">
        <v>702</v>
      </c>
      <c r="T6" s="213">
        <f>P6</f>
        <v>0</v>
      </c>
      <c r="U6" s="213">
        <f>T6*8</f>
        <v>0</v>
      </c>
    </row>
    <row r="7" spans="2:35" ht="15" customHeight="1" x14ac:dyDescent="0.35">
      <c r="B7" s="472" t="s">
        <v>6</v>
      </c>
      <c r="C7" s="472"/>
      <c r="D7" s="314" t="s">
        <v>722</v>
      </c>
      <c r="E7" s="314" t="s">
        <v>684</v>
      </c>
      <c r="F7" s="314" t="s">
        <v>689</v>
      </c>
      <c r="G7" s="314" t="s">
        <v>206</v>
      </c>
      <c r="I7" s="472" t="s">
        <v>163</v>
      </c>
      <c r="J7" s="472"/>
      <c r="K7" s="314" t="s">
        <v>684</v>
      </c>
      <c r="L7" s="314" t="s">
        <v>722</v>
      </c>
      <c r="M7" s="22"/>
      <c r="N7" s="208" t="s">
        <v>140</v>
      </c>
      <c r="O7" s="316">
        <f>COUNTIFS($O$18:$O$1024,"Datos",$H$18:$H$1024,"Si",$G$18:$G$1024,"Error")</f>
        <v>0</v>
      </c>
      <c r="P7" s="465">
        <f>IFERROR((SUMIFS($AA$18:$AA$1024,$O$18:$O$1024,"Datos",$Y$18:$Y$1024,"&lt;&gt;Si",$H$18:$H$1024,"Si",$G$18:$G$1024,"Error"))
/(COUNTIFS($Y$18:$Y$1024,"&lt;&gt;Si",$O$18:$O$1024,"Datos",$H$18:$H$1024,"Si",$G$18:$G$1024,"Error")),0)</f>
        <v>0</v>
      </c>
      <c r="Q7" s="465"/>
      <c r="S7" s="212" t="s">
        <v>710</v>
      </c>
      <c r="T7" s="213">
        <f>P7</f>
        <v>0</v>
      </c>
      <c r="U7" s="213">
        <f>T7*8</f>
        <v>0</v>
      </c>
    </row>
    <row r="8" spans="2:35" ht="15" customHeight="1" x14ac:dyDescent="0.35">
      <c r="B8" s="473" t="s">
        <v>536</v>
      </c>
      <c r="C8" s="473"/>
      <c r="D8" s="207">
        <f>COUNTIFS($N$18:$N$1024,"Abierto",$G$18:$G$1024,"Error",$O$18:$O$1024,"&lt;&gt;Datos",$O$18:$O$1024,"&lt;&gt;Ambiente",$H$18:$H$1024,"Si")</f>
        <v>0</v>
      </c>
      <c r="E8" s="207">
        <f>COUNTIF($N$18:$N$1024,"Abierto")</f>
        <v>0</v>
      </c>
      <c r="F8" s="208" t="s">
        <v>167</v>
      </c>
      <c r="G8" s="207">
        <f>COUNTIF($Q$18:$Q$1024,"No Aplica")</f>
        <v>0</v>
      </c>
      <c r="I8" s="473" t="s">
        <v>166</v>
      </c>
      <c r="J8" s="473"/>
      <c r="K8" s="317">
        <f>COUNTIF($G$18:$G$1024,"Error")</f>
        <v>0</v>
      </c>
      <c r="L8" s="317">
        <f>SUM(COUNTIFS($H$18:$H$1024,"Si",$G$18:$G$1024,"Error",$O$18:$O$1024,"Funcionalidad"),
COUNTIFS($H$18:$H$1024,"Si",$G$18:$G$1024,"Error",$O$18:$O$1024,"Rendimiento"),
COUNTIFS($H$18:$H$1024,"Si",$G$18:$G$1024,"Error",$O$18:$O$1024,"Seguridad"),
COUNTIFS($H$18:$H$1024,"Si",$G$18:$G$1024,"Error",$O$18:$O$1024,"Documetación"),
COUNTIFS($H$18:$H$1024,"Si",$G$18:$G$1024,"Error",$O$18:$O$1024,"Presentación"))</f>
        <v>0</v>
      </c>
      <c r="N8" s="208" t="s">
        <v>143</v>
      </c>
      <c r="O8" s="316">
        <f>COUNTIFS($O$18:$O$1024,"Documentación",$H$18:$H$1024,"Si",$G$18:$G$1024,"Error")</f>
        <v>0</v>
      </c>
      <c r="P8" s="465">
        <f>IFERROR((SUMIFS($AA$18:$AA$1024,$O$18:$O$1024,"Documentación",$Y$18:$Y$1024,"&lt;&gt;Si",$H$18:$H$1024,"Si",$G$18:$G$1024,"Error"))
/(COUNTIFS($Y$18:$Y$1024,"&lt;&gt;Si",$O$18:$O$1024,"Documentación",$H$18:$H$1024,"Si",$G$18:$G$1024,"Error")),0)</f>
        <v>0</v>
      </c>
      <c r="Q8" s="465"/>
      <c r="S8" s="212" t="s">
        <v>703</v>
      </c>
      <c r="T8" s="213">
        <f>SUM(P8,P9,P10,P11,P12)</f>
        <v>0</v>
      </c>
      <c r="U8" s="213">
        <f>T8*8</f>
        <v>0</v>
      </c>
    </row>
    <row r="9" spans="2:35" ht="15" customHeight="1" x14ac:dyDescent="0.35">
      <c r="B9" s="473" t="s">
        <v>533</v>
      </c>
      <c r="C9" s="473"/>
      <c r="D9" s="207">
        <f>COUNTIFS($N$18:$N$1024,"Asignado",$G$18:$G$1024,"Error",$O$18:$O$1024,"&lt;&gt;Datos",$O$18:$O$1024,"&lt;&gt;Ambiente",$H$18:$H$1024,"Si")</f>
        <v>0</v>
      </c>
      <c r="E9" s="207">
        <f>COUNTIF($N$18:$N$1024,"Asignado")</f>
        <v>0</v>
      </c>
      <c r="F9" s="208" t="s">
        <v>691</v>
      </c>
      <c r="G9" s="207">
        <f>COUNTIF($Q$18:$Q$1024,"Duplicado")</f>
        <v>0</v>
      </c>
      <c r="I9" s="473" t="s">
        <v>560</v>
      </c>
      <c r="J9" s="473"/>
      <c r="K9" s="317">
        <f>COUNTIF($G$18:$G$1024,"Consideración")</f>
        <v>0</v>
      </c>
      <c r="L9" s="317">
        <v>0</v>
      </c>
      <c r="N9" s="208" t="s">
        <v>144</v>
      </c>
      <c r="O9" s="316">
        <f>COUNTIFS($O$18:$O$1024,"Funcionalidad",$H$18:$H$1024,"Si",$G$18:$G$1024,"Error")</f>
        <v>0</v>
      </c>
      <c r="P9" s="465">
        <f>IFERROR((SUMIFS($AA$18:$AA$417,$O$18:$O$417,"Funcionalidad",$Y$18:$Y$417,"&lt;&gt;Si",$H$18:$H$417,"Si",$G$18:$G$417,"Error"))
/(COUNTIFS($Y$18:$Y$417,"&lt;&gt;Si",$O$18:$O$417,"Funcionalidad",$H$18:$H$417,"Si",$G$18:$G$417,"Error")),0)</f>
        <v>0</v>
      </c>
      <c r="Q9" s="465"/>
      <c r="S9" s="313" t="s">
        <v>684</v>
      </c>
      <c r="T9" s="214">
        <f>SUM(T6,T7,T8)</f>
        <v>0</v>
      </c>
      <c r="U9" s="214">
        <f>SUM(U6,U7,U8)</f>
        <v>0</v>
      </c>
    </row>
    <row r="10" spans="2:35" ht="15" customHeight="1" x14ac:dyDescent="0.35">
      <c r="B10" s="473" t="s">
        <v>534</v>
      </c>
      <c r="C10" s="473"/>
      <c r="D10" s="207">
        <f>COUNTIFS($N$18:$N$1024,"Solucionado",$G$18:$G$1024,"Error",$O$18:$O$1024,"&lt;&gt;Datos",$O$18:$O$1024,"&lt;&gt;Ambiente",$H$18:$H$1024,"Si")</f>
        <v>0</v>
      </c>
      <c r="E10" s="207">
        <f>COUNTIF($N$18:$N$1024,"Solucionado")</f>
        <v>0</v>
      </c>
      <c r="F10" s="208" t="s">
        <v>692</v>
      </c>
      <c r="G10" s="207">
        <f>COUNTIF($Q$18:$Q$1024,"No se pudo reproducir")</f>
        <v>0</v>
      </c>
      <c r="I10" s="473" t="s">
        <v>165</v>
      </c>
      <c r="J10" s="473"/>
      <c r="K10" s="317">
        <f>COUNTIF($G$18:$G$1024,"Sugerencia")</f>
        <v>0</v>
      </c>
      <c r="L10" s="317">
        <v>0</v>
      </c>
      <c r="N10" s="208" t="s">
        <v>146</v>
      </c>
      <c r="O10" s="316">
        <f>COUNTIFS($O$18:$O$1024,"Presentación",$H$18:$H$1024,"Si",$G$18:$G$1024,"Error")</f>
        <v>0</v>
      </c>
      <c r="P10" s="465">
        <f>IFERROR((SUMIFS($AA$18:$AA$417,$O$18:$O$417,"Presentación",$Y$18:$Y$417,"&lt;&gt;Si",$H$18:$H$417,"Si",$G$18:$G$417,"Error"))
/(COUNTIFS($Y$18:$Y$417,"&lt;&gt;Si",$O$18:$O$417,"Presentación",$H$18:$H$417,"Si",$G$18:$G$417,"Error")),0)</f>
        <v>0</v>
      </c>
      <c r="Q10" s="465"/>
    </row>
    <row r="11" spans="2:35" ht="15" customHeight="1" x14ac:dyDescent="0.35">
      <c r="B11" s="473" t="s">
        <v>169</v>
      </c>
      <c r="C11" s="473"/>
      <c r="D11" s="207">
        <f>COUNTIFS($N$18:$N$1024,"Reabierto",$G$18:$G$1024,"Error",$O$18:$O$1024,"&lt;&gt;Datos",$O$18:$O$1024,"&lt;&gt;Ambiente",$H$18:$H$1024,"Si")</f>
        <v>0</v>
      </c>
      <c r="E11" s="207">
        <f>COUNTIF($N$18:$N$1024,"Reabierto")</f>
        <v>0</v>
      </c>
      <c r="F11" s="208" t="s">
        <v>693</v>
      </c>
      <c r="G11" s="207">
        <f>COUNTIF($Q$18:$Q$1024,"Verificado")</f>
        <v>0</v>
      </c>
      <c r="I11" s="473" t="s">
        <v>561</v>
      </c>
      <c r="J11" s="473"/>
      <c r="K11" s="317">
        <f>COUNTIF($G$18:$G$1024,"Cambio/Mejora")</f>
        <v>0</v>
      </c>
      <c r="L11" s="317">
        <v>0</v>
      </c>
      <c r="N11" s="208" t="s">
        <v>145</v>
      </c>
      <c r="O11" s="316">
        <f>COUNTIFS($O$18:$O$1024,"Rendimiento",$H$18:$H$1024,"Si",$G$18:$G$1024,"Error")</f>
        <v>0</v>
      </c>
      <c r="P11" s="465">
        <f>IFERROR((SUMIFS($AA$18:$AA$417,$O$18:$O$417,"Rendimiento",$Y$18:$Y$417,"&lt;&gt;Si",$H$18:$H$417,"Si",$G$18:$G$417,"Error"))
/(COUNTIFS($Y$18:$Y$417,"&lt;&gt;Si",$O$18:$O$417,"Rendimiento",$H$18:$H$417,"Si",$G$18:$G$417,"Error")),0)</f>
        <v>0</v>
      </c>
      <c r="Q11" s="465"/>
    </row>
    <row r="12" spans="2:35" ht="15" customHeight="1" x14ac:dyDescent="0.35">
      <c r="B12" s="473" t="s">
        <v>535</v>
      </c>
      <c r="C12" s="473"/>
      <c r="D12" s="207">
        <f>COUNTIFS($N$18:$N$1024,"Cerrado",$G$18:$G$1024,"Error",$O$18:$O$1024,"&lt;&gt;Datos",$O$18:$O$1024,"&lt;&gt;Ambiente",$H$18:$H$1024,"Si")</f>
        <v>0</v>
      </c>
      <c r="E12" s="207">
        <f>COUNTIF($N$18:$N$1024,"Cerrado")</f>
        <v>0</v>
      </c>
      <c r="F12" s="208" t="s">
        <v>709</v>
      </c>
      <c r="G12" s="207">
        <f>COUNTIF($Q$18:$Q$1024,"Próxima versión")</f>
        <v>0</v>
      </c>
      <c r="I12" s="473" t="s">
        <v>164</v>
      </c>
      <c r="J12" s="473"/>
      <c r="K12" s="317">
        <f>COUNTIF($G$18:$G$1024,"Hallazgo")</f>
        <v>0</v>
      </c>
      <c r="L12" s="317">
        <v>0</v>
      </c>
      <c r="N12" s="208" t="s">
        <v>141</v>
      </c>
      <c r="O12" s="316">
        <f>COUNTIFS($O$18:$O$1024,"Seguridad",$H$18:$H$1024,"Si",$G$18:$G$1024,"Error")</f>
        <v>0</v>
      </c>
      <c r="P12" s="465">
        <f>IFERROR((SUMIFS($AA$18:$AA$417,$O$18:$O$417,"Seguridad",$Y$18:$Y$417,"&lt;&gt;Si",$H$18:$H$417,"Si",$G$18:$G$417,"Error"))
/(COUNTIFS($Y$18:$Y$417,"&lt;&gt;Si",$O$18:$O$417,"Seguridad",$H$18:$H$417,"Si",$G$18:$G$417,"Error")),0)</f>
        <v>0</v>
      </c>
      <c r="Q12" s="465"/>
      <c r="S12" s="462" t="s">
        <v>840</v>
      </c>
      <c r="T12" s="462"/>
      <c r="U12" s="462"/>
      <c r="AD12" s="19" t="s">
        <v>881</v>
      </c>
      <c r="AE12" s="181" t="str">
        <f>IF(MIN(R18:R1000)=0,"",MIN($R$18:$R$1000))</f>
        <v/>
      </c>
    </row>
    <row r="13" spans="2:35" ht="15" customHeight="1" x14ac:dyDescent="0.35">
      <c r="B13" s="466" t="s">
        <v>684</v>
      </c>
      <c r="C13" s="466"/>
      <c r="D13" s="199">
        <f>SUM(D8:D12)</f>
        <v>0</v>
      </c>
      <c r="E13" s="199">
        <f>SUM(E8:E12)</f>
        <v>0</v>
      </c>
      <c r="F13" s="315" t="s">
        <v>684</v>
      </c>
      <c r="G13" s="199">
        <f>SUM(G8:G12)</f>
        <v>0</v>
      </c>
      <c r="I13" s="466" t="s">
        <v>684</v>
      </c>
      <c r="J13" s="466"/>
      <c r="K13" s="199">
        <f>SUM(K8:K12)</f>
        <v>0</v>
      </c>
      <c r="L13" s="199">
        <f>SUM(L8:L12)</f>
        <v>0</v>
      </c>
      <c r="N13" s="313" t="s">
        <v>684</v>
      </c>
      <c r="O13" s="313">
        <f>SUM(O6:O12)</f>
        <v>0</v>
      </c>
      <c r="P13" s="463">
        <f>SUM(P6:P12)</f>
        <v>0</v>
      </c>
      <c r="Q13" s="463"/>
      <c r="S13" s="211" t="s">
        <v>204</v>
      </c>
      <c r="T13" s="468">
        <f>IFERROR(NETWORKDAYS($AE$12,$AE$13,0),0)</f>
        <v>0</v>
      </c>
      <c r="U13" s="469"/>
      <c r="AD13" s="19" t="s">
        <v>882</v>
      </c>
      <c r="AE13" s="181" t="str">
        <f>IF(MAX(S18:S1001)=0,"",MAX($S$18:$S$1000))</f>
        <v/>
      </c>
    </row>
    <row r="14" spans="2:35" ht="15" customHeight="1" x14ac:dyDescent="0.35"/>
    <row r="15" spans="2:35" s="18" customFormat="1" ht="22.5" customHeight="1" x14ac:dyDescent="0.65">
      <c r="B15" s="467" t="s">
        <v>162</v>
      </c>
      <c r="C15" s="467"/>
      <c r="D15" s="467"/>
      <c r="E15" s="467"/>
      <c r="F15" s="467"/>
      <c r="G15" s="467"/>
      <c r="H15" s="467"/>
      <c r="I15" s="467"/>
      <c r="J15" s="467"/>
      <c r="K15" s="467"/>
      <c r="L15" s="467"/>
      <c r="M15" s="467"/>
      <c r="N15" s="467"/>
      <c r="O15" s="467"/>
      <c r="P15" s="467"/>
      <c r="Q15" s="467"/>
      <c r="R15" s="467"/>
      <c r="S15" s="467"/>
      <c r="T15" s="467"/>
      <c r="U15" s="467"/>
      <c r="V15" s="20"/>
      <c r="Y15" s="20"/>
      <c r="Z15" s="20"/>
      <c r="AA15" s="20"/>
      <c r="AB15" s="20"/>
      <c r="AC15" s="20"/>
      <c r="AD15" s="20"/>
      <c r="AE15" s="20"/>
      <c r="AF15" s="20"/>
      <c r="AG15" s="20"/>
      <c r="AH15" s="20"/>
      <c r="AI15" s="20"/>
    </row>
    <row r="16" spans="2:35" ht="30" customHeight="1" x14ac:dyDescent="0.35">
      <c r="B16" s="461" t="s">
        <v>898</v>
      </c>
      <c r="C16" s="461" t="s">
        <v>174</v>
      </c>
      <c r="D16" s="461" t="s">
        <v>518</v>
      </c>
      <c r="E16" s="461" t="s">
        <v>175</v>
      </c>
      <c r="F16" s="461" t="s">
        <v>137</v>
      </c>
      <c r="G16" s="461" t="s">
        <v>163</v>
      </c>
      <c r="H16" s="461" t="s">
        <v>696</v>
      </c>
      <c r="I16" s="461" t="s">
        <v>7</v>
      </c>
      <c r="J16" s="461"/>
      <c r="K16" s="461"/>
      <c r="L16" s="461"/>
      <c r="M16" s="461"/>
      <c r="N16" s="461" t="s">
        <v>6</v>
      </c>
      <c r="O16" s="461" t="s">
        <v>142</v>
      </c>
      <c r="P16" s="461" t="s">
        <v>683</v>
      </c>
      <c r="Q16" s="461" t="s">
        <v>689</v>
      </c>
      <c r="R16" s="461" t="s">
        <v>176</v>
      </c>
      <c r="S16" s="461" t="s">
        <v>203</v>
      </c>
      <c r="T16" s="461" t="s">
        <v>837</v>
      </c>
      <c r="U16" s="461"/>
    </row>
    <row r="17" spans="2:29" ht="15.75" customHeight="1" x14ac:dyDescent="0.35">
      <c r="B17" s="461"/>
      <c r="C17" s="461"/>
      <c r="D17" s="461"/>
      <c r="E17" s="461"/>
      <c r="F17" s="461"/>
      <c r="G17" s="461"/>
      <c r="H17" s="461"/>
      <c r="I17" s="461"/>
      <c r="J17" s="461"/>
      <c r="K17" s="461"/>
      <c r="L17" s="461"/>
      <c r="M17" s="461"/>
      <c r="N17" s="461"/>
      <c r="O17" s="461"/>
      <c r="P17" s="461"/>
      <c r="Q17" s="461"/>
      <c r="R17" s="461"/>
      <c r="S17" s="461"/>
      <c r="T17" s="215" t="s">
        <v>204</v>
      </c>
      <c r="U17" s="215" t="s">
        <v>205</v>
      </c>
      <c r="X17" s="23" t="s">
        <v>699</v>
      </c>
      <c r="Y17" s="23" t="s">
        <v>700</v>
      </c>
      <c r="Z17" s="23" t="s">
        <v>204</v>
      </c>
      <c r="AA17" s="23" t="s">
        <v>705</v>
      </c>
      <c r="AB17" s="23" t="s">
        <v>706</v>
      </c>
      <c r="AC17" s="23" t="s">
        <v>704</v>
      </c>
    </row>
    <row r="18" spans="2:29" ht="15" customHeight="1" x14ac:dyDescent="0.35">
      <c r="B18" s="219"/>
      <c r="C18" s="216" t="s">
        <v>171</v>
      </c>
      <c r="D18" s="216"/>
      <c r="E18" s="220"/>
      <c r="F18" s="220"/>
      <c r="G18" s="220"/>
      <c r="H18" s="220"/>
      <c r="I18" s="460"/>
      <c r="J18" s="460"/>
      <c r="K18" s="460"/>
      <c r="L18" s="460"/>
      <c r="M18" s="460"/>
      <c r="N18" s="220"/>
      <c r="O18" s="220"/>
      <c r="P18" s="220"/>
      <c r="Q18" s="220"/>
      <c r="R18" s="221"/>
      <c r="S18" s="221"/>
      <c r="T18" s="316">
        <f>IF(S18=0,0,IF(S18&lt;R18,"Error en fecha solución",IFERROR(AC18,NETWORKDAYS(R18,S18)-1)))</f>
        <v>0</v>
      </c>
      <c r="U18" s="217">
        <f>IFERROR(T18*8,"Error")</f>
        <v>0</v>
      </c>
      <c r="X18" s="26" t="str">
        <f>CONCATENATE(H18,O18,R18,S18)</f>
        <v/>
      </c>
      <c r="Y18" s="21" t="str">
        <f>IF(MATCH(X18,X19:$X$300,0),"Si",1)</f>
        <v>Si</v>
      </c>
      <c r="Z18" s="26">
        <f>IF(S18=0,0,IF(S18&lt;R18,"Error en fecha solución",IF(Y18="Si",0,IFERROR(Y18,NETWORKDAYS(R18,S18)-1))))</f>
        <v>0</v>
      </c>
      <c r="AA18" s="26">
        <f>IF(S18=0,0,IF(S18&lt;R18,"Error en fecha solución",IFERROR(Z18,NETWORKDAYS(R18,S18)-1)))</f>
        <v>0</v>
      </c>
      <c r="AB18" s="26" t="str">
        <f>CONCATENATE(R18,S18)</f>
        <v/>
      </c>
      <c r="AC18" s="26" t="str">
        <f>IF(MATCH(AB18,AB19:$AB$300,0),"0",1)</f>
        <v>0</v>
      </c>
    </row>
    <row r="19" spans="2:29" x14ac:dyDescent="0.35">
      <c r="B19" s="219"/>
      <c r="C19" s="216" t="s">
        <v>172</v>
      </c>
      <c r="D19" s="216"/>
      <c r="E19" s="220"/>
      <c r="F19" s="220"/>
      <c r="G19" s="220"/>
      <c r="H19" s="220" t="str">
        <f t="shared" ref="H19:H81" si="0">IF(G19=0,"",IF(G19&lt;&gt;"Error","No",""))</f>
        <v/>
      </c>
      <c r="I19" s="460"/>
      <c r="J19" s="460"/>
      <c r="K19" s="460"/>
      <c r="L19" s="460"/>
      <c r="M19" s="460"/>
      <c r="N19" s="220"/>
      <c r="O19" s="220"/>
      <c r="P19" s="220"/>
      <c r="Q19" s="220"/>
      <c r="R19" s="221"/>
      <c r="S19" s="221"/>
      <c r="T19" s="316">
        <f t="shared" ref="T19:T82" si="1">IF(S19=0,0,IF(S19&lt;R19,"Error en fecha solución",IFERROR(AC19,NETWORKDAYS(R19,S19)-1)))</f>
        <v>0</v>
      </c>
      <c r="U19" s="217">
        <f t="shared" ref="U19:U82" si="2">IFERROR(T19*8,"Error")</f>
        <v>0</v>
      </c>
      <c r="X19" s="26" t="str">
        <f>CONCATENATE(H19,O19,R19,S19)</f>
        <v/>
      </c>
      <c r="Y19" s="21" t="str">
        <f>IF(MATCH(X19,X20:$X$300,0),"Si",1)</f>
        <v>Si</v>
      </c>
      <c r="Z19" s="26">
        <f t="shared" ref="Z19:Z82" si="3">IF(S19=0,0,IF(S19&lt;R19,"Error en fecha solución",IF(Y19="Si",0,IFERROR(Y19,NETWORKDAYS(R19,S19)-1))))</f>
        <v>0</v>
      </c>
      <c r="AA19" s="26">
        <f t="shared" ref="AA19:AA82" si="4">IF(S19=0,0,IF(S19&lt;R19,"Error en fecha solución",IFERROR(Z19,NETWORKDAYS(R19,S19)-1)))</f>
        <v>0</v>
      </c>
      <c r="AB19" s="26" t="str">
        <f t="shared" ref="AB19:AB82" si="5">CONCATENATE(R19,S19)</f>
        <v/>
      </c>
      <c r="AC19" s="26" t="str">
        <f>IF(MATCH(AB19,AB20:$AB$300,0),"0",1)</f>
        <v>0</v>
      </c>
    </row>
    <row r="20" spans="2:29" x14ac:dyDescent="0.35">
      <c r="B20" s="219"/>
      <c r="C20" s="216" t="s">
        <v>173</v>
      </c>
      <c r="D20" s="216"/>
      <c r="E20" s="220"/>
      <c r="F20" s="220"/>
      <c r="G20" s="220"/>
      <c r="H20" s="220" t="str">
        <f t="shared" si="0"/>
        <v/>
      </c>
      <c r="I20" s="460"/>
      <c r="J20" s="460"/>
      <c r="K20" s="460"/>
      <c r="L20" s="460"/>
      <c r="M20" s="460"/>
      <c r="N20" s="220"/>
      <c r="O20" s="220"/>
      <c r="P20" s="220"/>
      <c r="Q20" s="220"/>
      <c r="R20" s="221"/>
      <c r="S20" s="221"/>
      <c r="T20" s="316">
        <f t="shared" si="1"/>
        <v>0</v>
      </c>
      <c r="U20" s="217">
        <f t="shared" si="2"/>
        <v>0</v>
      </c>
      <c r="X20" s="26" t="str">
        <f t="shared" ref="X20:X82" si="6">CONCATENATE(H20,O20,R20,S20)</f>
        <v/>
      </c>
      <c r="Y20" s="21" t="str">
        <f>IF(MATCH(X20,X21:$X$300,0),"Si",1)</f>
        <v>Si</v>
      </c>
      <c r="Z20" s="26">
        <f t="shared" si="3"/>
        <v>0</v>
      </c>
      <c r="AA20" s="26">
        <f t="shared" si="4"/>
        <v>0</v>
      </c>
      <c r="AB20" s="26" t="str">
        <f t="shared" si="5"/>
        <v/>
      </c>
      <c r="AC20" s="26" t="str">
        <f>IF(MATCH(AB20,AB21:$AB$300,0),"0",1)</f>
        <v>0</v>
      </c>
    </row>
    <row r="21" spans="2:29" x14ac:dyDescent="0.35">
      <c r="B21" s="219"/>
      <c r="C21" s="216" t="s">
        <v>177</v>
      </c>
      <c r="D21" s="216"/>
      <c r="E21" s="220"/>
      <c r="F21" s="220"/>
      <c r="G21" s="220"/>
      <c r="H21" s="220" t="str">
        <f t="shared" si="0"/>
        <v/>
      </c>
      <c r="I21" s="460"/>
      <c r="J21" s="460"/>
      <c r="K21" s="460"/>
      <c r="L21" s="460"/>
      <c r="M21" s="460"/>
      <c r="N21" s="220"/>
      <c r="O21" s="220"/>
      <c r="P21" s="220"/>
      <c r="Q21" s="220"/>
      <c r="R21" s="221"/>
      <c r="S21" s="221"/>
      <c r="T21" s="316">
        <f t="shared" si="1"/>
        <v>0</v>
      </c>
      <c r="U21" s="217">
        <f t="shared" si="2"/>
        <v>0</v>
      </c>
      <c r="X21" s="26" t="str">
        <f t="shared" si="6"/>
        <v/>
      </c>
      <c r="Y21" s="21" t="str">
        <f>IF(MATCH(X21,X22:$X$300,0),"Si",1)</f>
        <v>Si</v>
      </c>
      <c r="Z21" s="26">
        <f t="shared" si="3"/>
        <v>0</v>
      </c>
      <c r="AA21" s="26">
        <f t="shared" si="4"/>
        <v>0</v>
      </c>
      <c r="AB21" s="26" t="str">
        <f t="shared" si="5"/>
        <v/>
      </c>
      <c r="AC21" s="26" t="str">
        <f>IF(MATCH(AB21,AB22:$AB$300,0),"0",1)</f>
        <v>0</v>
      </c>
    </row>
    <row r="22" spans="2:29" x14ac:dyDescent="0.35">
      <c r="B22" s="219"/>
      <c r="C22" s="216" t="s">
        <v>178</v>
      </c>
      <c r="D22" s="216"/>
      <c r="E22" s="220"/>
      <c r="F22" s="220"/>
      <c r="G22" s="220"/>
      <c r="H22" s="220" t="str">
        <f t="shared" si="0"/>
        <v/>
      </c>
      <c r="I22" s="460"/>
      <c r="J22" s="460"/>
      <c r="K22" s="460"/>
      <c r="L22" s="460"/>
      <c r="M22" s="460"/>
      <c r="N22" s="220"/>
      <c r="O22" s="220"/>
      <c r="P22" s="220"/>
      <c r="Q22" s="220"/>
      <c r="R22" s="221"/>
      <c r="S22" s="221"/>
      <c r="T22" s="316">
        <f t="shared" si="1"/>
        <v>0</v>
      </c>
      <c r="U22" s="217">
        <f t="shared" si="2"/>
        <v>0</v>
      </c>
      <c r="X22" s="26" t="str">
        <f t="shared" si="6"/>
        <v/>
      </c>
      <c r="Y22" s="21" t="str">
        <f>IF(MATCH(X22,X23:$X$300,0),"Si",1)</f>
        <v>Si</v>
      </c>
      <c r="Z22" s="26">
        <f t="shared" si="3"/>
        <v>0</v>
      </c>
      <c r="AA22" s="26">
        <f t="shared" si="4"/>
        <v>0</v>
      </c>
      <c r="AB22" s="26" t="str">
        <f t="shared" si="5"/>
        <v/>
      </c>
      <c r="AC22" s="26" t="str">
        <f>IF(MATCH(AB22,AB23:$AB$300,0),"0",1)</f>
        <v>0</v>
      </c>
    </row>
    <row r="23" spans="2:29" x14ac:dyDescent="0.35">
      <c r="B23" s="219"/>
      <c r="C23" s="216" t="s">
        <v>179</v>
      </c>
      <c r="D23" s="216"/>
      <c r="E23" s="220"/>
      <c r="F23" s="220"/>
      <c r="G23" s="220"/>
      <c r="H23" s="220" t="str">
        <f t="shared" si="0"/>
        <v/>
      </c>
      <c r="I23" s="460"/>
      <c r="J23" s="460"/>
      <c r="K23" s="460"/>
      <c r="L23" s="460"/>
      <c r="M23" s="460"/>
      <c r="N23" s="220"/>
      <c r="O23" s="220"/>
      <c r="P23" s="220"/>
      <c r="Q23" s="220"/>
      <c r="R23" s="221"/>
      <c r="S23" s="221"/>
      <c r="T23" s="316">
        <f>IF(S23=0,0,IF(S23&lt;R23,"Error en fecha solución",IFERROR(AC23,NETWORKDAYS(R23,S23)-1)))</f>
        <v>0</v>
      </c>
      <c r="U23" s="217">
        <f t="shared" si="2"/>
        <v>0</v>
      </c>
      <c r="X23" s="26" t="str">
        <f t="shared" si="6"/>
        <v/>
      </c>
      <c r="Y23" s="21" t="str">
        <f>IF(MATCH(X23,X24:$X$300,0),"Si",1)</f>
        <v>Si</v>
      </c>
      <c r="Z23" s="26">
        <f t="shared" si="3"/>
        <v>0</v>
      </c>
      <c r="AA23" s="26">
        <f t="shared" si="4"/>
        <v>0</v>
      </c>
      <c r="AB23" s="26" t="str">
        <f t="shared" si="5"/>
        <v/>
      </c>
      <c r="AC23" s="26" t="str">
        <f>IF(MATCH(AB23,AB24:$AB$300,0),"0",1)</f>
        <v>0</v>
      </c>
    </row>
    <row r="24" spans="2:29" x14ac:dyDescent="0.35">
      <c r="B24" s="219"/>
      <c r="C24" s="216" t="s">
        <v>180</v>
      </c>
      <c r="D24" s="216"/>
      <c r="E24" s="220"/>
      <c r="F24" s="220"/>
      <c r="G24" s="220"/>
      <c r="H24" s="220" t="str">
        <f t="shared" si="0"/>
        <v/>
      </c>
      <c r="I24" s="460"/>
      <c r="J24" s="460"/>
      <c r="K24" s="460"/>
      <c r="L24" s="460"/>
      <c r="M24" s="460"/>
      <c r="N24" s="220"/>
      <c r="O24" s="220"/>
      <c r="P24" s="220"/>
      <c r="Q24" s="220"/>
      <c r="R24" s="221"/>
      <c r="S24" s="221"/>
      <c r="T24" s="316">
        <f t="shared" si="1"/>
        <v>0</v>
      </c>
      <c r="U24" s="217">
        <f t="shared" si="2"/>
        <v>0</v>
      </c>
      <c r="X24" s="26" t="str">
        <f t="shared" si="6"/>
        <v/>
      </c>
      <c r="Y24" s="21" t="str">
        <f>IF(MATCH(X24,X25:$X$300,0),"Si",1)</f>
        <v>Si</v>
      </c>
      <c r="Z24" s="26">
        <f t="shared" si="3"/>
        <v>0</v>
      </c>
      <c r="AA24" s="26">
        <f t="shared" si="4"/>
        <v>0</v>
      </c>
      <c r="AB24" s="26" t="str">
        <f t="shared" si="5"/>
        <v/>
      </c>
      <c r="AC24" s="26" t="str">
        <f>IF(MATCH(AB24,AB25:$AB$300,0),"0",1)</f>
        <v>0</v>
      </c>
    </row>
    <row r="25" spans="2:29" x14ac:dyDescent="0.35">
      <c r="B25" s="219"/>
      <c r="C25" s="216" t="s">
        <v>181</v>
      </c>
      <c r="D25" s="216"/>
      <c r="E25" s="220"/>
      <c r="F25" s="220"/>
      <c r="G25" s="220"/>
      <c r="H25" s="220" t="str">
        <f t="shared" si="0"/>
        <v/>
      </c>
      <c r="I25" s="460"/>
      <c r="J25" s="460"/>
      <c r="K25" s="460"/>
      <c r="L25" s="460"/>
      <c r="M25" s="460"/>
      <c r="N25" s="220"/>
      <c r="O25" s="220"/>
      <c r="P25" s="220"/>
      <c r="Q25" s="220"/>
      <c r="R25" s="221"/>
      <c r="S25" s="221"/>
      <c r="T25" s="316">
        <f>IF(S25=0,0,IF(S25&lt;R25,"Error en fecha solución",IFERROR(AC25,NETWORKDAYS(R25,S25)-1)))</f>
        <v>0</v>
      </c>
      <c r="U25" s="217">
        <f t="shared" si="2"/>
        <v>0</v>
      </c>
      <c r="X25" s="26" t="str">
        <f t="shared" si="6"/>
        <v/>
      </c>
      <c r="Y25" s="21" t="str">
        <f>IF(MATCH(X25,X26:$X$300,0),"Si",1)</f>
        <v>Si</v>
      </c>
      <c r="Z25" s="26">
        <f t="shared" si="3"/>
        <v>0</v>
      </c>
      <c r="AA25" s="26">
        <f t="shared" si="4"/>
        <v>0</v>
      </c>
      <c r="AB25" s="26" t="str">
        <f t="shared" si="5"/>
        <v/>
      </c>
      <c r="AC25" s="26" t="str">
        <f>IF(MATCH(AB25,AB26:$AB$300,0),"0",1)</f>
        <v>0</v>
      </c>
    </row>
    <row r="26" spans="2:29" x14ac:dyDescent="0.35">
      <c r="B26" s="219"/>
      <c r="C26" s="216" t="s">
        <v>182</v>
      </c>
      <c r="D26" s="216"/>
      <c r="E26" s="220"/>
      <c r="F26" s="220"/>
      <c r="G26" s="220"/>
      <c r="H26" s="220" t="str">
        <f t="shared" si="0"/>
        <v/>
      </c>
      <c r="I26" s="460"/>
      <c r="J26" s="460"/>
      <c r="K26" s="460"/>
      <c r="L26" s="460"/>
      <c r="M26" s="460"/>
      <c r="N26" s="220"/>
      <c r="O26" s="220"/>
      <c r="P26" s="220"/>
      <c r="Q26" s="220"/>
      <c r="R26" s="221"/>
      <c r="S26" s="221"/>
      <c r="T26" s="316">
        <f t="shared" si="1"/>
        <v>0</v>
      </c>
      <c r="U26" s="217">
        <f t="shared" si="2"/>
        <v>0</v>
      </c>
      <c r="X26" s="26" t="str">
        <f t="shared" si="6"/>
        <v/>
      </c>
      <c r="Y26" s="21" t="str">
        <f>IF(MATCH(X26,X27:$X$300,0),"Si",1)</f>
        <v>Si</v>
      </c>
      <c r="Z26" s="26">
        <f t="shared" si="3"/>
        <v>0</v>
      </c>
      <c r="AA26" s="26">
        <f t="shared" si="4"/>
        <v>0</v>
      </c>
      <c r="AB26" s="26" t="str">
        <f t="shared" si="5"/>
        <v/>
      </c>
      <c r="AC26" s="26" t="str">
        <f>IF(MATCH(AB26,AB27:$AB$300,0),"0",1)</f>
        <v>0</v>
      </c>
    </row>
    <row r="27" spans="2:29" x14ac:dyDescent="0.35">
      <c r="B27" s="219"/>
      <c r="C27" s="216" t="s">
        <v>183</v>
      </c>
      <c r="D27" s="216"/>
      <c r="E27" s="220"/>
      <c r="F27" s="220"/>
      <c r="G27" s="220"/>
      <c r="H27" s="220" t="str">
        <f t="shared" si="0"/>
        <v/>
      </c>
      <c r="I27" s="460"/>
      <c r="J27" s="460"/>
      <c r="K27" s="460"/>
      <c r="L27" s="460"/>
      <c r="M27" s="460"/>
      <c r="N27" s="220"/>
      <c r="O27" s="220"/>
      <c r="P27" s="220"/>
      <c r="Q27" s="220"/>
      <c r="R27" s="221"/>
      <c r="S27" s="221"/>
      <c r="T27" s="316">
        <f t="shared" si="1"/>
        <v>0</v>
      </c>
      <c r="U27" s="217">
        <f t="shared" si="2"/>
        <v>0</v>
      </c>
      <c r="X27" s="26" t="str">
        <f t="shared" si="6"/>
        <v/>
      </c>
      <c r="Y27" s="21" t="str">
        <f>IF(MATCH(X27,X28:$X$300,0),"Si",1)</f>
        <v>Si</v>
      </c>
      <c r="Z27" s="26">
        <f t="shared" si="3"/>
        <v>0</v>
      </c>
      <c r="AA27" s="26">
        <f t="shared" si="4"/>
        <v>0</v>
      </c>
      <c r="AB27" s="26" t="str">
        <f t="shared" si="5"/>
        <v/>
      </c>
      <c r="AC27" s="26" t="str">
        <f>IF(MATCH(AB27,AB28:$AB$300,0),"0",1)</f>
        <v>0</v>
      </c>
    </row>
    <row r="28" spans="2:29" x14ac:dyDescent="0.35">
      <c r="B28" s="219"/>
      <c r="C28" s="216" t="s">
        <v>184</v>
      </c>
      <c r="D28" s="216"/>
      <c r="E28" s="220"/>
      <c r="F28" s="220"/>
      <c r="G28" s="220"/>
      <c r="H28" s="220" t="str">
        <f t="shared" si="0"/>
        <v/>
      </c>
      <c r="I28" s="460"/>
      <c r="J28" s="460"/>
      <c r="K28" s="460"/>
      <c r="L28" s="460"/>
      <c r="M28" s="460"/>
      <c r="N28" s="220"/>
      <c r="O28" s="220"/>
      <c r="P28" s="220"/>
      <c r="Q28" s="220"/>
      <c r="R28" s="221"/>
      <c r="S28" s="221"/>
      <c r="T28" s="316">
        <f t="shared" si="1"/>
        <v>0</v>
      </c>
      <c r="U28" s="217">
        <f t="shared" si="2"/>
        <v>0</v>
      </c>
      <c r="X28" s="26" t="str">
        <f t="shared" si="6"/>
        <v/>
      </c>
      <c r="Y28" s="21" t="str">
        <f>IF(MATCH(X28,X29:$X$300,0),"Si",1)</f>
        <v>Si</v>
      </c>
      <c r="Z28" s="26">
        <f t="shared" si="3"/>
        <v>0</v>
      </c>
      <c r="AA28" s="26">
        <f t="shared" si="4"/>
        <v>0</v>
      </c>
      <c r="AB28" s="26" t="str">
        <f t="shared" si="5"/>
        <v/>
      </c>
      <c r="AC28" s="26" t="str">
        <f>IF(MATCH(AB28,AB29:$AB$300,0),"0",1)</f>
        <v>0</v>
      </c>
    </row>
    <row r="29" spans="2:29" x14ac:dyDescent="0.35">
      <c r="B29" s="219"/>
      <c r="C29" s="216" t="s">
        <v>185</v>
      </c>
      <c r="D29" s="216"/>
      <c r="E29" s="220"/>
      <c r="F29" s="220"/>
      <c r="G29" s="220"/>
      <c r="H29" s="220" t="str">
        <f t="shared" si="0"/>
        <v/>
      </c>
      <c r="I29" s="460"/>
      <c r="J29" s="460"/>
      <c r="K29" s="460"/>
      <c r="L29" s="460"/>
      <c r="M29" s="460"/>
      <c r="N29" s="220"/>
      <c r="O29" s="220"/>
      <c r="P29" s="220"/>
      <c r="Q29" s="220"/>
      <c r="R29" s="221"/>
      <c r="S29" s="221"/>
      <c r="T29" s="316">
        <f t="shared" si="1"/>
        <v>0</v>
      </c>
      <c r="U29" s="217">
        <f t="shared" si="2"/>
        <v>0</v>
      </c>
      <c r="X29" s="26" t="str">
        <f t="shared" si="6"/>
        <v/>
      </c>
      <c r="Y29" s="21" t="str">
        <f>IF(MATCH(X29,X30:$X$300,0),"Si",1)</f>
        <v>Si</v>
      </c>
      <c r="Z29" s="26">
        <f t="shared" si="3"/>
        <v>0</v>
      </c>
      <c r="AA29" s="26">
        <f t="shared" si="4"/>
        <v>0</v>
      </c>
      <c r="AB29" s="26" t="str">
        <f t="shared" si="5"/>
        <v/>
      </c>
      <c r="AC29" s="26" t="str">
        <f>IF(MATCH(AB29,AB30:$AB$300,0),"0",1)</f>
        <v>0</v>
      </c>
    </row>
    <row r="30" spans="2:29" x14ac:dyDescent="0.35">
      <c r="B30" s="219"/>
      <c r="C30" s="216" t="s">
        <v>186</v>
      </c>
      <c r="D30" s="216"/>
      <c r="E30" s="220"/>
      <c r="F30" s="220"/>
      <c r="G30" s="220"/>
      <c r="H30" s="220" t="str">
        <f t="shared" si="0"/>
        <v/>
      </c>
      <c r="I30" s="460"/>
      <c r="J30" s="460"/>
      <c r="K30" s="460"/>
      <c r="L30" s="460"/>
      <c r="M30" s="460"/>
      <c r="N30" s="220"/>
      <c r="O30" s="220"/>
      <c r="P30" s="220"/>
      <c r="Q30" s="220"/>
      <c r="R30" s="221"/>
      <c r="S30" s="221"/>
      <c r="T30" s="316">
        <f t="shared" si="1"/>
        <v>0</v>
      </c>
      <c r="U30" s="217">
        <f t="shared" si="2"/>
        <v>0</v>
      </c>
      <c r="X30" s="26" t="str">
        <f t="shared" si="6"/>
        <v/>
      </c>
      <c r="Y30" s="21" t="str">
        <f>IF(MATCH(X30,X31:$X$300,0),"Si",1)</f>
        <v>Si</v>
      </c>
      <c r="Z30" s="26">
        <f t="shared" si="3"/>
        <v>0</v>
      </c>
      <c r="AA30" s="26">
        <f t="shared" si="4"/>
        <v>0</v>
      </c>
      <c r="AB30" s="26" t="str">
        <f t="shared" si="5"/>
        <v/>
      </c>
      <c r="AC30" s="26" t="str">
        <f>IF(MATCH(AB30,AB31:$AB$300,0),"0",1)</f>
        <v>0</v>
      </c>
    </row>
    <row r="31" spans="2:29" x14ac:dyDescent="0.35">
      <c r="B31" s="219"/>
      <c r="C31" s="216" t="s">
        <v>187</v>
      </c>
      <c r="D31" s="216"/>
      <c r="E31" s="220"/>
      <c r="F31" s="220"/>
      <c r="G31" s="220"/>
      <c r="H31" s="220" t="str">
        <f t="shared" si="0"/>
        <v/>
      </c>
      <c r="I31" s="460"/>
      <c r="J31" s="460"/>
      <c r="K31" s="460"/>
      <c r="L31" s="460"/>
      <c r="M31" s="460"/>
      <c r="N31" s="220"/>
      <c r="O31" s="220"/>
      <c r="P31" s="220"/>
      <c r="Q31" s="220"/>
      <c r="R31" s="221"/>
      <c r="S31" s="221"/>
      <c r="T31" s="316">
        <f t="shared" si="1"/>
        <v>0</v>
      </c>
      <c r="U31" s="217">
        <f t="shared" si="2"/>
        <v>0</v>
      </c>
      <c r="X31" s="26" t="str">
        <f t="shared" si="6"/>
        <v/>
      </c>
      <c r="Y31" s="21" t="str">
        <f>IF(MATCH(X31,X32:$X$300,0),"Si",1)</f>
        <v>Si</v>
      </c>
      <c r="Z31" s="26">
        <f t="shared" si="3"/>
        <v>0</v>
      </c>
      <c r="AA31" s="26">
        <f t="shared" si="4"/>
        <v>0</v>
      </c>
      <c r="AB31" s="26" t="str">
        <f t="shared" si="5"/>
        <v/>
      </c>
      <c r="AC31" s="26" t="str">
        <f>IF(MATCH(AB31,AB32:$AB$300,0),"0",1)</f>
        <v>0</v>
      </c>
    </row>
    <row r="32" spans="2:29" x14ac:dyDescent="0.35">
      <c r="B32" s="219"/>
      <c r="C32" s="216" t="s">
        <v>188</v>
      </c>
      <c r="D32" s="216"/>
      <c r="E32" s="220"/>
      <c r="F32" s="220"/>
      <c r="G32" s="220"/>
      <c r="H32" s="220" t="str">
        <f t="shared" si="0"/>
        <v/>
      </c>
      <c r="I32" s="460"/>
      <c r="J32" s="460"/>
      <c r="K32" s="460"/>
      <c r="L32" s="460"/>
      <c r="M32" s="460"/>
      <c r="N32" s="220"/>
      <c r="O32" s="220"/>
      <c r="P32" s="220"/>
      <c r="Q32" s="220"/>
      <c r="R32" s="221"/>
      <c r="S32" s="221"/>
      <c r="T32" s="316">
        <f t="shared" si="1"/>
        <v>0</v>
      </c>
      <c r="U32" s="217">
        <f t="shared" si="2"/>
        <v>0</v>
      </c>
      <c r="X32" s="26" t="str">
        <f t="shared" si="6"/>
        <v/>
      </c>
      <c r="Y32" s="21" t="str">
        <f>IF(MATCH(X32,X33:$X$300,0),"Si",1)</f>
        <v>Si</v>
      </c>
      <c r="Z32" s="26">
        <f t="shared" si="3"/>
        <v>0</v>
      </c>
      <c r="AA32" s="26">
        <f t="shared" si="4"/>
        <v>0</v>
      </c>
      <c r="AB32" s="26" t="str">
        <f t="shared" si="5"/>
        <v/>
      </c>
      <c r="AC32" s="26" t="str">
        <f>IF(MATCH(AB32,AB33:$AB$300,0),"0",1)</f>
        <v>0</v>
      </c>
    </row>
    <row r="33" spans="2:29" x14ac:dyDescent="0.35">
      <c r="B33" s="219"/>
      <c r="C33" s="216" t="s">
        <v>189</v>
      </c>
      <c r="D33" s="216"/>
      <c r="E33" s="220"/>
      <c r="F33" s="220"/>
      <c r="G33" s="220"/>
      <c r="H33" s="220" t="str">
        <f t="shared" si="0"/>
        <v/>
      </c>
      <c r="I33" s="460"/>
      <c r="J33" s="460"/>
      <c r="K33" s="460"/>
      <c r="L33" s="460"/>
      <c r="M33" s="460"/>
      <c r="N33" s="220"/>
      <c r="O33" s="220"/>
      <c r="P33" s="220"/>
      <c r="Q33" s="220"/>
      <c r="R33" s="221"/>
      <c r="S33" s="221"/>
      <c r="T33" s="316">
        <f t="shared" si="1"/>
        <v>0</v>
      </c>
      <c r="U33" s="217">
        <f t="shared" si="2"/>
        <v>0</v>
      </c>
      <c r="X33" s="26" t="str">
        <f t="shared" si="6"/>
        <v/>
      </c>
      <c r="Y33" s="21" t="str">
        <f>IF(MATCH(X33,X34:$X$300,0),"Si",1)</f>
        <v>Si</v>
      </c>
      <c r="Z33" s="26">
        <f t="shared" si="3"/>
        <v>0</v>
      </c>
      <c r="AA33" s="26">
        <f t="shared" si="4"/>
        <v>0</v>
      </c>
      <c r="AB33" s="26" t="str">
        <f t="shared" si="5"/>
        <v/>
      </c>
      <c r="AC33" s="26" t="str">
        <f>IF(MATCH(AB33,AB34:$AB$300,0),"0",1)</f>
        <v>0</v>
      </c>
    </row>
    <row r="34" spans="2:29" x14ac:dyDescent="0.35">
      <c r="B34" s="219"/>
      <c r="C34" s="216" t="s">
        <v>190</v>
      </c>
      <c r="D34" s="216"/>
      <c r="E34" s="220"/>
      <c r="F34" s="220"/>
      <c r="G34" s="220"/>
      <c r="H34" s="220" t="str">
        <f t="shared" si="0"/>
        <v/>
      </c>
      <c r="I34" s="460"/>
      <c r="J34" s="460"/>
      <c r="K34" s="460"/>
      <c r="L34" s="460"/>
      <c r="M34" s="460"/>
      <c r="N34" s="220"/>
      <c r="O34" s="220"/>
      <c r="P34" s="220"/>
      <c r="Q34" s="220"/>
      <c r="R34" s="221"/>
      <c r="S34" s="221"/>
      <c r="T34" s="316">
        <f t="shared" si="1"/>
        <v>0</v>
      </c>
      <c r="U34" s="217">
        <f t="shared" si="2"/>
        <v>0</v>
      </c>
      <c r="X34" s="26" t="str">
        <f t="shared" si="6"/>
        <v/>
      </c>
      <c r="Y34" s="21" t="str">
        <f>IF(MATCH(X34,X35:$X$300,0),"Si",1)</f>
        <v>Si</v>
      </c>
      <c r="Z34" s="26">
        <f t="shared" si="3"/>
        <v>0</v>
      </c>
      <c r="AA34" s="26">
        <f t="shared" si="4"/>
        <v>0</v>
      </c>
      <c r="AB34" s="26" t="str">
        <f t="shared" si="5"/>
        <v/>
      </c>
      <c r="AC34" s="26" t="str">
        <f>IF(MATCH(AB34,AB35:$AB$300,0),"0",1)</f>
        <v>0</v>
      </c>
    </row>
    <row r="35" spans="2:29" x14ac:dyDescent="0.35">
      <c r="B35" s="219"/>
      <c r="C35" s="216" t="s">
        <v>226</v>
      </c>
      <c r="D35" s="216"/>
      <c r="E35" s="220"/>
      <c r="F35" s="220"/>
      <c r="G35" s="220"/>
      <c r="H35" s="220" t="str">
        <f t="shared" si="0"/>
        <v/>
      </c>
      <c r="I35" s="460"/>
      <c r="J35" s="460"/>
      <c r="K35" s="460"/>
      <c r="L35" s="460"/>
      <c r="M35" s="460"/>
      <c r="N35" s="220"/>
      <c r="O35" s="220"/>
      <c r="P35" s="220"/>
      <c r="Q35" s="220"/>
      <c r="R35" s="221"/>
      <c r="S35" s="221"/>
      <c r="T35" s="316">
        <f t="shared" si="1"/>
        <v>0</v>
      </c>
      <c r="U35" s="217">
        <f t="shared" si="2"/>
        <v>0</v>
      </c>
      <c r="X35" s="26" t="str">
        <f t="shared" si="6"/>
        <v/>
      </c>
      <c r="Y35" s="21" t="str">
        <f>IF(MATCH(X35,X36:$X$300,0),"Si",1)</f>
        <v>Si</v>
      </c>
      <c r="Z35" s="26">
        <f t="shared" si="3"/>
        <v>0</v>
      </c>
      <c r="AA35" s="26">
        <f t="shared" si="4"/>
        <v>0</v>
      </c>
      <c r="AB35" s="26" t="str">
        <f t="shared" si="5"/>
        <v/>
      </c>
      <c r="AC35" s="26" t="str">
        <f>IF(MATCH(AB35,AB36:$AB$300,0),"0",1)</f>
        <v>0</v>
      </c>
    </row>
    <row r="36" spans="2:29" x14ac:dyDescent="0.35">
      <c r="B36" s="219"/>
      <c r="C36" s="216" t="s">
        <v>227</v>
      </c>
      <c r="D36" s="216"/>
      <c r="E36" s="220"/>
      <c r="F36" s="220"/>
      <c r="G36" s="220"/>
      <c r="H36" s="220" t="str">
        <f t="shared" si="0"/>
        <v/>
      </c>
      <c r="I36" s="460"/>
      <c r="J36" s="460"/>
      <c r="K36" s="460"/>
      <c r="L36" s="460"/>
      <c r="M36" s="460"/>
      <c r="N36" s="220"/>
      <c r="O36" s="220"/>
      <c r="P36" s="220"/>
      <c r="Q36" s="220"/>
      <c r="R36" s="221"/>
      <c r="S36" s="221"/>
      <c r="T36" s="316">
        <f t="shared" si="1"/>
        <v>0</v>
      </c>
      <c r="U36" s="217">
        <f t="shared" si="2"/>
        <v>0</v>
      </c>
      <c r="X36" s="26" t="str">
        <f t="shared" si="6"/>
        <v/>
      </c>
      <c r="Y36" s="21" t="str">
        <f>IF(MATCH(X36,X37:$X$300,0),"Si",1)</f>
        <v>Si</v>
      </c>
      <c r="Z36" s="26">
        <f t="shared" si="3"/>
        <v>0</v>
      </c>
      <c r="AA36" s="26">
        <f t="shared" si="4"/>
        <v>0</v>
      </c>
      <c r="AB36" s="26" t="str">
        <f t="shared" si="5"/>
        <v/>
      </c>
      <c r="AC36" s="26" t="str">
        <f>IF(MATCH(AB36,AB37:$AB$300,0),"0",1)</f>
        <v>0</v>
      </c>
    </row>
    <row r="37" spans="2:29" x14ac:dyDescent="0.35">
      <c r="B37" s="219"/>
      <c r="C37" s="216" t="s">
        <v>228</v>
      </c>
      <c r="D37" s="216"/>
      <c r="E37" s="220"/>
      <c r="F37" s="220"/>
      <c r="G37" s="220"/>
      <c r="H37" s="220" t="str">
        <f t="shared" si="0"/>
        <v/>
      </c>
      <c r="I37" s="460"/>
      <c r="J37" s="460"/>
      <c r="K37" s="460"/>
      <c r="L37" s="460"/>
      <c r="M37" s="460"/>
      <c r="N37" s="220"/>
      <c r="O37" s="220"/>
      <c r="P37" s="220"/>
      <c r="Q37" s="220"/>
      <c r="R37" s="221"/>
      <c r="S37" s="221"/>
      <c r="T37" s="316">
        <f t="shared" si="1"/>
        <v>0</v>
      </c>
      <c r="U37" s="217">
        <f t="shared" si="2"/>
        <v>0</v>
      </c>
      <c r="X37" s="26" t="str">
        <f t="shared" si="6"/>
        <v/>
      </c>
      <c r="Y37" s="21" t="str">
        <f>IF(MATCH(X37,X38:$X$300,0),"Si",1)</f>
        <v>Si</v>
      </c>
      <c r="Z37" s="26">
        <f t="shared" si="3"/>
        <v>0</v>
      </c>
      <c r="AA37" s="26">
        <f t="shared" si="4"/>
        <v>0</v>
      </c>
      <c r="AB37" s="26" t="str">
        <f t="shared" si="5"/>
        <v/>
      </c>
      <c r="AC37" s="26" t="str">
        <f>IF(MATCH(AB37,AB38:$AB$300,0),"0",1)</f>
        <v>0</v>
      </c>
    </row>
    <row r="38" spans="2:29" x14ac:dyDescent="0.35">
      <c r="B38" s="219"/>
      <c r="C38" s="216" t="s">
        <v>229</v>
      </c>
      <c r="D38" s="216"/>
      <c r="E38" s="220"/>
      <c r="F38" s="220"/>
      <c r="G38" s="220"/>
      <c r="H38" s="220" t="str">
        <f t="shared" si="0"/>
        <v/>
      </c>
      <c r="I38" s="460"/>
      <c r="J38" s="460"/>
      <c r="K38" s="460"/>
      <c r="L38" s="460"/>
      <c r="M38" s="460"/>
      <c r="N38" s="220"/>
      <c r="O38" s="220"/>
      <c r="P38" s="220"/>
      <c r="Q38" s="220"/>
      <c r="R38" s="221"/>
      <c r="S38" s="221"/>
      <c r="T38" s="316">
        <f t="shared" si="1"/>
        <v>0</v>
      </c>
      <c r="U38" s="217">
        <f t="shared" si="2"/>
        <v>0</v>
      </c>
      <c r="X38" s="26" t="str">
        <f t="shared" si="6"/>
        <v/>
      </c>
      <c r="Y38" s="21" t="str">
        <f>IF(MATCH(X38,X39:$X$300,0),"Si",1)</f>
        <v>Si</v>
      </c>
      <c r="Z38" s="26">
        <f t="shared" si="3"/>
        <v>0</v>
      </c>
      <c r="AA38" s="26">
        <f t="shared" si="4"/>
        <v>0</v>
      </c>
      <c r="AB38" s="26" t="str">
        <f t="shared" si="5"/>
        <v/>
      </c>
      <c r="AC38" s="26" t="str">
        <f>IF(MATCH(AB38,AB39:$AB$300,0),"0",1)</f>
        <v>0</v>
      </c>
    </row>
    <row r="39" spans="2:29" x14ac:dyDescent="0.35">
      <c r="B39" s="219"/>
      <c r="C39" s="216" t="s">
        <v>230</v>
      </c>
      <c r="D39" s="216"/>
      <c r="E39" s="220"/>
      <c r="F39" s="220"/>
      <c r="G39" s="220"/>
      <c r="H39" s="220" t="str">
        <f t="shared" si="0"/>
        <v/>
      </c>
      <c r="I39" s="460"/>
      <c r="J39" s="460"/>
      <c r="K39" s="460"/>
      <c r="L39" s="460"/>
      <c r="M39" s="460"/>
      <c r="N39" s="220"/>
      <c r="O39" s="220"/>
      <c r="P39" s="220"/>
      <c r="Q39" s="220"/>
      <c r="R39" s="221"/>
      <c r="S39" s="221"/>
      <c r="T39" s="316">
        <f t="shared" si="1"/>
        <v>0</v>
      </c>
      <c r="U39" s="217">
        <f t="shared" si="2"/>
        <v>0</v>
      </c>
      <c r="X39" s="26" t="str">
        <f t="shared" si="6"/>
        <v/>
      </c>
      <c r="Y39" s="21" t="str">
        <f>IF(MATCH(X39,X40:$X$300,0),"Si",1)</f>
        <v>Si</v>
      </c>
      <c r="Z39" s="26">
        <f t="shared" si="3"/>
        <v>0</v>
      </c>
      <c r="AA39" s="26">
        <f t="shared" si="4"/>
        <v>0</v>
      </c>
      <c r="AB39" s="26" t="str">
        <f t="shared" si="5"/>
        <v/>
      </c>
      <c r="AC39" s="26" t="str">
        <f>IF(MATCH(AB39,AB40:$AB$300,0),"0",1)</f>
        <v>0</v>
      </c>
    </row>
    <row r="40" spans="2:29" x14ac:dyDescent="0.35">
      <c r="B40" s="219"/>
      <c r="C40" s="216" t="s">
        <v>231</v>
      </c>
      <c r="D40" s="216"/>
      <c r="E40" s="220"/>
      <c r="F40" s="220"/>
      <c r="G40" s="220"/>
      <c r="H40" s="220" t="str">
        <f t="shared" si="0"/>
        <v/>
      </c>
      <c r="I40" s="460"/>
      <c r="J40" s="460"/>
      <c r="K40" s="460"/>
      <c r="L40" s="460"/>
      <c r="M40" s="460"/>
      <c r="N40" s="220"/>
      <c r="O40" s="220"/>
      <c r="P40" s="220"/>
      <c r="Q40" s="220"/>
      <c r="R40" s="221"/>
      <c r="S40" s="221"/>
      <c r="T40" s="316">
        <f t="shared" si="1"/>
        <v>0</v>
      </c>
      <c r="U40" s="217">
        <f t="shared" si="2"/>
        <v>0</v>
      </c>
      <c r="X40" s="26" t="str">
        <f t="shared" si="6"/>
        <v/>
      </c>
      <c r="Y40" s="21" t="str">
        <f>IF(MATCH(X40,X41:$X$300,0),"Si",1)</f>
        <v>Si</v>
      </c>
      <c r="Z40" s="26">
        <f t="shared" si="3"/>
        <v>0</v>
      </c>
      <c r="AA40" s="26">
        <f t="shared" si="4"/>
        <v>0</v>
      </c>
      <c r="AB40" s="26" t="str">
        <f t="shared" si="5"/>
        <v/>
      </c>
      <c r="AC40" s="26" t="str">
        <f>IF(MATCH(AB40,AB41:$AB$300,0),"0",1)</f>
        <v>0</v>
      </c>
    </row>
    <row r="41" spans="2:29" x14ac:dyDescent="0.35">
      <c r="B41" s="219"/>
      <c r="C41" s="216" t="s">
        <v>232</v>
      </c>
      <c r="D41" s="216"/>
      <c r="E41" s="220"/>
      <c r="F41" s="220"/>
      <c r="G41" s="220"/>
      <c r="H41" s="220" t="str">
        <f t="shared" si="0"/>
        <v/>
      </c>
      <c r="I41" s="460"/>
      <c r="J41" s="460"/>
      <c r="K41" s="460"/>
      <c r="L41" s="460"/>
      <c r="M41" s="460"/>
      <c r="N41" s="220"/>
      <c r="O41" s="220"/>
      <c r="P41" s="220"/>
      <c r="Q41" s="220"/>
      <c r="R41" s="221"/>
      <c r="S41" s="221"/>
      <c r="T41" s="316">
        <f t="shared" si="1"/>
        <v>0</v>
      </c>
      <c r="U41" s="217">
        <f t="shared" si="2"/>
        <v>0</v>
      </c>
      <c r="X41" s="26" t="str">
        <f t="shared" si="6"/>
        <v/>
      </c>
      <c r="Y41" s="21" t="str">
        <f>IF(MATCH(X41,X42:$X$300,0),"Si",1)</f>
        <v>Si</v>
      </c>
      <c r="Z41" s="26">
        <f t="shared" si="3"/>
        <v>0</v>
      </c>
      <c r="AA41" s="26">
        <f t="shared" si="4"/>
        <v>0</v>
      </c>
      <c r="AB41" s="26" t="str">
        <f t="shared" si="5"/>
        <v/>
      </c>
      <c r="AC41" s="26" t="str">
        <f>IF(MATCH(AB41,AB42:$AB$300,0),"0",1)</f>
        <v>0</v>
      </c>
    </row>
    <row r="42" spans="2:29" x14ac:dyDescent="0.35">
      <c r="B42" s="219"/>
      <c r="C42" s="216" t="s">
        <v>233</v>
      </c>
      <c r="D42" s="216"/>
      <c r="E42" s="220"/>
      <c r="F42" s="220"/>
      <c r="G42" s="220"/>
      <c r="H42" s="220" t="str">
        <f t="shared" si="0"/>
        <v/>
      </c>
      <c r="I42" s="460"/>
      <c r="J42" s="460"/>
      <c r="K42" s="460"/>
      <c r="L42" s="460"/>
      <c r="M42" s="460"/>
      <c r="N42" s="220"/>
      <c r="O42" s="220"/>
      <c r="P42" s="220"/>
      <c r="Q42" s="220"/>
      <c r="R42" s="221"/>
      <c r="S42" s="221"/>
      <c r="T42" s="316">
        <f t="shared" si="1"/>
        <v>0</v>
      </c>
      <c r="U42" s="217">
        <f t="shared" si="2"/>
        <v>0</v>
      </c>
      <c r="X42" s="26" t="str">
        <f t="shared" si="6"/>
        <v/>
      </c>
      <c r="Y42" s="21" t="str">
        <f>IF(MATCH(X42,X43:$X$300,0),"Si",1)</f>
        <v>Si</v>
      </c>
      <c r="Z42" s="26">
        <f t="shared" si="3"/>
        <v>0</v>
      </c>
      <c r="AA42" s="26">
        <f t="shared" si="4"/>
        <v>0</v>
      </c>
      <c r="AB42" s="26" t="str">
        <f t="shared" si="5"/>
        <v/>
      </c>
      <c r="AC42" s="26" t="str">
        <f>IF(MATCH(AB42,AB43:$AB$300,0),"0",1)</f>
        <v>0</v>
      </c>
    </row>
    <row r="43" spans="2:29" x14ac:dyDescent="0.35">
      <c r="B43" s="219"/>
      <c r="C43" s="216" t="s">
        <v>234</v>
      </c>
      <c r="D43" s="216"/>
      <c r="E43" s="220"/>
      <c r="F43" s="220"/>
      <c r="G43" s="220"/>
      <c r="H43" s="220" t="str">
        <f t="shared" si="0"/>
        <v/>
      </c>
      <c r="I43" s="460"/>
      <c r="J43" s="460"/>
      <c r="K43" s="460"/>
      <c r="L43" s="460"/>
      <c r="M43" s="460"/>
      <c r="N43" s="220"/>
      <c r="O43" s="220"/>
      <c r="P43" s="220"/>
      <c r="Q43" s="220"/>
      <c r="R43" s="221"/>
      <c r="S43" s="221"/>
      <c r="T43" s="316">
        <f t="shared" si="1"/>
        <v>0</v>
      </c>
      <c r="U43" s="217">
        <f t="shared" si="2"/>
        <v>0</v>
      </c>
      <c r="X43" s="26" t="str">
        <f t="shared" si="6"/>
        <v/>
      </c>
      <c r="Y43" s="21" t="str">
        <f>IF(MATCH(X43,X44:$X$300,0),"Si",1)</f>
        <v>Si</v>
      </c>
      <c r="Z43" s="26">
        <f t="shared" si="3"/>
        <v>0</v>
      </c>
      <c r="AA43" s="26">
        <f t="shared" si="4"/>
        <v>0</v>
      </c>
      <c r="AB43" s="26" t="str">
        <f t="shared" si="5"/>
        <v/>
      </c>
      <c r="AC43" s="26" t="str">
        <f>IF(MATCH(AB43,AB44:$AB$300,0),"0",1)</f>
        <v>0</v>
      </c>
    </row>
    <row r="44" spans="2:29" x14ac:dyDescent="0.35">
      <c r="B44" s="219"/>
      <c r="C44" s="216" t="s">
        <v>235</v>
      </c>
      <c r="D44" s="216"/>
      <c r="E44" s="220"/>
      <c r="F44" s="220"/>
      <c r="G44" s="220"/>
      <c r="H44" s="220" t="str">
        <f t="shared" si="0"/>
        <v/>
      </c>
      <c r="I44" s="460"/>
      <c r="J44" s="460"/>
      <c r="K44" s="460"/>
      <c r="L44" s="460"/>
      <c r="M44" s="460"/>
      <c r="N44" s="220"/>
      <c r="O44" s="220"/>
      <c r="P44" s="220"/>
      <c r="Q44" s="220"/>
      <c r="R44" s="221"/>
      <c r="S44" s="221"/>
      <c r="T44" s="316">
        <f t="shared" si="1"/>
        <v>0</v>
      </c>
      <c r="U44" s="217">
        <f t="shared" si="2"/>
        <v>0</v>
      </c>
      <c r="X44" s="26" t="str">
        <f t="shared" si="6"/>
        <v/>
      </c>
      <c r="Y44" s="21" t="str">
        <f>IF(MATCH(X44,X45:$X$300,0),"Si",1)</f>
        <v>Si</v>
      </c>
      <c r="Z44" s="26">
        <f t="shared" si="3"/>
        <v>0</v>
      </c>
      <c r="AA44" s="26">
        <f t="shared" si="4"/>
        <v>0</v>
      </c>
      <c r="AB44" s="26" t="str">
        <f t="shared" si="5"/>
        <v/>
      </c>
      <c r="AC44" s="26" t="str">
        <f>IF(MATCH(AB44,AB45:$AB$300,0),"0",1)</f>
        <v>0</v>
      </c>
    </row>
    <row r="45" spans="2:29" x14ac:dyDescent="0.35">
      <c r="B45" s="219"/>
      <c r="C45" s="216" t="s">
        <v>236</v>
      </c>
      <c r="D45" s="216"/>
      <c r="E45" s="220"/>
      <c r="F45" s="220"/>
      <c r="G45" s="220"/>
      <c r="H45" s="220" t="str">
        <f t="shared" si="0"/>
        <v/>
      </c>
      <c r="I45" s="460"/>
      <c r="J45" s="460"/>
      <c r="K45" s="460"/>
      <c r="L45" s="460"/>
      <c r="M45" s="460"/>
      <c r="N45" s="220"/>
      <c r="O45" s="220"/>
      <c r="P45" s="220"/>
      <c r="Q45" s="220"/>
      <c r="R45" s="221"/>
      <c r="S45" s="221"/>
      <c r="T45" s="316">
        <f t="shared" si="1"/>
        <v>0</v>
      </c>
      <c r="U45" s="217">
        <f t="shared" si="2"/>
        <v>0</v>
      </c>
      <c r="X45" s="26" t="str">
        <f t="shared" si="6"/>
        <v/>
      </c>
      <c r="Y45" s="21" t="str">
        <f>IF(MATCH(X45,X46:$X$300,0),"Si",1)</f>
        <v>Si</v>
      </c>
      <c r="Z45" s="26">
        <f t="shared" si="3"/>
        <v>0</v>
      </c>
      <c r="AA45" s="26">
        <f t="shared" si="4"/>
        <v>0</v>
      </c>
      <c r="AB45" s="26" t="str">
        <f t="shared" si="5"/>
        <v/>
      </c>
      <c r="AC45" s="26" t="str">
        <f>IF(MATCH(AB45,AB46:$AB$300,0),"0",1)</f>
        <v>0</v>
      </c>
    </row>
    <row r="46" spans="2:29" x14ac:dyDescent="0.35">
      <c r="B46" s="219"/>
      <c r="C46" s="216" t="s">
        <v>237</v>
      </c>
      <c r="D46" s="216"/>
      <c r="E46" s="220"/>
      <c r="F46" s="220"/>
      <c r="G46" s="220"/>
      <c r="H46" s="220" t="str">
        <f t="shared" si="0"/>
        <v/>
      </c>
      <c r="I46" s="460"/>
      <c r="J46" s="460"/>
      <c r="K46" s="460"/>
      <c r="L46" s="460"/>
      <c r="M46" s="460"/>
      <c r="N46" s="220"/>
      <c r="O46" s="220"/>
      <c r="P46" s="220"/>
      <c r="Q46" s="220"/>
      <c r="R46" s="221"/>
      <c r="S46" s="221"/>
      <c r="T46" s="316">
        <f t="shared" si="1"/>
        <v>0</v>
      </c>
      <c r="U46" s="217">
        <f t="shared" si="2"/>
        <v>0</v>
      </c>
      <c r="X46" s="26" t="str">
        <f t="shared" si="6"/>
        <v/>
      </c>
      <c r="Y46" s="21" t="str">
        <f>IF(MATCH(X46,X47:$X$300,0),"Si",1)</f>
        <v>Si</v>
      </c>
      <c r="Z46" s="26">
        <f t="shared" si="3"/>
        <v>0</v>
      </c>
      <c r="AA46" s="26">
        <f t="shared" si="4"/>
        <v>0</v>
      </c>
      <c r="AB46" s="26" t="str">
        <f t="shared" si="5"/>
        <v/>
      </c>
      <c r="AC46" s="26" t="str">
        <f>IF(MATCH(AB46,AB47:$AB$300,0),"0",1)</f>
        <v>0</v>
      </c>
    </row>
    <row r="47" spans="2:29" x14ac:dyDescent="0.35">
      <c r="B47" s="219"/>
      <c r="C47" s="216" t="s">
        <v>238</v>
      </c>
      <c r="D47" s="216"/>
      <c r="E47" s="220"/>
      <c r="F47" s="220"/>
      <c r="G47" s="220"/>
      <c r="H47" s="220" t="str">
        <f t="shared" si="0"/>
        <v/>
      </c>
      <c r="I47" s="460"/>
      <c r="J47" s="460"/>
      <c r="K47" s="460"/>
      <c r="L47" s="460"/>
      <c r="M47" s="460"/>
      <c r="N47" s="220"/>
      <c r="O47" s="220"/>
      <c r="P47" s="220"/>
      <c r="Q47" s="220"/>
      <c r="R47" s="221"/>
      <c r="S47" s="221"/>
      <c r="T47" s="316">
        <f t="shared" si="1"/>
        <v>0</v>
      </c>
      <c r="U47" s="217">
        <f t="shared" si="2"/>
        <v>0</v>
      </c>
      <c r="X47" s="26" t="str">
        <f t="shared" si="6"/>
        <v/>
      </c>
      <c r="Y47" s="21" t="str">
        <f>IF(MATCH(X47,X48:$X$300,0),"Si",1)</f>
        <v>Si</v>
      </c>
      <c r="Z47" s="26">
        <f t="shared" si="3"/>
        <v>0</v>
      </c>
      <c r="AA47" s="26">
        <f t="shared" si="4"/>
        <v>0</v>
      </c>
      <c r="AB47" s="26" t="str">
        <f t="shared" si="5"/>
        <v/>
      </c>
      <c r="AC47" s="26" t="str">
        <f>IF(MATCH(AB47,AB48:$AB$300,0),"0",1)</f>
        <v>0</v>
      </c>
    </row>
    <row r="48" spans="2:29" x14ac:dyDescent="0.35">
      <c r="B48" s="219"/>
      <c r="C48" s="216" t="s">
        <v>239</v>
      </c>
      <c r="D48" s="216"/>
      <c r="E48" s="220"/>
      <c r="F48" s="220"/>
      <c r="G48" s="220"/>
      <c r="H48" s="220" t="str">
        <f t="shared" si="0"/>
        <v/>
      </c>
      <c r="I48" s="460"/>
      <c r="J48" s="460"/>
      <c r="K48" s="460"/>
      <c r="L48" s="460"/>
      <c r="M48" s="460"/>
      <c r="N48" s="220"/>
      <c r="O48" s="220"/>
      <c r="P48" s="220"/>
      <c r="Q48" s="220"/>
      <c r="R48" s="221"/>
      <c r="S48" s="221"/>
      <c r="T48" s="316">
        <f t="shared" si="1"/>
        <v>0</v>
      </c>
      <c r="U48" s="217">
        <f t="shared" si="2"/>
        <v>0</v>
      </c>
      <c r="X48" s="26" t="str">
        <f t="shared" si="6"/>
        <v/>
      </c>
      <c r="Y48" s="21" t="str">
        <f>IF(MATCH(X48,X49:$X$300,0),"Si",1)</f>
        <v>Si</v>
      </c>
      <c r="Z48" s="26">
        <f t="shared" si="3"/>
        <v>0</v>
      </c>
      <c r="AA48" s="26">
        <f t="shared" si="4"/>
        <v>0</v>
      </c>
      <c r="AB48" s="26" t="str">
        <f t="shared" si="5"/>
        <v/>
      </c>
      <c r="AC48" s="26" t="str">
        <f>IF(MATCH(AB48,AB49:$AB$300,0),"0",1)</f>
        <v>0</v>
      </c>
    </row>
    <row r="49" spans="2:29" x14ac:dyDescent="0.35">
      <c r="B49" s="219"/>
      <c r="C49" s="216" t="s">
        <v>240</v>
      </c>
      <c r="D49" s="216"/>
      <c r="E49" s="220"/>
      <c r="F49" s="220"/>
      <c r="G49" s="220"/>
      <c r="H49" s="220" t="str">
        <f t="shared" si="0"/>
        <v/>
      </c>
      <c r="I49" s="460"/>
      <c r="J49" s="460"/>
      <c r="K49" s="460"/>
      <c r="L49" s="460"/>
      <c r="M49" s="460"/>
      <c r="N49" s="220"/>
      <c r="O49" s="220"/>
      <c r="P49" s="220"/>
      <c r="Q49" s="220"/>
      <c r="R49" s="221"/>
      <c r="S49" s="221"/>
      <c r="T49" s="316">
        <f t="shared" si="1"/>
        <v>0</v>
      </c>
      <c r="U49" s="217">
        <f t="shared" si="2"/>
        <v>0</v>
      </c>
      <c r="X49" s="26" t="str">
        <f t="shared" si="6"/>
        <v/>
      </c>
      <c r="Y49" s="21" t="str">
        <f>IF(MATCH(X49,X50:$X$300,0),"Si",1)</f>
        <v>Si</v>
      </c>
      <c r="Z49" s="26">
        <f t="shared" si="3"/>
        <v>0</v>
      </c>
      <c r="AA49" s="26">
        <f t="shared" si="4"/>
        <v>0</v>
      </c>
      <c r="AB49" s="26" t="str">
        <f t="shared" si="5"/>
        <v/>
      </c>
      <c r="AC49" s="26" t="str">
        <f>IF(MATCH(AB49,AB50:$AB$300,0),"0",1)</f>
        <v>0</v>
      </c>
    </row>
    <row r="50" spans="2:29" x14ac:dyDescent="0.35">
      <c r="B50" s="219"/>
      <c r="C50" s="216" t="s">
        <v>241</v>
      </c>
      <c r="D50" s="216"/>
      <c r="E50" s="220"/>
      <c r="F50" s="220"/>
      <c r="G50" s="220"/>
      <c r="H50" s="220" t="str">
        <f t="shared" si="0"/>
        <v/>
      </c>
      <c r="I50" s="460"/>
      <c r="J50" s="460"/>
      <c r="K50" s="460"/>
      <c r="L50" s="460"/>
      <c r="M50" s="460"/>
      <c r="N50" s="220"/>
      <c r="O50" s="220"/>
      <c r="P50" s="220"/>
      <c r="Q50" s="220"/>
      <c r="R50" s="221"/>
      <c r="S50" s="221"/>
      <c r="T50" s="316">
        <f t="shared" si="1"/>
        <v>0</v>
      </c>
      <c r="U50" s="217">
        <f t="shared" si="2"/>
        <v>0</v>
      </c>
      <c r="X50" s="26" t="str">
        <f t="shared" si="6"/>
        <v/>
      </c>
      <c r="Y50" s="21" t="str">
        <f>IF(MATCH(X50,X51:$X$300,0),"Si",1)</f>
        <v>Si</v>
      </c>
      <c r="Z50" s="26">
        <f t="shared" si="3"/>
        <v>0</v>
      </c>
      <c r="AA50" s="26">
        <f t="shared" si="4"/>
        <v>0</v>
      </c>
      <c r="AB50" s="26" t="str">
        <f t="shared" si="5"/>
        <v/>
      </c>
      <c r="AC50" s="26" t="str">
        <f>IF(MATCH(AB50,AB51:$AB$300,0),"0",1)</f>
        <v>0</v>
      </c>
    </row>
    <row r="51" spans="2:29" x14ac:dyDescent="0.35">
      <c r="B51" s="219"/>
      <c r="C51" s="216" t="s">
        <v>242</v>
      </c>
      <c r="D51" s="216"/>
      <c r="E51" s="220"/>
      <c r="F51" s="220"/>
      <c r="G51" s="220"/>
      <c r="H51" s="220" t="str">
        <f t="shared" si="0"/>
        <v/>
      </c>
      <c r="I51" s="460"/>
      <c r="J51" s="460"/>
      <c r="K51" s="460"/>
      <c r="L51" s="460"/>
      <c r="M51" s="460"/>
      <c r="N51" s="220"/>
      <c r="O51" s="220"/>
      <c r="P51" s="220"/>
      <c r="Q51" s="220"/>
      <c r="R51" s="221"/>
      <c r="S51" s="221"/>
      <c r="T51" s="316">
        <f t="shared" si="1"/>
        <v>0</v>
      </c>
      <c r="U51" s="217">
        <f t="shared" si="2"/>
        <v>0</v>
      </c>
      <c r="X51" s="26" t="str">
        <f t="shared" si="6"/>
        <v/>
      </c>
      <c r="Y51" s="21" t="str">
        <f>IF(MATCH(X51,X52:$X$300,0),"Si",1)</f>
        <v>Si</v>
      </c>
      <c r="Z51" s="26">
        <f t="shared" si="3"/>
        <v>0</v>
      </c>
      <c r="AA51" s="26">
        <f t="shared" si="4"/>
        <v>0</v>
      </c>
      <c r="AB51" s="26" t="str">
        <f t="shared" si="5"/>
        <v/>
      </c>
      <c r="AC51" s="26" t="str">
        <f>IF(MATCH(AB51,AB52:$AB$300,0),"0",1)</f>
        <v>0</v>
      </c>
    </row>
    <row r="52" spans="2:29" x14ac:dyDescent="0.35">
      <c r="B52" s="219"/>
      <c r="C52" s="216" t="s">
        <v>243</v>
      </c>
      <c r="D52" s="216"/>
      <c r="E52" s="220"/>
      <c r="F52" s="220"/>
      <c r="G52" s="220"/>
      <c r="H52" s="220" t="str">
        <f t="shared" si="0"/>
        <v/>
      </c>
      <c r="I52" s="460"/>
      <c r="J52" s="460"/>
      <c r="K52" s="460"/>
      <c r="L52" s="460"/>
      <c r="M52" s="460"/>
      <c r="N52" s="220"/>
      <c r="O52" s="220"/>
      <c r="P52" s="220"/>
      <c r="Q52" s="220"/>
      <c r="R52" s="221"/>
      <c r="S52" s="221"/>
      <c r="T52" s="316">
        <f t="shared" si="1"/>
        <v>0</v>
      </c>
      <c r="U52" s="217">
        <f t="shared" si="2"/>
        <v>0</v>
      </c>
      <c r="X52" s="26" t="str">
        <f t="shared" si="6"/>
        <v/>
      </c>
      <c r="Y52" s="21" t="str">
        <f>IF(MATCH(X52,X53:$X$300,0),"Si",1)</f>
        <v>Si</v>
      </c>
      <c r="Z52" s="26">
        <f t="shared" si="3"/>
        <v>0</v>
      </c>
      <c r="AA52" s="26">
        <f t="shared" si="4"/>
        <v>0</v>
      </c>
      <c r="AB52" s="26" t="str">
        <f t="shared" si="5"/>
        <v/>
      </c>
      <c r="AC52" s="26" t="str">
        <f>IF(MATCH(AB52,AB53:$AB$300,0),"0",1)</f>
        <v>0</v>
      </c>
    </row>
    <row r="53" spans="2:29" x14ac:dyDescent="0.35">
      <c r="B53" s="219"/>
      <c r="C53" s="216" t="s">
        <v>244</v>
      </c>
      <c r="D53" s="216"/>
      <c r="E53" s="220"/>
      <c r="F53" s="220"/>
      <c r="G53" s="220"/>
      <c r="H53" s="220" t="str">
        <f t="shared" si="0"/>
        <v/>
      </c>
      <c r="I53" s="460"/>
      <c r="J53" s="460"/>
      <c r="K53" s="460"/>
      <c r="L53" s="460"/>
      <c r="M53" s="460"/>
      <c r="N53" s="220"/>
      <c r="O53" s="220"/>
      <c r="P53" s="220"/>
      <c r="Q53" s="220"/>
      <c r="R53" s="221"/>
      <c r="S53" s="221"/>
      <c r="T53" s="316">
        <f t="shared" si="1"/>
        <v>0</v>
      </c>
      <c r="U53" s="217">
        <f t="shared" si="2"/>
        <v>0</v>
      </c>
      <c r="X53" s="26" t="str">
        <f t="shared" si="6"/>
        <v/>
      </c>
      <c r="Y53" s="21" t="str">
        <f>IF(MATCH(X53,X54:$X$300,0),"Si",1)</f>
        <v>Si</v>
      </c>
      <c r="Z53" s="26">
        <f t="shared" si="3"/>
        <v>0</v>
      </c>
      <c r="AA53" s="26">
        <f t="shared" si="4"/>
        <v>0</v>
      </c>
      <c r="AB53" s="26" t="str">
        <f t="shared" si="5"/>
        <v/>
      </c>
      <c r="AC53" s="26" t="str">
        <f>IF(MATCH(AB53,AB54:$AB$300,0),"0",1)</f>
        <v>0</v>
      </c>
    </row>
    <row r="54" spans="2:29" x14ac:dyDescent="0.35">
      <c r="B54" s="219"/>
      <c r="C54" s="216" t="s">
        <v>245</v>
      </c>
      <c r="D54" s="216"/>
      <c r="E54" s="220"/>
      <c r="F54" s="220"/>
      <c r="G54" s="220"/>
      <c r="H54" s="220" t="str">
        <f t="shared" si="0"/>
        <v/>
      </c>
      <c r="I54" s="460"/>
      <c r="J54" s="460"/>
      <c r="K54" s="460"/>
      <c r="L54" s="460"/>
      <c r="M54" s="460"/>
      <c r="N54" s="220"/>
      <c r="O54" s="220"/>
      <c r="P54" s="220"/>
      <c r="Q54" s="220"/>
      <c r="R54" s="221"/>
      <c r="S54" s="221"/>
      <c r="T54" s="316">
        <f t="shared" si="1"/>
        <v>0</v>
      </c>
      <c r="U54" s="217">
        <f t="shared" si="2"/>
        <v>0</v>
      </c>
      <c r="X54" s="26" t="str">
        <f t="shared" si="6"/>
        <v/>
      </c>
      <c r="Y54" s="21" t="str">
        <f>IF(MATCH(X54,X55:$X$300,0),"Si",1)</f>
        <v>Si</v>
      </c>
      <c r="Z54" s="26">
        <f t="shared" si="3"/>
        <v>0</v>
      </c>
      <c r="AA54" s="26">
        <f t="shared" si="4"/>
        <v>0</v>
      </c>
      <c r="AB54" s="26" t="str">
        <f t="shared" si="5"/>
        <v/>
      </c>
      <c r="AC54" s="26" t="str">
        <f>IF(MATCH(AB54,AB55:$AB$300,0),"0",1)</f>
        <v>0</v>
      </c>
    </row>
    <row r="55" spans="2:29" x14ac:dyDescent="0.35">
      <c r="B55" s="219"/>
      <c r="C55" s="216" t="s">
        <v>246</v>
      </c>
      <c r="D55" s="216"/>
      <c r="E55" s="220"/>
      <c r="F55" s="220"/>
      <c r="G55" s="220"/>
      <c r="H55" s="220" t="str">
        <f t="shared" si="0"/>
        <v/>
      </c>
      <c r="I55" s="460"/>
      <c r="J55" s="460"/>
      <c r="K55" s="460"/>
      <c r="L55" s="460"/>
      <c r="M55" s="460"/>
      <c r="N55" s="220"/>
      <c r="O55" s="220"/>
      <c r="P55" s="220"/>
      <c r="Q55" s="220"/>
      <c r="R55" s="221"/>
      <c r="S55" s="221"/>
      <c r="T55" s="316">
        <f t="shared" si="1"/>
        <v>0</v>
      </c>
      <c r="U55" s="217">
        <f t="shared" si="2"/>
        <v>0</v>
      </c>
      <c r="X55" s="26" t="str">
        <f t="shared" si="6"/>
        <v/>
      </c>
      <c r="Y55" s="21" t="str">
        <f>IF(MATCH(X55,X56:$X$300,0),"Si",1)</f>
        <v>Si</v>
      </c>
      <c r="Z55" s="26">
        <f t="shared" si="3"/>
        <v>0</v>
      </c>
      <c r="AA55" s="26">
        <f t="shared" si="4"/>
        <v>0</v>
      </c>
      <c r="AB55" s="26" t="str">
        <f t="shared" si="5"/>
        <v/>
      </c>
      <c r="AC55" s="26" t="str">
        <f>IF(MATCH(AB55,AB56:$AB$300,0),"0",1)</f>
        <v>0</v>
      </c>
    </row>
    <row r="56" spans="2:29" x14ac:dyDescent="0.35">
      <c r="B56" s="219"/>
      <c r="C56" s="216" t="s">
        <v>247</v>
      </c>
      <c r="D56" s="216"/>
      <c r="E56" s="220"/>
      <c r="F56" s="220"/>
      <c r="G56" s="220"/>
      <c r="H56" s="220" t="str">
        <f t="shared" si="0"/>
        <v/>
      </c>
      <c r="I56" s="460"/>
      <c r="J56" s="460"/>
      <c r="K56" s="460"/>
      <c r="L56" s="460"/>
      <c r="M56" s="460"/>
      <c r="N56" s="220"/>
      <c r="O56" s="220"/>
      <c r="P56" s="220"/>
      <c r="Q56" s="220"/>
      <c r="R56" s="221"/>
      <c r="S56" s="221"/>
      <c r="T56" s="316">
        <f t="shared" si="1"/>
        <v>0</v>
      </c>
      <c r="U56" s="217">
        <f t="shared" si="2"/>
        <v>0</v>
      </c>
      <c r="X56" s="26" t="str">
        <f t="shared" si="6"/>
        <v/>
      </c>
      <c r="Y56" s="21" t="str">
        <f>IF(MATCH(X56,X57:$X$300,0),"Si",1)</f>
        <v>Si</v>
      </c>
      <c r="Z56" s="26">
        <f t="shared" si="3"/>
        <v>0</v>
      </c>
      <c r="AA56" s="26">
        <f t="shared" si="4"/>
        <v>0</v>
      </c>
      <c r="AB56" s="26" t="str">
        <f t="shared" si="5"/>
        <v/>
      </c>
      <c r="AC56" s="26" t="str">
        <f>IF(MATCH(AB56,AB57:$AB$300,0),"0",1)</f>
        <v>0</v>
      </c>
    </row>
    <row r="57" spans="2:29" x14ac:dyDescent="0.35">
      <c r="B57" s="219"/>
      <c r="C57" s="216" t="s">
        <v>248</v>
      </c>
      <c r="D57" s="216"/>
      <c r="E57" s="220"/>
      <c r="F57" s="220"/>
      <c r="G57" s="220"/>
      <c r="H57" s="220" t="str">
        <f t="shared" si="0"/>
        <v/>
      </c>
      <c r="I57" s="460"/>
      <c r="J57" s="460"/>
      <c r="K57" s="460"/>
      <c r="L57" s="460"/>
      <c r="M57" s="460"/>
      <c r="N57" s="220"/>
      <c r="O57" s="220"/>
      <c r="P57" s="220"/>
      <c r="Q57" s="220"/>
      <c r="R57" s="221"/>
      <c r="S57" s="221"/>
      <c r="T57" s="316">
        <f t="shared" si="1"/>
        <v>0</v>
      </c>
      <c r="U57" s="217">
        <f t="shared" si="2"/>
        <v>0</v>
      </c>
      <c r="X57" s="26" t="str">
        <f t="shared" si="6"/>
        <v/>
      </c>
      <c r="Y57" s="21" t="str">
        <f>IF(MATCH(X57,X58:$X$300,0),"Si",1)</f>
        <v>Si</v>
      </c>
      <c r="Z57" s="26">
        <f t="shared" si="3"/>
        <v>0</v>
      </c>
      <c r="AA57" s="26">
        <f t="shared" si="4"/>
        <v>0</v>
      </c>
      <c r="AB57" s="26" t="str">
        <f t="shared" si="5"/>
        <v/>
      </c>
      <c r="AC57" s="26" t="str">
        <f>IF(MATCH(AB57,AB58:$AB$300,0),"0",1)</f>
        <v>0</v>
      </c>
    </row>
    <row r="58" spans="2:29" x14ac:dyDescent="0.35">
      <c r="B58" s="219"/>
      <c r="C58" s="216" t="s">
        <v>249</v>
      </c>
      <c r="D58" s="216"/>
      <c r="E58" s="220"/>
      <c r="F58" s="220"/>
      <c r="G58" s="220"/>
      <c r="H58" s="220" t="str">
        <f t="shared" si="0"/>
        <v/>
      </c>
      <c r="I58" s="460"/>
      <c r="J58" s="460"/>
      <c r="K58" s="460"/>
      <c r="L58" s="460"/>
      <c r="M58" s="460"/>
      <c r="N58" s="220"/>
      <c r="O58" s="220"/>
      <c r="P58" s="220"/>
      <c r="Q58" s="220"/>
      <c r="R58" s="221"/>
      <c r="S58" s="221"/>
      <c r="T58" s="316">
        <f t="shared" si="1"/>
        <v>0</v>
      </c>
      <c r="U58" s="217">
        <f t="shared" si="2"/>
        <v>0</v>
      </c>
      <c r="X58" s="26" t="str">
        <f t="shared" si="6"/>
        <v/>
      </c>
      <c r="Y58" s="21" t="str">
        <f>IF(MATCH(X58,X59:$X$300,0),"Si",1)</f>
        <v>Si</v>
      </c>
      <c r="Z58" s="26">
        <f t="shared" si="3"/>
        <v>0</v>
      </c>
      <c r="AA58" s="26">
        <f t="shared" si="4"/>
        <v>0</v>
      </c>
      <c r="AB58" s="26" t="str">
        <f t="shared" si="5"/>
        <v/>
      </c>
      <c r="AC58" s="26" t="str">
        <f>IF(MATCH(AB58,AB59:$AB$300,0),"0",1)</f>
        <v>0</v>
      </c>
    </row>
    <row r="59" spans="2:29" x14ac:dyDescent="0.35">
      <c r="B59" s="219"/>
      <c r="C59" s="216" t="s">
        <v>250</v>
      </c>
      <c r="D59" s="216"/>
      <c r="E59" s="220"/>
      <c r="F59" s="220"/>
      <c r="G59" s="220"/>
      <c r="H59" s="220" t="str">
        <f t="shared" si="0"/>
        <v/>
      </c>
      <c r="I59" s="460"/>
      <c r="J59" s="460"/>
      <c r="K59" s="460"/>
      <c r="L59" s="460"/>
      <c r="M59" s="460"/>
      <c r="N59" s="220"/>
      <c r="O59" s="220"/>
      <c r="P59" s="220"/>
      <c r="Q59" s="220"/>
      <c r="R59" s="221"/>
      <c r="S59" s="221"/>
      <c r="T59" s="316">
        <f t="shared" si="1"/>
        <v>0</v>
      </c>
      <c r="U59" s="217">
        <f t="shared" si="2"/>
        <v>0</v>
      </c>
      <c r="X59" s="26" t="str">
        <f t="shared" si="6"/>
        <v/>
      </c>
      <c r="Y59" s="21" t="str">
        <f>IF(MATCH(X59,X60:$X$300,0),"Si",1)</f>
        <v>Si</v>
      </c>
      <c r="Z59" s="26">
        <f t="shared" si="3"/>
        <v>0</v>
      </c>
      <c r="AA59" s="26">
        <f t="shared" si="4"/>
        <v>0</v>
      </c>
      <c r="AB59" s="26" t="str">
        <f t="shared" si="5"/>
        <v/>
      </c>
      <c r="AC59" s="26" t="str">
        <f>IF(MATCH(AB59,AB60:$AB$300,0),"0",1)</f>
        <v>0</v>
      </c>
    </row>
    <row r="60" spans="2:29" x14ac:dyDescent="0.35">
      <c r="B60" s="219"/>
      <c r="C60" s="216" t="s">
        <v>251</v>
      </c>
      <c r="D60" s="216"/>
      <c r="E60" s="220"/>
      <c r="F60" s="220"/>
      <c r="G60" s="220"/>
      <c r="H60" s="220" t="str">
        <f t="shared" si="0"/>
        <v/>
      </c>
      <c r="I60" s="460"/>
      <c r="J60" s="460"/>
      <c r="K60" s="460"/>
      <c r="L60" s="460"/>
      <c r="M60" s="460"/>
      <c r="N60" s="220"/>
      <c r="O60" s="220"/>
      <c r="P60" s="220"/>
      <c r="Q60" s="220"/>
      <c r="R60" s="221"/>
      <c r="S60" s="221"/>
      <c r="T60" s="316">
        <f t="shared" si="1"/>
        <v>0</v>
      </c>
      <c r="U60" s="217">
        <f t="shared" si="2"/>
        <v>0</v>
      </c>
      <c r="X60" s="26" t="str">
        <f t="shared" si="6"/>
        <v/>
      </c>
      <c r="Y60" s="21" t="str">
        <f>IF(MATCH(X60,X61:$X$300,0),"Si",1)</f>
        <v>Si</v>
      </c>
      <c r="Z60" s="26">
        <f t="shared" si="3"/>
        <v>0</v>
      </c>
      <c r="AA60" s="26">
        <f t="shared" si="4"/>
        <v>0</v>
      </c>
      <c r="AB60" s="26" t="str">
        <f t="shared" si="5"/>
        <v/>
      </c>
      <c r="AC60" s="26" t="str">
        <f>IF(MATCH(AB60,AB61:$AB$300,0),"0",1)</f>
        <v>0</v>
      </c>
    </row>
    <row r="61" spans="2:29" x14ac:dyDescent="0.35">
      <c r="B61" s="219"/>
      <c r="C61" s="216" t="s">
        <v>252</v>
      </c>
      <c r="D61" s="216"/>
      <c r="E61" s="220"/>
      <c r="F61" s="220"/>
      <c r="G61" s="220"/>
      <c r="H61" s="220" t="str">
        <f t="shared" si="0"/>
        <v/>
      </c>
      <c r="I61" s="460"/>
      <c r="J61" s="460"/>
      <c r="K61" s="460"/>
      <c r="L61" s="460"/>
      <c r="M61" s="460"/>
      <c r="N61" s="220"/>
      <c r="O61" s="220"/>
      <c r="P61" s="220"/>
      <c r="Q61" s="220"/>
      <c r="R61" s="221"/>
      <c r="S61" s="221"/>
      <c r="T61" s="316">
        <f t="shared" si="1"/>
        <v>0</v>
      </c>
      <c r="U61" s="217">
        <f t="shared" si="2"/>
        <v>0</v>
      </c>
      <c r="X61" s="26" t="str">
        <f t="shared" si="6"/>
        <v/>
      </c>
      <c r="Y61" s="21" t="str">
        <f>IF(MATCH(X61,X62:$X$300,0),"Si",1)</f>
        <v>Si</v>
      </c>
      <c r="Z61" s="26">
        <f t="shared" si="3"/>
        <v>0</v>
      </c>
      <c r="AA61" s="26">
        <f t="shared" si="4"/>
        <v>0</v>
      </c>
      <c r="AB61" s="26" t="str">
        <f t="shared" si="5"/>
        <v/>
      </c>
      <c r="AC61" s="26" t="str">
        <f>IF(MATCH(AB61,AB62:$AB$300,0),"0",1)</f>
        <v>0</v>
      </c>
    </row>
    <row r="62" spans="2:29" x14ac:dyDescent="0.35">
      <c r="B62" s="219"/>
      <c r="C62" s="216" t="s">
        <v>253</v>
      </c>
      <c r="D62" s="216"/>
      <c r="E62" s="220"/>
      <c r="F62" s="220"/>
      <c r="G62" s="220"/>
      <c r="H62" s="220" t="str">
        <f t="shared" si="0"/>
        <v/>
      </c>
      <c r="I62" s="460"/>
      <c r="J62" s="460"/>
      <c r="K62" s="460"/>
      <c r="L62" s="460"/>
      <c r="M62" s="460"/>
      <c r="N62" s="220"/>
      <c r="O62" s="220"/>
      <c r="P62" s="220"/>
      <c r="Q62" s="220"/>
      <c r="R62" s="221"/>
      <c r="S62" s="221"/>
      <c r="T62" s="316">
        <f t="shared" si="1"/>
        <v>0</v>
      </c>
      <c r="U62" s="217">
        <f t="shared" si="2"/>
        <v>0</v>
      </c>
      <c r="X62" s="26" t="str">
        <f t="shared" si="6"/>
        <v/>
      </c>
      <c r="Y62" s="21" t="str">
        <f>IF(MATCH(X62,X63:$X$300,0),"Si",1)</f>
        <v>Si</v>
      </c>
      <c r="Z62" s="26">
        <f t="shared" si="3"/>
        <v>0</v>
      </c>
      <c r="AA62" s="26">
        <f t="shared" si="4"/>
        <v>0</v>
      </c>
      <c r="AB62" s="26" t="str">
        <f t="shared" si="5"/>
        <v/>
      </c>
      <c r="AC62" s="26" t="str">
        <f>IF(MATCH(AB62,AB63:$AB$300,0),"0",1)</f>
        <v>0</v>
      </c>
    </row>
    <row r="63" spans="2:29" x14ac:dyDescent="0.35">
      <c r="B63" s="219"/>
      <c r="C63" s="216" t="s">
        <v>254</v>
      </c>
      <c r="D63" s="216"/>
      <c r="E63" s="220"/>
      <c r="F63" s="220"/>
      <c r="G63" s="220"/>
      <c r="H63" s="220" t="str">
        <f t="shared" si="0"/>
        <v/>
      </c>
      <c r="I63" s="460"/>
      <c r="J63" s="460"/>
      <c r="K63" s="460"/>
      <c r="L63" s="460"/>
      <c r="M63" s="460"/>
      <c r="N63" s="220"/>
      <c r="O63" s="220"/>
      <c r="P63" s="220"/>
      <c r="Q63" s="220"/>
      <c r="R63" s="221"/>
      <c r="S63" s="221"/>
      <c r="T63" s="316">
        <f t="shared" si="1"/>
        <v>0</v>
      </c>
      <c r="U63" s="217">
        <f t="shared" si="2"/>
        <v>0</v>
      </c>
      <c r="X63" s="26" t="str">
        <f t="shared" si="6"/>
        <v/>
      </c>
      <c r="Y63" s="21" t="str">
        <f>IF(MATCH(X63,X64:$X$300,0),"Si",1)</f>
        <v>Si</v>
      </c>
      <c r="Z63" s="26">
        <f t="shared" si="3"/>
        <v>0</v>
      </c>
      <c r="AA63" s="26">
        <f t="shared" si="4"/>
        <v>0</v>
      </c>
      <c r="AB63" s="26" t="str">
        <f t="shared" si="5"/>
        <v/>
      </c>
      <c r="AC63" s="26" t="str">
        <f>IF(MATCH(AB63,AB64:$AB$300,0),"0",1)</f>
        <v>0</v>
      </c>
    </row>
    <row r="64" spans="2:29" x14ac:dyDescent="0.35">
      <c r="B64" s="219"/>
      <c r="C64" s="216" t="s">
        <v>255</v>
      </c>
      <c r="D64" s="216"/>
      <c r="E64" s="220"/>
      <c r="F64" s="220"/>
      <c r="G64" s="220"/>
      <c r="H64" s="220" t="str">
        <f t="shared" si="0"/>
        <v/>
      </c>
      <c r="I64" s="460"/>
      <c r="J64" s="460"/>
      <c r="K64" s="460"/>
      <c r="L64" s="460"/>
      <c r="M64" s="460"/>
      <c r="N64" s="220"/>
      <c r="O64" s="220"/>
      <c r="P64" s="220"/>
      <c r="Q64" s="220"/>
      <c r="R64" s="221"/>
      <c r="S64" s="221"/>
      <c r="T64" s="316">
        <f t="shared" si="1"/>
        <v>0</v>
      </c>
      <c r="U64" s="217">
        <f t="shared" si="2"/>
        <v>0</v>
      </c>
      <c r="X64" s="26" t="str">
        <f t="shared" si="6"/>
        <v/>
      </c>
      <c r="Y64" s="21" t="str">
        <f>IF(MATCH(X64,X65:$X$300,0),"Si",1)</f>
        <v>Si</v>
      </c>
      <c r="Z64" s="26">
        <f t="shared" si="3"/>
        <v>0</v>
      </c>
      <c r="AA64" s="26">
        <f t="shared" si="4"/>
        <v>0</v>
      </c>
      <c r="AB64" s="26" t="str">
        <f t="shared" si="5"/>
        <v/>
      </c>
      <c r="AC64" s="26" t="str">
        <f>IF(MATCH(AB64,AB65:$AB$300,0),"0",1)</f>
        <v>0</v>
      </c>
    </row>
    <row r="65" spans="2:29" x14ac:dyDescent="0.35">
      <c r="B65" s="219"/>
      <c r="C65" s="216" t="s">
        <v>256</v>
      </c>
      <c r="D65" s="216"/>
      <c r="E65" s="220"/>
      <c r="F65" s="220"/>
      <c r="G65" s="220"/>
      <c r="H65" s="220" t="str">
        <f t="shared" si="0"/>
        <v/>
      </c>
      <c r="I65" s="460"/>
      <c r="J65" s="460"/>
      <c r="K65" s="460"/>
      <c r="L65" s="460"/>
      <c r="M65" s="460"/>
      <c r="N65" s="220"/>
      <c r="O65" s="220"/>
      <c r="P65" s="220"/>
      <c r="Q65" s="220"/>
      <c r="R65" s="221"/>
      <c r="S65" s="221"/>
      <c r="T65" s="316">
        <f t="shared" si="1"/>
        <v>0</v>
      </c>
      <c r="U65" s="217">
        <f t="shared" si="2"/>
        <v>0</v>
      </c>
      <c r="X65" s="26" t="str">
        <f t="shared" si="6"/>
        <v/>
      </c>
      <c r="Y65" s="21" t="str">
        <f>IF(MATCH(X65,X66:$X$300,0),"Si",1)</f>
        <v>Si</v>
      </c>
      <c r="Z65" s="26">
        <f t="shared" si="3"/>
        <v>0</v>
      </c>
      <c r="AA65" s="26">
        <f t="shared" si="4"/>
        <v>0</v>
      </c>
      <c r="AB65" s="26" t="str">
        <f t="shared" si="5"/>
        <v/>
      </c>
      <c r="AC65" s="26" t="str">
        <f>IF(MATCH(AB65,AB66:$AB$300,0),"0",1)</f>
        <v>0</v>
      </c>
    </row>
    <row r="66" spans="2:29" x14ac:dyDescent="0.35">
      <c r="B66" s="219"/>
      <c r="C66" s="216" t="s">
        <v>257</v>
      </c>
      <c r="D66" s="216"/>
      <c r="E66" s="220"/>
      <c r="F66" s="220"/>
      <c r="G66" s="220"/>
      <c r="H66" s="220" t="str">
        <f t="shared" si="0"/>
        <v/>
      </c>
      <c r="I66" s="460"/>
      <c r="J66" s="460"/>
      <c r="K66" s="460"/>
      <c r="L66" s="460"/>
      <c r="M66" s="460"/>
      <c r="N66" s="220"/>
      <c r="O66" s="220"/>
      <c r="P66" s="220"/>
      <c r="Q66" s="220"/>
      <c r="R66" s="221"/>
      <c r="S66" s="221"/>
      <c r="T66" s="316">
        <f t="shared" si="1"/>
        <v>0</v>
      </c>
      <c r="U66" s="217">
        <f t="shared" si="2"/>
        <v>0</v>
      </c>
      <c r="X66" s="26" t="str">
        <f t="shared" si="6"/>
        <v/>
      </c>
      <c r="Y66" s="21" t="str">
        <f>IF(MATCH(X66,X67:$X$300,0),"Si",1)</f>
        <v>Si</v>
      </c>
      <c r="Z66" s="26">
        <f t="shared" si="3"/>
        <v>0</v>
      </c>
      <c r="AA66" s="26">
        <f t="shared" si="4"/>
        <v>0</v>
      </c>
      <c r="AB66" s="26" t="str">
        <f t="shared" si="5"/>
        <v/>
      </c>
      <c r="AC66" s="26" t="str">
        <f>IF(MATCH(AB66,AB67:$AB$300,0),"0",1)</f>
        <v>0</v>
      </c>
    </row>
    <row r="67" spans="2:29" x14ac:dyDescent="0.35">
      <c r="B67" s="219"/>
      <c r="C67" s="216" t="s">
        <v>258</v>
      </c>
      <c r="D67" s="216"/>
      <c r="E67" s="220"/>
      <c r="F67" s="220"/>
      <c r="G67" s="220"/>
      <c r="H67" s="220" t="str">
        <f t="shared" si="0"/>
        <v/>
      </c>
      <c r="I67" s="460"/>
      <c r="J67" s="460"/>
      <c r="K67" s="460"/>
      <c r="L67" s="460"/>
      <c r="M67" s="460"/>
      <c r="N67" s="220"/>
      <c r="O67" s="220"/>
      <c r="P67" s="220"/>
      <c r="Q67" s="220"/>
      <c r="R67" s="221"/>
      <c r="S67" s="221"/>
      <c r="T67" s="316">
        <f t="shared" si="1"/>
        <v>0</v>
      </c>
      <c r="U67" s="217">
        <f t="shared" si="2"/>
        <v>0</v>
      </c>
      <c r="X67" s="26" t="str">
        <f t="shared" si="6"/>
        <v/>
      </c>
      <c r="Y67" s="21" t="str">
        <f>IF(MATCH(X67,X68:$X$300,0),"Si",1)</f>
        <v>Si</v>
      </c>
      <c r="Z67" s="26">
        <f t="shared" si="3"/>
        <v>0</v>
      </c>
      <c r="AA67" s="26">
        <f t="shared" si="4"/>
        <v>0</v>
      </c>
      <c r="AB67" s="26" t="str">
        <f t="shared" si="5"/>
        <v/>
      </c>
      <c r="AC67" s="26" t="str">
        <f>IF(MATCH(AB67,AB68:$AB$300,0),"0",1)</f>
        <v>0</v>
      </c>
    </row>
    <row r="68" spans="2:29" x14ac:dyDescent="0.35">
      <c r="B68" s="219"/>
      <c r="C68" s="216" t="s">
        <v>259</v>
      </c>
      <c r="D68" s="216"/>
      <c r="E68" s="220"/>
      <c r="F68" s="220"/>
      <c r="G68" s="220"/>
      <c r="H68" s="220" t="str">
        <f t="shared" si="0"/>
        <v/>
      </c>
      <c r="I68" s="460"/>
      <c r="J68" s="460"/>
      <c r="K68" s="460"/>
      <c r="L68" s="460"/>
      <c r="M68" s="460"/>
      <c r="N68" s="220"/>
      <c r="O68" s="220"/>
      <c r="P68" s="220"/>
      <c r="Q68" s="220"/>
      <c r="R68" s="221"/>
      <c r="S68" s="221"/>
      <c r="T68" s="316">
        <f t="shared" si="1"/>
        <v>0</v>
      </c>
      <c r="U68" s="217">
        <f t="shared" si="2"/>
        <v>0</v>
      </c>
      <c r="X68" s="26" t="str">
        <f t="shared" si="6"/>
        <v/>
      </c>
      <c r="Y68" s="21" t="str">
        <f>IF(MATCH(X68,X69:$X$300,0),"Si",1)</f>
        <v>Si</v>
      </c>
      <c r="Z68" s="26">
        <f t="shared" si="3"/>
        <v>0</v>
      </c>
      <c r="AA68" s="26">
        <f t="shared" si="4"/>
        <v>0</v>
      </c>
      <c r="AB68" s="26" t="str">
        <f t="shared" si="5"/>
        <v/>
      </c>
      <c r="AC68" s="26" t="str">
        <f>IF(MATCH(AB68,AB69:$AB$300,0),"0",1)</f>
        <v>0</v>
      </c>
    </row>
    <row r="69" spans="2:29" x14ac:dyDescent="0.35">
      <c r="B69" s="219"/>
      <c r="C69" s="216" t="s">
        <v>260</v>
      </c>
      <c r="D69" s="216"/>
      <c r="E69" s="220"/>
      <c r="F69" s="220"/>
      <c r="G69" s="220"/>
      <c r="H69" s="220" t="str">
        <f t="shared" si="0"/>
        <v/>
      </c>
      <c r="I69" s="460"/>
      <c r="J69" s="460"/>
      <c r="K69" s="460"/>
      <c r="L69" s="460"/>
      <c r="M69" s="460"/>
      <c r="N69" s="220"/>
      <c r="O69" s="220"/>
      <c r="P69" s="220"/>
      <c r="Q69" s="220"/>
      <c r="R69" s="221"/>
      <c r="S69" s="221"/>
      <c r="T69" s="316">
        <f t="shared" si="1"/>
        <v>0</v>
      </c>
      <c r="U69" s="217">
        <f t="shared" si="2"/>
        <v>0</v>
      </c>
      <c r="X69" s="26" t="str">
        <f t="shared" si="6"/>
        <v/>
      </c>
      <c r="Y69" s="21" t="str">
        <f>IF(MATCH(X69,X70:$X$300,0),"Si",1)</f>
        <v>Si</v>
      </c>
      <c r="Z69" s="26">
        <f t="shared" si="3"/>
        <v>0</v>
      </c>
      <c r="AA69" s="26">
        <f t="shared" si="4"/>
        <v>0</v>
      </c>
      <c r="AB69" s="26" t="str">
        <f t="shared" si="5"/>
        <v/>
      </c>
      <c r="AC69" s="26" t="str">
        <f>IF(MATCH(AB69,AB70:$AB$300,0),"0",1)</f>
        <v>0</v>
      </c>
    </row>
    <row r="70" spans="2:29" x14ac:dyDescent="0.35">
      <c r="B70" s="219"/>
      <c r="C70" s="216" t="s">
        <v>261</v>
      </c>
      <c r="D70" s="216"/>
      <c r="E70" s="220"/>
      <c r="F70" s="220"/>
      <c r="G70" s="220"/>
      <c r="H70" s="220" t="str">
        <f t="shared" si="0"/>
        <v/>
      </c>
      <c r="I70" s="460"/>
      <c r="J70" s="460"/>
      <c r="K70" s="460"/>
      <c r="L70" s="460"/>
      <c r="M70" s="460"/>
      <c r="N70" s="220"/>
      <c r="O70" s="220"/>
      <c r="P70" s="220"/>
      <c r="Q70" s="220"/>
      <c r="R70" s="221"/>
      <c r="S70" s="221"/>
      <c r="T70" s="316">
        <f t="shared" si="1"/>
        <v>0</v>
      </c>
      <c r="U70" s="217">
        <f t="shared" si="2"/>
        <v>0</v>
      </c>
      <c r="X70" s="26" t="str">
        <f t="shared" si="6"/>
        <v/>
      </c>
      <c r="Y70" s="21" t="str">
        <f>IF(MATCH(X70,X71:$X$300,0),"Si",1)</f>
        <v>Si</v>
      </c>
      <c r="Z70" s="26">
        <f t="shared" si="3"/>
        <v>0</v>
      </c>
      <c r="AA70" s="26">
        <f t="shared" si="4"/>
        <v>0</v>
      </c>
      <c r="AB70" s="26" t="str">
        <f t="shared" si="5"/>
        <v/>
      </c>
      <c r="AC70" s="26" t="str">
        <f>IF(MATCH(AB70,AB71:$AB$300,0),"0",1)</f>
        <v>0</v>
      </c>
    </row>
    <row r="71" spans="2:29" x14ac:dyDescent="0.35">
      <c r="B71" s="219"/>
      <c r="C71" s="216" t="s">
        <v>262</v>
      </c>
      <c r="D71" s="216"/>
      <c r="E71" s="220"/>
      <c r="F71" s="220"/>
      <c r="G71" s="220"/>
      <c r="H71" s="220" t="str">
        <f t="shared" si="0"/>
        <v/>
      </c>
      <c r="I71" s="460"/>
      <c r="J71" s="460"/>
      <c r="K71" s="460"/>
      <c r="L71" s="460"/>
      <c r="M71" s="460"/>
      <c r="N71" s="220"/>
      <c r="O71" s="220"/>
      <c r="P71" s="220"/>
      <c r="Q71" s="220"/>
      <c r="R71" s="221"/>
      <c r="S71" s="221"/>
      <c r="T71" s="316">
        <f t="shared" si="1"/>
        <v>0</v>
      </c>
      <c r="U71" s="217">
        <f t="shared" si="2"/>
        <v>0</v>
      </c>
      <c r="X71" s="26" t="str">
        <f t="shared" si="6"/>
        <v/>
      </c>
      <c r="Y71" s="21" t="str">
        <f>IF(MATCH(X71,X72:$X$300,0),"Si",1)</f>
        <v>Si</v>
      </c>
      <c r="Z71" s="26">
        <f t="shared" si="3"/>
        <v>0</v>
      </c>
      <c r="AA71" s="26">
        <f t="shared" si="4"/>
        <v>0</v>
      </c>
      <c r="AB71" s="26" t="str">
        <f t="shared" si="5"/>
        <v/>
      </c>
      <c r="AC71" s="26" t="str">
        <f>IF(MATCH(AB71,AB72:$AB$300,0),"0",1)</f>
        <v>0</v>
      </c>
    </row>
    <row r="72" spans="2:29" x14ac:dyDescent="0.35">
      <c r="B72" s="219"/>
      <c r="C72" s="216" t="s">
        <v>263</v>
      </c>
      <c r="D72" s="216"/>
      <c r="E72" s="220"/>
      <c r="F72" s="220"/>
      <c r="G72" s="220"/>
      <c r="H72" s="220" t="str">
        <f t="shared" si="0"/>
        <v/>
      </c>
      <c r="I72" s="460"/>
      <c r="J72" s="460"/>
      <c r="K72" s="460"/>
      <c r="L72" s="460"/>
      <c r="M72" s="460"/>
      <c r="N72" s="220"/>
      <c r="O72" s="220"/>
      <c r="P72" s="220"/>
      <c r="Q72" s="220"/>
      <c r="R72" s="221"/>
      <c r="S72" s="221"/>
      <c r="T72" s="316">
        <f t="shared" si="1"/>
        <v>0</v>
      </c>
      <c r="U72" s="217">
        <f t="shared" si="2"/>
        <v>0</v>
      </c>
      <c r="X72" s="26" t="str">
        <f t="shared" si="6"/>
        <v/>
      </c>
      <c r="Y72" s="21" t="str">
        <f>IF(MATCH(X72,X73:$X$300,0),"Si",1)</f>
        <v>Si</v>
      </c>
      <c r="Z72" s="26">
        <f t="shared" si="3"/>
        <v>0</v>
      </c>
      <c r="AA72" s="26">
        <f t="shared" si="4"/>
        <v>0</v>
      </c>
      <c r="AB72" s="26" t="str">
        <f t="shared" si="5"/>
        <v/>
      </c>
      <c r="AC72" s="26" t="str">
        <f>IF(MATCH(AB72,AB73:$AB$300,0),"0",1)</f>
        <v>0</v>
      </c>
    </row>
    <row r="73" spans="2:29" x14ac:dyDescent="0.35">
      <c r="B73" s="219"/>
      <c r="C73" s="216" t="s">
        <v>264</v>
      </c>
      <c r="D73" s="216"/>
      <c r="E73" s="220"/>
      <c r="F73" s="220"/>
      <c r="G73" s="220"/>
      <c r="H73" s="220" t="str">
        <f t="shared" si="0"/>
        <v/>
      </c>
      <c r="I73" s="460"/>
      <c r="J73" s="460"/>
      <c r="K73" s="460"/>
      <c r="L73" s="460"/>
      <c r="M73" s="460"/>
      <c r="N73" s="220"/>
      <c r="O73" s="220"/>
      <c r="P73" s="220"/>
      <c r="Q73" s="220"/>
      <c r="R73" s="221"/>
      <c r="S73" s="221"/>
      <c r="T73" s="316">
        <f t="shared" si="1"/>
        <v>0</v>
      </c>
      <c r="U73" s="217">
        <f t="shared" si="2"/>
        <v>0</v>
      </c>
      <c r="X73" s="26" t="str">
        <f t="shared" si="6"/>
        <v/>
      </c>
      <c r="Y73" s="21" t="str">
        <f>IF(MATCH(X73,X74:$X$300,0),"Si",1)</f>
        <v>Si</v>
      </c>
      <c r="Z73" s="26">
        <f t="shared" si="3"/>
        <v>0</v>
      </c>
      <c r="AA73" s="26">
        <f t="shared" si="4"/>
        <v>0</v>
      </c>
      <c r="AB73" s="26" t="str">
        <f t="shared" si="5"/>
        <v/>
      </c>
      <c r="AC73" s="26" t="str">
        <f>IF(MATCH(AB73,AB74:$AB$300,0),"0",1)</f>
        <v>0</v>
      </c>
    </row>
    <row r="74" spans="2:29" x14ac:dyDescent="0.35">
      <c r="B74" s="219"/>
      <c r="C74" s="216" t="s">
        <v>265</v>
      </c>
      <c r="D74" s="216"/>
      <c r="E74" s="220"/>
      <c r="F74" s="220"/>
      <c r="G74" s="220"/>
      <c r="H74" s="220" t="str">
        <f t="shared" si="0"/>
        <v/>
      </c>
      <c r="I74" s="460"/>
      <c r="J74" s="460"/>
      <c r="K74" s="460"/>
      <c r="L74" s="460"/>
      <c r="M74" s="460"/>
      <c r="N74" s="220"/>
      <c r="O74" s="220"/>
      <c r="P74" s="220"/>
      <c r="Q74" s="220"/>
      <c r="R74" s="221"/>
      <c r="S74" s="221"/>
      <c r="T74" s="316">
        <f t="shared" si="1"/>
        <v>0</v>
      </c>
      <c r="U74" s="217">
        <f t="shared" si="2"/>
        <v>0</v>
      </c>
      <c r="X74" s="26" t="str">
        <f t="shared" si="6"/>
        <v/>
      </c>
      <c r="Y74" s="21" t="str">
        <f>IF(MATCH(X74,X75:$X$300,0),"Si",1)</f>
        <v>Si</v>
      </c>
      <c r="Z74" s="26">
        <f t="shared" si="3"/>
        <v>0</v>
      </c>
      <c r="AA74" s="26">
        <f t="shared" si="4"/>
        <v>0</v>
      </c>
      <c r="AB74" s="26" t="str">
        <f t="shared" si="5"/>
        <v/>
      </c>
      <c r="AC74" s="26" t="str">
        <f>IF(MATCH(AB74,AB75:$AB$300,0),"0",1)</f>
        <v>0</v>
      </c>
    </row>
    <row r="75" spans="2:29" x14ac:dyDescent="0.35">
      <c r="B75" s="219"/>
      <c r="C75" s="216" t="s">
        <v>266</v>
      </c>
      <c r="D75" s="216"/>
      <c r="E75" s="220"/>
      <c r="F75" s="220"/>
      <c r="G75" s="220"/>
      <c r="H75" s="220" t="str">
        <f t="shared" si="0"/>
        <v/>
      </c>
      <c r="I75" s="460"/>
      <c r="J75" s="460"/>
      <c r="K75" s="460"/>
      <c r="L75" s="460"/>
      <c r="M75" s="460"/>
      <c r="N75" s="220"/>
      <c r="O75" s="220"/>
      <c r="P75" s="220"/>
      <c r="Q75" s="220"/>
      <c r="R75" s="221"/>
      <c r="S75" s="221"/>
      <c r="T75" s="316">
        <f t="shared" si="1"/>
        <v>0</v>
      </c>
      <c r="U75" s="217">
        <f t="shared" si="2"/>
        <v>0</v>
      </c>
      <c r="X75" s="26" t="str">
        <f t="shared" si="6"/>
        <v/>
      </c>
      <c r="Y75" s="21" t="str">
        <f>IF(MATCH(X75,X76:$X$300,0),"Si",1)</f>
        <v>Si</v>
      </c>
      <c r="Z75" s="26">
        <f t="shared" si="3"/>
        <v>0</v>
      </c>
      <c r="AA75" s="26">
        <f t="shared" si="4"/>
        <v>0</v>
      </c>
      <c r="AB75" s="26" t="str">
        <f t="shared" si="5"/>
        <v/>
      </c>
      <c r="AC75" s="26" t="str">
        <f>IF(MATCH(AB75,AB76:$AB$300,0),"0",1)</f>
        <v>0</v>
      </c>
    </row>
    <row r="76" spans="2:29" x14ac:dyDescent="0.35">
      <c r="B76" s="219"/>
      <c r="C76" s="216" t="s">
        <v>267</v>
      </c>
      <c r="D76" s="216"/>
      <c r="E76" s="220"/>
      <c r="F76" s="220"/>
      <c r="G76" s="220"/>
      <c r="H76" s="220" t="str">
        <f t="shared" si="0"/>
        <v/>
      </c>
      <c r="I76" s="460"/>
      <c r="J76" s="460"/>
      <c r="K76" s="460"/>
      <c r="L76" s="460"/>
      <c r="M76" s="460"/>
      <c r="N76" s="220"/>
      <c r="O76" s="220"/>
      <c r="P76" s="220"/>
      <c r="Q76" s="220"/>
      <c r="R76" s="221"/>
      <c r="S76" s="221"/>
      <c r="T76" s="316">
        <f t="shared" si="1"/>
        <v>0</v>
      </c>
      <c r="U76" s="217">
        <f t="shared" si="2"/>
        <v>0</v>
      </c>
      <c r="X76" s="26" t="str">
        <f t="shared" si="6"/>
        <v/>
      </c>
      <c r="Y76" s="21" t="str">
        <f>IF(MATCH(X76,X77:$X$300,0),"Si",1)</f>
        <v>Si</v>
      </c>
      <c r="Z76" s="26">
        <f t="shared" si="3"/>
        <v>0</v>
      </c>
      <c r="AA76" s="26">
        <f t="shared" si="4"/>
        <v>0</v>
      </c>
      <c r="AB76" s="26" t="str">
        <f t="shared" si="5"/>
        <v/>
      </c>
      <c r="AC76" s="26" t="str">
        <f>IF(MATCH(AB76,AB77:$AB$300,0),"0",1)</f>
        <v>0</v>
      </c>
    </row>
    <row r="77" spans="2:29" x14ac:dyDescent="0.35">
      <c r="B77" s="219"/>
      <c r="C77" s="216" t="s">
        <v>268</v>
      </c>
      <c r="D77" s="216"/>
      <c r="E77" s="220"/>
      <c r="F77" s="220"/>
      <c r="G77" s="220"/>
      <c r="H77" s="220" t="str">
        <f t="shared" si="0"/>
        <v/>
      </c>
      <c r="I77" s="460"/>
      <c r="J77" s="460"/>
      <c r="K77" s="460"/>
      <c r="L77" s="460"/>
      <c r="M77" s="460"/>
      <c r="N77" s="220"/>
      <c r="O77" s="220"/>
      <c r="P77" s="220"/>
      <c r="Q77" s="220"/>
      <c r="R77" s="221"/>
      <c r="S77" s="221"/>
      <c r="T77" s="316">
        <f t="shared" si="1"/>
        <v>0</v>
      </c>
      <c r="U77" s="217">
        <f t="shared" si="2"/>
        <v>0</v>
      </c>
      <c r="X77" s="26" t="str">
        <f t="shared" si="6"/>
        <v/>
      </c>
      <c r="Y77" s="21" t="str">
        <f>IF(MATCH(X77,X78:$X$300,0),"Si",1)</f>
        <v>Si</v>
      </c>
      <c r="Z77" s="26">
        <f t="shared" si="3"/>
        <v>0</v>
      </c>
      <c r="AA77" s="26">
        <f t="shared" si="4"/>
        <v>0</v>
      </c>
      <c r="AB77" s="26" t="str">
        <f t="shared" si="5"/>
        <v/>
      </c>
      <c r="AC77" s="26" t="str">
        <f>IF(MATCH(AB77,AB78:$AB$300,0),"0",1)</f>
        <v>0</v>
      </c>
    </row>
    <row r="78" spans="2:29" x14ac:dyDescent="0.35">
      <c r="B78" s="219"/>
      <c r="C78" s="216" t="s">
        <v>269</v>
      </c>
      <c r="D78" s="216"/>
      <c r="E78" s="220"/>
      <c r="F78" s="220"/>
      <c r="G78" s="220"/>
      <c r="H78" s="220" t="str">
        <f t="shared" si="0"/>
        <v/>
      </c>
      <c r="I78" s="460"/>
      <c r="J78" s="460"/>
      <c r="K78" s="460"/>
      <c r="L78" s="460"/>
      <c r="M78" s="460"/>
      <c r="N78" s="220"/>
      <c r="O78" s="220"/>
      <c r="P78" s="220"/>
      <c r="Q78" s="220"/>
      <c r="R78" s="221"/>
      <c r="S78" s="221"/>
      <c r="T78" s="316">
        <f t="shared" si="1"/>
        <v>0</v>
      </c>
      <c r="U78" s="217">
        <f t="shared" si="2"/>
        <v>0</v>
      </c>
      <c r="X78" s="26" t="str">
        <f t="shared" si="6"/>
        <v/>
      </c>
      <c r="Y78" s="21" t="str">
        <f>IF(MATCH(X78,X79:$X$300,0),"Si",1)</f>
        <v>Si</v>
      </c>
      <c r="Z78" s="26">
        <f t="shared" si="3"/>
        <v>0</v>
      </c>
      <c r="AA78" s="26">
        <f t="shared" si="4"/>
        <v>0</v>
      </c>
      <c r="AB78" s="26" t="str">
        <f t="shared" si="5"/>
        <v/>
      </c>
      <c r="AC78" s="26" t="str">
        <f>IF(MATCH(AB78,AB79:$AB$300,0),"0",1)</f>
        <v>0</v>
      </c>
    </row>
    <row r="79" spans="2:29" x14ac:dyDescent="0.35">
      <c r="B79" s="219"/>
      <c r="C79" s="216" t="s">
        <v>270</v>
      </c>
      <c r="D79" s="216"/>
      <c r="E79" s="220"/>
      <c r="F79" s="220"/>
      <c r="G79" s="220"/>
      <c r="H79" s="220" t="str">
        <f t="shared" si="0"/>
        <v/>
      </c>
      <c r="I79" s="460"/>
      <c r="J79" s="460"/>
      <c r="K79" s="460"/>
      <c r="L79" s="460"/>
      <c r="M79" s="460"/>
      <c r="N79" s="220"/>
      <c r="O79" s="220"/>
      <c r="P79" s="220"/>
      <c r="Q79" s="220"/>
      <c r="R79" s="221"/>
      <c r="S79" s="221"/>
      <c r="T79" s="316">
        <f t="shared" si="1"/>
        <v>0</v>
      </c>
      <c r="U79" s="217">
        <f t="shared" si="2"/>
        <v>0</v>
      </c>
      <c r="X79" s="26" t="str">
        <f t="shared" si="6"/>
        <v/>
      </c>
      <c r="Y79" s="21" t="str">
        <f>IF(MATCH(X79,X80:$X$300,0),"Si",1)</f>
        <v>Si</v>
      </c>
      <c r="Z79" s="26">
        <f t="shared" si="3"/>
        <v>0</v>
      </c>
      <c r="AA79" s="26">
        <f t="shared" si="4"/>
        <v>0</v>
      </c>
      <c r="AB79" s="26" t="str">
        <f t="shared" si="5"/>
        <v/>
      </c>
      <c r="AC79" s="26" t="str">
        <f>IF(MATCH(AB79,AB80:$AB$300,0),"0",1)</f>
        <v>0</v>
      </c>
    </row>
    <row r="80" spans="2:29" x14ac:dyDescent="0.35">
      <c r="B80" s="219"/>
      <c r="C80" s="216" t="s">
        <v>271</v>
      </c>
      <c r="D80" s="216"/>
      <c r="E80" s="220"/>
      <c r="F80" s="220"/>
      <c r="G80" s="220"/>
      <c r="H80" s="220" t="str">
        <f t="shared" si="0"/>
        <v/>
      </c>
      <c r="I80" s="460"/>
      <c r="J80" s="460"/>
      <c r="K80" s="460"/>
      <c r="L80" s="460"/>
      <c r="M80" s="460"/>
      <c r="N80" s="220"/>
      <c r="O80" s="220"/>
      <c r="P80" s="220"/>
      <c r="Q80" s="220"/>
      <c r="R80" s="221"/>
      <c r="S80" s="221"/>
      <c r="T80" s="316">
        <f t="shared" si="1"/>
        <v>0</v>
      </c>
      <c r="U80" s="217">
        <f t="shared" si="2"/>
        <v>0</v>
      </c>
      <c r="X80" s="26" t="str">
        <f t="shared" si="6"/>
        <v/>
      </c>
      <c r="Y80" s="21" t="str">
        <f>IF(MATCH(X80,X81:$X$300,0),"Si",1)</f>
        <v>Si</v>
      </c>
      <c r="Z80" s="26">
        <f t="shared" si="3"/>
        <v>0</v>
      </c>
      <c r="AA80" s="26">
        <f t="shared" si="4"/>
        <v>0</v>
      </c>
      <c r="AB80" s="26" t="str">
        <f t="shared" si="5"/>
        <v/>
      </c>
      <c r="AC80" s="26" t="str">
        <f>IF(MATCH(AB80,AB81:$AB$300,0),"0",1)</f>
        <v>0</v>
      </c>
    </row>
    <row r="81" spans="2:29" x14ac:dyDescent="0.35">
      <c r="B81" s="219"/>
      <c r="C81" s="216" t="s">
        <v>272</v>
      </c>
      <c r="D81" s="216"/>
      <c r="E81" s="220"/>
      <c r="F81" s="220"/>
      <c r="G81" s="220"/>
      <c r="H81" s="220" t="str">
        <f t="shared" si="0"/>
        <v/>
      </c>
      <c r="I81" s="460"/>
      <c r="J81" s="460"/>
      <c r="K81" s="460"/>
      <c r="L81" s="460"/>
      <c r="M81" s="460"/>
      <c r="N81" s="220"/>
      <c r="O81" s="220"/>
      <c r="P81" s="220"/>
      <c r="Q81" s="220"/>
      <c r="R81" s="221"/>
      <c r="S81" s="221"/>
      <c r="T81" s="316">
        <f t="shared" si="1"/>
        <v>0</v>
      </c>
      <c r="U81" s="217">
        <f t="shared" si="2"/>
        <v>0</v>
      </c>
      <c r="X81" s="26" t="str">
        <f t="shared" si="6"/>
        <v/>
      </c>
      <c r="Y81" s="21" t="str">
        <f>IF(MATCH(X81,X82:$X$300,0),"Si",1)</f>
        <v>Si</v>
      </c>
      <c r="Z81" s="26">
        <f t="shared" si="3"/>
        <v>0</v>
      </c>
      <c r="AA81" s="26">
        <f t="shared" si="4"/>
        <v>0</v>
      </c>
      <c r="AB81" s="26" t="str">
        <f t="shared" si="5"/>
        <v/>
      </c>
      <c r="AC81" s="26" t="str">
        <f>IF(MATCH(AB81,AB82:$AB$300,0),"0",1)</f>
        <v>0</v>
      </c>
    </row>
    <row r="82" spans="2:29" x14ac:dyDescent="0.35">
      <c r="B82" s="219"/>
      <c r="C82" s="216" t="s">
        <v>273</v>
      </c>
      <c r="D82" s="216"/>
      <c r="E82" s="220"/>
      <c r="F82" s="220"/>
      <c r="G82" s="220"/>
      <c r="H82" s="220" t="str">
        <f t="shared" ref="H82:H145" si="7">IF(G82=0,"",IF(G82&lt;&gt;"Error","No",""))</f>
        <v/>
      </c>
      <c r="I82" s="460"/>
      <c r="J82" s="460"/>
      <c r="K82" s="460"/>
      <c r="L82" s="460"/>
      <c r="M82" s="460"/>
      <c r="N82" s="220"/>
      <c r="O82" s="220"/>
      <c r="P82" s="220"/>
      <c r="Q82" s="220"/>
      <c r="R82" s="221"/>
      <c r="S82" s="221"/>
      <c r="T82" s="316">
        <f t="shared" si="1"/>
        <v>0</v>
      </c>
      <c r="U82" s="217">
        <f t="shared" si="2"/>
        <v>0</v>
      </c>
      <c r="X82" s="26" t="str">
        <f t="shared" si="6"/>
        <v/>
      </c>
      <c r="Y82" s="21" t="str">
        <f>IF(MATCH(X82,X83:$X$300,0),"Si",1)</f>
        <v>Si</v>
      </c>
      <c r="Z82" s="26">
        <f t="shared" si="3"/>
        <v>0</v>
      </c>
      <c r="AA82" s="26">
        <f t="shared" si="4"/>
        <v>0</v>
      </c>
      <c r="AB82" s="26" t="str">
        <f t="shared" si="5"/>
        <v/>
      </c>
      <c r="AC82" s="26" t="str">
        <f>IF(MATCH(AB82,AB83:$AB$300,0),"0",1)</f>
        <v>0</v>
      </c>
    </row>
    <row r="83" spans="2:29" x14ac:dyDescent="0.35">
      <c r="B83" s="219"/>
      <c r="C83" s="216" t="s">
        <v>274</v>
      </c>
      <c r="D83" s="216"/>
      <c r="E83" s="220"/>
      <c r="F83" s="220"/>
      <c r="G83" s="220"/>
      <c r="H83" s="220" t="str">
        <f t="shared" si="7"/>
        <v/>
      </c>
      <c r="I83" s="460"/>
      <c r="J83" s="460"/>
      <c r="K83" s="460"/>
      <c r="L83" s="460"/>
      <c r="M83" s="460"/>
      <c r="N83" s="220"/>
      <c r="O83" s="220"/>
      <c r="P83" s="220"/>
      <c r="Q83" s="220"/>
      <c r="R83" s="221"/>
      <c r="S83" s="221"/>
      <c r="T83" s="316">
        <f t="shared" ref="T83:T146" si="8">IF(S83=0,0,IF(S83&lt;R83,"Error en fecha solución",IFERROR(AC83,NETWORKDAYS(R83,S83)-1)))</f>
        <v>0</v>
      </c>
      <c r="U83" s="217">
        <f t="shared" ref="U83:U146" si="9">IFERROR(T83*8,"Error")</f>
        <v>0</v>
      </c>
      <c r="X83" s="26" t="str">
        <f t="shared" ref="X83:X146" si="10">CONCATENATE(H83,O83,R83,S83)</f>
        <v/>
      </c>
      <c r="Y83" s="21" t="str">
        <f>IF(MATCH(X83,X84:$X$300,0),"Si",1)</f>
        <v>Si</v>
      </c>
      <c r="Z83" s="26">
        <f t="shared" ref="Z83:Z146" si="11">IF(S83=0,0,IF(S83&lt;R83,"Error en fecha solución",IF(Y83="Si",0,IFERROR(Y83,NETWORKDAYS(R83,S83)-1))))</f>
        <v>0</v>
      </c>
      <c r="AA83" s="26">
        <f t="shared" ref="AA83:AA146" si="12">IF(S83=0,0,IF(S83&lt;R83,"Error en fecha solución",IFERROR(Z83,NETWORKDAYS(R83,S83)-1)))</f>
        <v>0</v>
      </c>
      <c r="AB83" s="26" t="str">
        <f t="shared" ref="AB83:AB146" si="13">CONCATENATE(R83,S83)</f>
        <v/>
      </c>
      <c r="AC83" s="26" t="str">
        <f>IF(MATCH(AB83,AB84:$AB$300,0),"0",1)</f>
        <v>0</v>
      </c>
    </row>
    <row r="84" spans="2:29" x14ac:dyDescent="0.35">
      <c r="B84" s="219"/>
      <c r="C84" s="216" t="s">
        <v>275</v>
      </c>
      <c r="D84" s="216"/>
      <c r="E84" s="220"/>
      <c r="F84" s="220"/>
      <c r="G84" s="220"/>
      <c r="H84" s="220" t="str">
        <f t="shared" si="7"/>
        <v/>
      </c>
      <c r="I84" s="460"/>
      <c r="J84" s="460"/>
      <c r="K84" s="460"/>
      <c r="L84" s="460"/>
      <c r="M84" s="460"/>
      <c r="N84" s="220"/>
      <c r="O84" s="220"/>
      <c r="P84" s="220"/>
      <c r="Q84" s="220"/>
      <c r="R84" s="221"/>
      <c r="S84" s="221"/>
      <c r="T84" s="316">
        <f t="shared" si="8"/>
        <v>0</v>
      </c>
      <c r="U84" s="217">
        <f t="shared" si="9"/>
        <v>0</v>
      </c>
      <c r="X84" s="26" t="str">
        <f t="shared" si="10"/>
        <v/>
      </c>
      <c r="Y84" s="21" t="str">
        <f>IF(MATCH(X84,X85:$X$300,0),"Si",1)</f>
        <v>Si</v>
      </c>
      <c r="Z84" s="26">
        <f t="shared" si="11"/>
        <v>0</v>
      </c>
      <c r="AA84" s="26">
        <f t="shared" si="12"/>
        <v>0</v>
      </c>
      <c r="AB84" s="26" t="str">
        <f t="shared" si="13"/>
        <v/>
      </c>
      <c r="AC84" s="26" t="str">
        <f>IF(MATCH(AB84,AB85:$AB$300,0),"0",1)</f>
        <v>0</v>
      </c>
    </row>
    <row r="85" spans="2:29" x14ac:dyDescent="0.35">
      <c r="B85" s="219"/>
      <c r="C85" s="216" t="s">
        <v>276</v>
      </c>
      <c r="D85" s="216"/>
      <c r="E85" s="220"/>
      <c r="F85" s="220"/>
      <c r="G85" s="220"/>
      <c r="H85" s="220" t="str">
        <f t="shared" si="7"/>
        <v/>
      </c>
      <c r="I85" s="460"/>
      <c r="J85" s="460"/>
      <c r="K85" s="460"/>
      <c r="L85" s="460"/>
      <c r="M85" s="460"/>
      <c r="N85" s="220"/>
      <c r="O85" s="220"/>
      <c r="P85" s="220"/>
      <c r="Q85" s="220"/>
      <c r="R85" s="221"/>
      <c r="S85" s="221"/>
      <c r="T85" s="316">
        <f t="shared" si="8"/>
        <v>0</v>
      </c>
      <c r="U85" s="217">
        <f t="shared" si="9"/>
        <v>0</v>
      </c>
      <c r="X85" s="26" t="str">
        <f t="shared" si="10"/>
        <v/>
      </c>
      <c r="Y85" s="21" t="str">
        <f>IF(MATCH(X85,X86:$X$300,0),"Si",1)</f>
        <v>Si</v>
      </c>
      <c r="Z85" s="26">
        <f t="shared" si="11"/>
        <v>0</v>
      </c>
      <c r="AA85" s="26">
        <f t="shared" si="12"/>
        <v>0</v>
      </c>
      <c r="AB85" s="26" t="str">
        <f t="shared" si="13"/>
        <v/>
      </c>
      <c r="AC85" s="26" t="str">
        <f>IF(MATCH(AB85,AB86:$AB$300,0),"0",1)</f>
        <v>0</v>
      </c>
    </row>
    <row r="86" spans="2:29" x14ac:dyDescent="0.35">
      <c r="B86" s="219"/>
      <c r="C86" s="216" t="s">
        <v>277</v>
      </c>
      <c r="D86" s="216"/>
      <c r="E86" s="220"/>
      <c r="F86" s="220"/>
      <c r="G86" s="220"/>
      <c r="H86" s="220" t="str">
        <f t="shared" si="7"/>
        <v/>
      </c>
      <c r="I86" s="460"/>
      <c r="J86" s="460"/>
      <c r="K86" s="460"/>
      <c r="L86" s="460"/>
      <c r="M86" s="460"/>
      <c r="N86" s="220"/>
      <c r="O86" s="220"/>
      <c r="P86" s="220"/>
      <c r="Q86" s="220"/>
      <c r="R86" s="221"/>
      <c r="S86" s="221"/>
      <c r="T86" s="316">
        <f t="shared" si="8"/>
        <v>0</v>
      </c>
      <c r="U86" s="217">
        <f t="shared" si="9"/>
        <v>0</v>
      </c>
      <c r="X86" s="26" t="str">
        <f t="shared" si="10"/>
        <v/>
      </c>
      <c r="Y86" s="21" t="str">
        <f>IF(MATCH(X86,X87:$X$300,0),"Si",1)</f>
        <v>Si</v>
      </c>
      <c r="Z86" s="26">
        <f t="shared" si="11"/>
        <v>0</v>
      </c>
      <c r="AA86" s="26">
        <f t="shared" si="12"/>
        <v>0</v>
      </c>
      <c r="AB86" s="26" t="str">
        <f t="shared" si="13"/>
        <v/>
      </c>
      <c r="AC86" s="26" t="str">
        <f>IF(MATCH(AB86,AB87:$AB$300,0),"0",1)</f>
        <v>0</v>
      </c>
    </row>
    <row r="87" spans="2:29" x14ac:dyDescent="0.35">
      <c r="B87" s="219"/>
      <c r="C87" s="216" t="s">
        <v>278</v>
      </c>
      <c r="D87" s="216"/>
      <c r="E87" s="220"/>
      <c r="F87" s="220"/>
      <c r="G87" s="220"/>
      <c r="H87" s="220" t="str">
        <f t="shared" si="7"/>
        <v/>
      </c>
      <c r="I87" s="460"/>
      <c r="J87" s="460"/>
      <c r="K87" s="460"/>
      <c r="L87" s="460"/>
      <c r="M87" s="460"/>
      <c r="N87" s="220"/>
      <c r="O87" s="220"/>
      <c r="P87" s="220"/>
      <c r="Q87" s="220"/>
      <c r="R87" s="221"/>
      <c r="S87" s="221"/>
      <c r="T87" s="316">
        <f t="shared" si="8"/>
        <v>0</v>
      </c>
      <c r="U87" s="217">
        <f t="shared" si="9"/>
        <v>0</v>
      </c>
      <c r="X87" s="26" t="str">
        <f t="shared" si="10"/>
        <v/>
      </c>
      <c r="Y87" s="21" t="str">
        <f>IF(MATCH(X87,X88:$X$300,0),"Si",1)</f>
        <v>Si</v>
      </c>
      <c r="Z87" s="26">
        <f t="shared" si="11"/>
        <v>0</v>
      </c>
      <c r="AA87" s="26">
        <f t="shared" si="12"/>
        <v>0</v>
      </c>
      <c r="AB87" s="26" t="str">
        <f t="shared" si="13"/>
        <v/>
      </c>
      <c r="AC87" s="26" t="str">
        <f>IF(MATCH(AB87,AB88:$AB$300,0),"0",1)</f>
        <v>0</v>
      </c>
    </row>
    <row r="88" spans="2:29" x14ac:dyDescent="0.35">
      <c r="B88" s="219"/>
      <c r="C88" s="216" t="s">
        <v>279</v>
      </c>
      <c r="D88" s="216"/>
      <c r="E88" s="220"/>
      <c r="F88" s="220"/>
      <c r="G88" s="220"/>
      <c r="H88" s="220" t="str">
        <f t="shared" si="7"/>
        <v/>
      </c>
      <c r="I88" s="460"/>
      <c r="J88" s="460"/>
      <c r="K88" s="460"/>
      <c r="L88" s="460"/>
      <c r="M88" s="460"/>
      <c r="N88" s="220"/>
      <c r="O88" s="220"/>
      <c r="P88" s="220"/>
      <c r="Q88" s="220"/>
      <c r="R88" s="221"/>
      <c r="S88" s="221"/>
      <c r="T88" s="316">
        <f t="shared" si="8"/>
        <v>0</v>
      </c>
      <c r="U88" s="217">
        <f t="shared" si="9"/>
        <v>0</v>
      </c>
      <c r="X88" s="26" t="str">
        <f t="shared" si="10"/>
        <v/>
      </c>
      <c r="Y88" s="21" t="str">
        <f>IF(MATCH(X88,X89:$X$300,0),"Si",1)</f>
        <v>Si</v>
      </c>
      <c r="Z88" s="26">
        <f t="shared" si="11"/>
        <v>0</v>
      </c>
      <c r="AA88" s="26">
        <f t="shared" si="12"/>
        <v>0</v>
      </c>
      <c r="AB88" s="26" t="str">
        <f t="shared" si="13"/>
        <v/>
      </c>
      <c r="AC88" s="26" t="str">
        <f>IF(MATCH(AB88,AB89:$AB$300,0),"0",1)</f>
        <v>0</v>
      </c>
    </row>
    <row r="89" spans="2:29" x14ac:dyDescent="0.35">
      <c r="B89" s="219"/>
      <c r="C89" s="216" t="s">
        <v>280</v>
      </c>
      <c r="D89" s="216"/>
      <c r="E89" s="220"/>
      <c r="F89" s="220"/>
      <c r="G89" s="220"/>
      <c r="H89" s="220" t="str">
        <f t="shared" si="7"/>
        <v/>
      </c>
      <c r="I89" s="460"/>
      <c r="J89" s="460"/>
      <c r="K89" s="460"/>
      <c r="L89" s="460"/>
      <c r="M89" s="460"/>
      <c r="N89" s="220"/>
      <c r="O89" s="220"/>
      <c r="P89" s="220"/>
      <c r="Q89" s="220"/>
      <c r="R89" s="221"/>
      <c r="S89" s="221"/>
      <c r="T89" s="316">
        <f t="shared" si="8"/>
        <v>0</v>
      </c>
      <c r="U89" s="217">
        <f t="shared" si="9"/>
        <v>0</v>
      </c>
      <c r="X89" s="26" t="str">
        <f t="shared" si="10"/>
        <v/>
      </c>
      <c r="Y89" s="21" t="str">
        <f>IF(MATCH(X89,X90:$X$300,0),"Si",1)</f>
        <v>Si</v>
      </c>
      <c r="Z89" s="26">
        <f t="shared" si="11"/>
        <v>0</v>
      </c>
      <c r="AA89" s="26">
        <f t="shared" si="12"/>
        <v>0</v>
      </c>
      <c r="AB89" s="26" t="str">
        <f t="shared" si="13"/>
        <v/>
      </c>
      <c r="AC89" s="26" t="str">
        <f>IF(MATCH(AB89,AB90:$AB$300,0),"0",1)</f>
        <v>0</v>
      </c>
    </row>
    <row r="90" spans="2:29" x14ac:dyDescent="0.35">
      <c r="B90" s="219"/>
      <c r="C90" s="216" t="s">
        <v>281</v>
      </c>
      <c r="D90" s="216"/>
      <c r="E90" s="220"/>
      <c r="F90" s="220"/>
      <c r="G90" s="220"/>
      <c r="H90" s="220" t="str">
        <f t="shared" si="7"/>
        <v/>
      </c>
      <c r="I90" s="460"/>
      <c r="J90" s="460"/>
      <c r="K90" s="460"/>
      <c r="L90" s="460"/>
      <c r="M90" s="460"/>
      <c r="N90" s="220"/>
      <c r="O90" s="220"/>
      <c r="P90" s="220"/>
      <c r="Q90" s="220"/>
      <c r="R90" s="221"/>
      <c r="S90" s="221"/>
      <c r="T90" s="316">
        <f t="shared" si="8"/>
        <v>0</v>
      </c>
      <c r="U90" s="217">
        <f t="shared" si="9"/>
        <v>0</v>
      </c>
      <c r="X90" s="26" t="str">
        <f t="shared" si="10"/>
        <v/>
      </c>
      <c r="Y90" s="21" t="str">
        <f>IF(MATCH(X90,X91:$X$300,0),"Si",1)</f>
        <v>Si</v>
      </c>
      <c r="Z90" s="26">
        <f t="shared" si="11"/>
        <v>0</v>
      </c>
      <c r="AA90" s="26">
        <f t="shared" si="12"/>
        <v>0</v>
      </c>
      <c r="AB90" s="26" t="str">
        <f t="shared" si="13"/>
        <v/>
      </c>
      <c r="AC90" s="26" t="str">
        <f>IF(MATCH(AB90,AB91:$AB$300,0),"0",1)</f>
        <v>0</v>
      </c>
    </row>
    <row r="91" spans="2:29" x14ac:dyDescent="0.35">
      <c r="B91" s="219"/>
      <c r="C91" s="216" t="s">
        <v>282</v>
      </c>
      <c r="D91" s="216"/>
      <c r="E91" s="220"/>
      <c r="F91" s="220"/>
      <c r="G91" s="220"/>
      <c r="H91" s="220" t="str">
        <f t="shared" si="7"/>
        <v/>
      </c>
      <c r="I91" s="460"/>
      <c r="J91" s="460"/>
      <c r="K91" s="460"/>
      <c r="L91" s="460"/>
      <c r="M91" s="460"/>
      <c r="N91" s="220"/>
      <c r="O91" s="220"/>
      <c r="P91" s="220"/>
      <c r="Q91" s="220"/>
      <c r="R91" s="221"/>
      <c r="S91" s="221"/>
      <c r="T91" s="316">
        <f t="shared" si="8"/>
        <v>0</v>
      </c>
      <c r="U91" s="217">
        <f t="shared" si="9"/>
        <v>0</v>
      </c>
      <c r="X91" s="26" t="str">
        <f t="shared" si="10"/>
        <v/>
      </c>
      <c r="Y91" s="21" t="str">
        <f>IF(MATCH(X91,X92:$X$300,0),"Si",1)</f>
        <v>Si</v>
      </c>
      <c r="Z91" s="26">
        <f t="shared" si="11"/>
        <v>0</v>
      </c>
      <c r="AA91" s="26">
        <f t="shared" si="12"/>
        <v>0</v>
      </c>
      <c r="AB91" s="26" t="str">
        <f t="shared" si="13"/>
        <v/>
      </c>
      <c r="AC91" s="26" t="str">
        <f>IF(MATCH(AB91,AB92:$AB$300,0),"0",1)</f>
        <v>0</v>
      </c>
    </row>
    <row r="92" spans="2:29" x14ac:dyDescent="0.35">
      <c r="B92" s="219"/>
      <c r="C92" s="216" t="s">
        <v>283</v>
      </c>
      <c r="D92" s="216"/>
      <c r="E92" s="220"/>
      <c r="F92" s="220"/>
      <c r="G92" s="220"/>
      <c r="H92" s="220" t="str">
        <f t="shared" si="7"/>
        <v/>
      </c>
      <c r="I92" s="460"/>
      <c r="J92" s="460"/>
      <c r="K92" s="460"/>
      <c r="L92" s="460"/>
      <c r="M92" s="460"/>
      <c r="N92" s="220"/>
      <c r="O92" s="220"/>
      <c r="P92" s="220"/>
      <c r="Q92" s="220"/>
      <c r="R92" s="221"/>
      <c r="S92" s="221"/>
      <c r="T92" s="316">
        <f t="shared" si="8"/>
        <v>0</v>
      </c>
      <c r="U92" s="217">
        <f t="shared" si="9"/>
        <v>0</v>
      </c>
      <c r="X92" s="26" t="str">
        <f t="shared" si="10"/>
        <v/>
      </c>
      <c r="Y92" s="21" t="str">
        <f>IF(MATCH(X92,X93:$X$300,0),"Si",1)</f>
        <v>Si</v>
      </c>
      <c r="Z92" s="26">
        <f t="shared" si="11"/>
        <v>0</v>
      </c>
      <c r="AA92" s="26">
        <f t="shared" si="12"/>
        <v>0</v>
      </c>
      <c r="AB92" s="26" t="str">
        <f t="shared" si="13"/>
        <v/>
      </c>
      <c r="AC92" s="26" t="str">
        <f>IF(MATCH(AB92,AB93:$AB$300,0),"0",1)</f>
        <v>0</v>
      </c>
    </row>
    <row r="93" spans="2:29" x14ac:dyDescent="0.35">
      <c r="B93" s="219"/>
      <c r="C93" s="216" t="s">
        <v>284</v>
      </c>
      <c r="D93" s="216"/>
      <c r="E93" s="220"/>
      <c r="F93" s="220"/>
      <c r="G93" s="220"/>
      <c r="H93" s="220" t="str">
        <f t="shared" si="7"/>
        <v/>
      </c>
      <c r="I93" s="460"/>
      <c r="J93" s="460"/>
      <c r="K93" s="460"/>
      <c r="L93" s="460"/>
      <c r="M93" s="460"/>
      <c r="N93" s="220"/>
      <c r="O93" s="220"/>
      <c r="P93" s="220"/>
      <c r="Q93" s="220"/>
      <c r="R93" s="221"/>
      <c r="S93" s="221"/>
      <c r="T93" s="316">
        <f t="shared" si="8"/>
        <v>0</v>
      </c>
      <c r="U93" s="217">
        <f t="shared" si="9"/>
        <v>0</v>
      </c>
      <c r="X93" s="26" t="str">
        <f t="shared" si="10"/>
        <v/>
      </c>
      <c r="Y93" s="21" t="str">
        <f>IF(MATCH(X93,X94:$X$300,0),"Si",1)</f>
        <v>Si</v>
      </c>
      <c r="Z93" s="26">
        <f t="shared" si="11"/>
        <v>0</v>
      </c>
      <c r="AA93" s="26">
        <f t="shared" si="12"/>
        <v>0</v>
      </c>
      <c r="AB93" s="26" t="str">
        <f t="shared" si="13"/>
        <v/>
      </c>
      <c r="AC93" s="26" t="str">
        <f>IF(MATCH(AB93,AB94:$AB$300,0),"0",1)</f>
        <v>0</v>
      </c>
    </row>
    <row r="94" spans="2:29" x14ac:dyDescent="0.35">
      <c r="B94" s="219"/>
      <c r="C94" s="216" t="s">
        <v>285</v>
      </c>
      <c r="D94" s="216"/>
      <c r="E94" s="220"/>
      <c r="F94" s="220"/>
      <c r="G94" s="220"/>
      <c r="H94" s="220" t="str">
        <f t="shared" si="7"/>
        <v/>
      </c>
      <c r="I94" s="460"/>
      <c r="J94" s="460"/>
      <c r="K94" s="460"/>
      <c r="L94" s="460"/>
      <c r="M94" s="460"/>
      <c r="N94" s="220"/>
      <c r="O94" s="220"/>
      <c r="P94" s="220"/>
      <c r="Q94" s="220"/>
      <c r="R94" s="221"/>
      <c r="S94" s="221"/>
      <c r="T94" s="316">
        <f t="shared" si="8"/>
        <v>0</v>
      </c>
      <c r="U94" s="217">
        <f t="shared" si="9"/>
        <v>0</v>
      </c>
      <c r="X94" s="26" t="str">
        <f t="shared" si="10"/>
        <v/>
      </c>
      <c r="Y94" s="21" t="str">
        <f>IF(MATCH(X94,X95:$X$300,0),"Si",1)</f>
        <v>Si</v>
      </c>
      <c r="Z94" s="26">
        <f t="shared" si="11"/>
        <v>0</v>
      </c>
      <c r="AA94" s="26">
        <f t="shared" si="12"/>
        <v>0</v>
      </c>
      <c r="AB94" s="26" t="str">
        <f t="shared" si="13"/>
        <v/>
      </c>
      <c r="AC94" s="26" t="str">
        <f>IF(MATCH(AB94,AB95:$AB$300,0),"0",1)</f>
        <v>0</v>
      </c>
    </row>
    <row r="95" spans="2:29" x14ac:dyDescent="0.35">
      <c r="B95" s="219"/>
      <c r="C95" s="216" t="s">
        <v>286</v>
      </c>
      <c r="D95" s="216"/>
      <c r="E95" s="220"/>
      <c r="F95" s="220"/>
      <c r="G95" s="220"/>
      <c r="H95" s="220" t="str">
        <f t="shared" si="7"/>
        <v/>
      </c>
      <c r="I95" s="460"/>
      <c r="J95" s="460"/>
      <c r="K95" s="460"/>
      <c r="L95" s="460"/>
      <c r="M95" s="460"/>
      <c r="N95" s="220"/>
      <c r="O95" s="220"/>
      <c r="P95" s="220"/>
      <c r="Q95" s="220"/>
      <c r="R95" s="221"/>
      <c r="S95" s="221"/>
      <c r="T95" s="316">
        <f t="shared" si="8"/>
        <v>0</v>
      </c>
      <c r="U95" s="217">
        <f t="shared" si="9"/>
        <v>0</v>
      </c>
      <c r="X95" s="26" t="str">
        <f t="shared" si="10"/>
        <v/>
      </c>
      <c r="Y95" s="21" t="str">
        <f>IF(MATCH(X95,X96:$X$300,0),"Si",1)</f>
        <v>Si</v>
      </c>
      <c r="Z95" s="26">
        <f t="shared" si="11"/>
        <v>0</v>
      </c>
      <c r="AA95" s="26">
        <f t="shared" si="12"/>
        <v>0</v>
      </c>
      <c r="AB95" s="26" t="str">
        <f t="shared" si="13"/>
        <v/>
      </c>
      <c r="AC95" s="26" t="str">
        <f>IF(MATCH(AB95,AB96:$AB$300,0),"0",1)</f>
        <v>0</v>
      </c>
    </row>
    <row r="96" spans="2:29" x14ac:dyDescent="0.35">
      <c r="B96" s="219"/>
      <c r="C96" s="216" t="s">
        <v>287</v>
      </c>
      <c r="D96" s="216"/>
      <c r="E96" s="220"/>
      <c r="F96" s="220"/>
      <c r="G96" s="220"/>
      <c r="H96" s="220" t="str">
        <f t="shared" si="7"/>
        <v/>
      </c>
      <c r="I96" s="460"/>
      <c r="J96" s="460"/>
      <c r="K96" s="460"/>
      <c r="L96" s="460"/>
      <c r="M96" s="460"/>
      <c r="N96" s="220"/>
      <c r="O96" s="220"/>
      <c r="P96" s="220"/>
      <c r="Q96" s="220"/>
      <c r="R96" s="221"/>
      <c r="S96" s="221"/>
      <c r="T96" s="316">
        <f t="shared" si="8"/>
        <v>0</v>
      </c>
      <c r="U96" s="217">
        <f t="shared" si="9"/>
        <v>0</v>
      </c>
      <c r="X96" s="26" t="str">
        <f t="shared" si="10"/>
        <v/>
      </c>
      <c r="Y96" s="21" t="str">
        <f>IF(MATCH(X96,X97:$X$300,0),"Si",1)</f>
        <v>Si</v>
      </c>
      <c r="Z96" s="26">
        <f t="shared" si="11"/>
        <v>0</v>
      </c>
      <c r="AA96" s="26">
        <f t="shared" si="12"/>
        <v>0</v>
      </c>
      <c r="AB96" s="26" t="str">
        <f t="shared" si="13"/>
        <v/>
      </c>
      <c r="AC96" s="26" t="str">
        <f>IF(MATCH(AB96,AB97:$AB$300,0),"0",1)</f>
        <v>0</v>
      </c>
    </row>
    <row r="97" spans="2:29" x14ac:dyDescent="0.35">
      <c r="B97" s="219"/>
      <c r="C97" s="216" t="s">
        <v>288</v>
      </c>
      <c r="D97" s="216"/>
      <c r="E97" s="220"/>
      <c r="F97" s="220"/>
      <c r="G97" s="220"/>
      <c r="H97" s="220" t="str">
        <f t="shared" si="7"/>
        <v/>
      </c>
      <c r="I97" s="460"/>
      <c r="J97" s="460"/>
      <c r="K97" s="460"/>
      <c r="L97" s="460"/>
      <c r="M97" s="460"/>
      <c r="N97" s="220"/>
      <c r="O97" s="220"/>
      <c r="P97" s="220"/>
      <c r="Q97" s="220"/>
      <c r="R97" s="221"/>
      <c r="S97" s="221"/>
      <c r="T97" s="316">
        <f t="shared" si="8"/>
        <v>0</v>
      </c>
      <c r="U97" s="217">
        <f t="shared" si="9"/>
        <v>0</v>
      </c>
      <c r="X97" s="26" t="str">
        <f t="shared" si="10"/>
        <v/>
      </c>
      <c r="Y97" s="21" t="str">
        <f>IF(MATCH(X97,X98:$X$300,0),"Si",1)</f>
        <v>Si</v>
      </c>
      <c r="Z97" s="26">
        <f t="shared" si="11"/>
        <v>0</v>
      </c>
      <c r="AA97" s="26">
        <f t="shared" si="12"/>
        <v>0</v>
      </c>
      <c r="AB97" s="26" t="str">
        <f t="shared" si="13"/>
        <v/>
      </c>
      <c r="AC97" s="26" t="str">
        <f>IF(MATCH(AB97,AB98:$AB$300,0),"0",1)</f>
        <v>0</v>
      </c>
    </row>
    <row r="98" spans="2:29" x14ac:dyDescent="0.35">
      <c r="B98" s="219"/>
      <c r="C98" s="216" t="s">
        <v>289</v>
      </c>
      <c r="D98" s="216"/>
      <c r="E98" s="220"/>
      <c r="F98" s="220"/>
      <c r="G98" s="220"/>
      <c r="H98" s="220" t="str">
        <f t="shared" si="7"/>
        <v/>
      </c>
      <c r="I98" s="460"/>
      <c r="J98" s="460"/>
      <c r="K98" s="460"/>
      <c r="L98" s="460"/>
      <c r="M98" s="460"/>
      <c r="N98" s="220"/>
      <c r="O98" s="220"/>
      <c r="P98" s="220"/>
      <c r="Q98" s="220"/>
      <c r="R98" s="221"/>
      <c r="S98" s="221"/>
      <c r="T98" s="316">
        <f t="shared" si="8"/>
        <v>0</v>
      </c>
      <c r="U98" s="217">
        <f t="shared" si="9"/>
        <v>0</v>
      </c>
      <c r="X98" s="26" t="str">
        <f t="shared" si="10"/>
        <v/>
      </c>
      <c r="Y98" s="21" t="str">
        <f>IF(MATCH(X98,X99:$X$300,0),"Si",1)</f>
        <v>Si</v>
      </c>
      <c r="Z98" s="26">
        <f t="shared" si="11"/>
        <v>0</v>
      </c>
      <c r="AA98" s="26">
        <f t="shared" si="12"/>
        <v>0</v>
      </c>
      <c r="AB98" s="26" t="str">
        <f t="shared" si="13"/>
        <v/>
      </c>
      <c r="AC98" s="26" t="str">
        <f>IF(MATCH(AB98,AB99:$AB$300,0),"0",1)</f>
        <v>0</v>
      </c>
    </row>
    <row r="99" spans="2:29" x14ac:dyDescent="0.35">
      <c r="B99" s="219"/>
      <c r="C99" s="216" t="s">
        <v>290</v>
      </c>
      <c r="D99" s="216"/>
      <c r="E99" s="220"/>
      <c r="F99" s="220"/>
      <c r="G99" s="220"/>
      <c r="H99" s="220" t="str">
        <f t="shared" si="7"/>
        <v/>
      </c>
      <c r="I99" s="460"/>
      <c r="J99" s="460"/>
      <c r="K99" s="460"/>
      <c r="L99" s="460"/>
      <c r="M99" s="460"/>
      <c r="N99" s="220"/>
      <c r="O99" s="220"/>
      <c r="P99" s="220"/>
      <c r="Q99" s="220"/>
      <c r="R99" s="221"/>
      <c r="S99" s="221"/>
      <c r="T99" s="316">
        <f t="shared" si="8"/>
        <v>0</v>
      </c>
      <c r="U99" s="217">
        <f t="shared" si="9"/>
        <v>0</v>
      </c>
      <c r="X99" s="26" t="str">
        <f t="shared" si="10"/>
        <v/>
      </c>
      <c r="Y99" s="21" t="str">
        <f>IF(MATCH(X99,X100:$X$300,0),"Si",1)</f>
        <v>Si</v>
      </c>
      <c r="Z99" s="26">
        <f t="shared" si="11"/>
        <v>0</v>
      </c>
      <c r="AA99" s="26">
        <f t="shared" si="12"/>
        <v>0</v>
      </c>
      <c r="AB99" s="26" t="str">
        <f t="shared" si="13"/>
        <v/>
      </c>
      <c r="AC99" s="26" t="str">
        <f>IF(MATCH(AB99,AB100:$AB$300,0),"0",1)</f>
        <v>0</v>
      </c>
    </row>
    <row r="100" spans="2:29" x14ac:dyDescent="0.35">
      <c r="B100" s="219"/>
      <c r="C100" s="216" t="s">
        <v>291</v>
      </c>
      <c r="D100" s="216"/>
      <c r="E100" s="220"/>
      <c r="F100" s="220"/>
      <c r="G100" s="220"/>
      <c r="H100" s="220" t="str">
        <f t="shared" si="7"/>
        <v/>
      </c>
      <c r="I100" s="460"/>
      <c r="J100" s="460"/>
      <c r="K100" s="460"/>
      <c r="L100" s="460"/>
      <c r="M100" s="460"/>
      <c r="N100" s="220"/>
      <c r="O100" s="220"/>
      <c r="P100" s="220"/>
      <c r="Q100" s="220"/>
      <c r="R100" s="221"/>
      <c r="S100" s="221"/>
      <c r="T100" s="316">
        <f t="shared" si="8"/>
        <v>0</v>
      </c>
      <c r="U100" s="217">
        <f t="shared" si="9"/>
        <v>0</v>
      </c>
      <c r="X100" s="26" t="str">
        <f t="shared" si="10"/>
        <v/>
      </c>
      <c r="Y100" s="21" t="str">
        <f>IF(MATCH(X100,X101:$X$300,0),"Si",1)</f>
        <v>Si</v>
      </c>
      <c r="Z100" s="26">
        <f t="shared" si="11"/>
        <v>0</v>
      </c>
      <c r="AA100" s="26">
        <f t="shared" si="12"/>
        <v>0</v>
      </c>
      <c r="AB100" s="26" t="str">
        <f t="shared" si="13"/>
        <v/>
      </c>
      <c r="AC100" s="26" t="str">
        <f>IF(MATCH(AB100,AB101:$AB$300,0),"0",1)</f>
        <v>0</v>
      </c>
    </row>
    <row r="101" spans="2:29" x14ac:dyDescent="0.35">
      <c r="B101" s="219"/>
      <c r="C101" s="216" t="s">
        <v>292</v>
      </c>
      <c r="D101" s="216"/>
      <c r="E101" s="220"/>
      <c r="F101" s="220"/>
      <c r="G101" s="220"/>
      <c r="H101" s="220" t="str">
        <f t="shared" si="7"/>
        <v/>
      </c>
      <c r="I101" s="460"/>
      <c r="J101" s="460"/>
      <c r="K101" s="460"/>
      <c r="L101" s="460"/>
      <c r="M101" s="460"/>
      <c r="N101" s="220"/>
      <c r="O101" s="220"/>
      <c r="P101" s="220"/>
      <c r="Q101" s="220"/>
      <c r="R101" s="221"/>
      <c r="S101" s="221"/>
      <c r="T101" s="316">
        <f t="shared" si="8"/>
        <v>0</v>
      </c>
      <c r="U101" s="217">
        <f t="shared" si="9"/>
        <v>0</v>
      </c>
      <c r="X101" s="26" t="str">
        <f t="shared" si="10"/>
        <v/>
      </c>
      <c r="Y101" s="21" t="str">
        <f>IF(MATCH(X101,X102:$X$300,0),"Si",1)</f>
        <v>Si</v>
      </c>
      <c r="Z101" s="26">
        <f t="shared" si="11"/>
        <v>0</v>
      </c>
      <c r="AA101" s="26">
        <f t="shared" si="12"/>
        <v>0</v>
      </c>
      <c r="AB101" s="26" t="str">
        <f t="shared" si="13"/>
        <v/>
      </c>
      <c r="AC101" s="26" t="str">
        <f>IF(MATCH(AB101,AB102:$AB$300,0),"0",1)</f>
        <v>0</v>
      </c>
    </row>
    <row r="102" spans="2:29" x14ac:dyDescent="0.35">
      <c r="B102" s="219"/>
      <c r="C102" s="216" t="s">
        <v>293</v>
      </c>
      <c r="D102" s="216"/>
      <c r="E102" s="220"/>
      <c r="F102" s="220"/>
      <c r="G102" s="220"/>
      <c r="H102" s="220" t="str">
        <f t="shared" si="7"/>
        <v/>
      </c>
      <c r="I102" s="460"/>
      <c r="J102" s="460"/>
      <c r="K102" s="460"/>
      <c r="L102" s="460"/>
      <c r="M102" s="460"/>
      <c r="N102" s="220"/>
      <c r="O102" s="220"/>
      <c r="P102" s="220"/>
      <c r="Q102" s="220"/>
      <c r="R102" s="221"/>
      <c r="S102" s="221"/>
      <c r="T102" s="316">
        <f t="shared" si="8"/>
        <v>0</v>
      </c>
      <c r="U102" s="217">
        <f t="shared" si="9"/>
        <v>0</v>
      </c>
      <c r="X102" s="26" t="str">
        <f t="shared" si="10"/>
        <v/>
      </c>
      <c r="Y102" s="21" t="str">
        <f>IF(MATCH(X102,X103:$X$300,0),"Si",1)</f>
        <v>Si</v>
      </c>
      <c r="Z102" s="26">
        <f t="shared" si="11"/>
        <v>0</v>
      </c>
      <c r="AA102" s="26">
        <f t="shared" si="12"/>
        <v>0</v>
      </c>
      <c r="AB102" s="26" t="str">
        <f t="shared" si="13"/>
        <v/>
      </c>
      <c r="AC102" s="26" t="str">
        <f>IF(MATCH(AB102,AB103:$AB$300,0),"0",1)</f>
        <v>0</v>
      </c>
    </row>
    <row r="103" spans="2:29" x14ac:dyDescent="0.35">
      <c r="B103" s="219"/>
      <c r="C103" s="216" t="s">
        <v>294</v>
      </c>
      <c r="D103" s="216"/>
      <c r="E103" s="220"/>
      <c r="F103" s="220"/>
      <c r="G103" s="220"/>
      <c r="H103" s="220" t="str">
        <f t="shared" si="7"/>
        <v/>
      </c>
      <c r="I103" s="460"/>
      <c r="J103" s="460"/>
      <c r="K103" s="460"/>
      <c r="L103" s="460"/>
      <c r="M103" s="460"/>
      <c r="N103" s="220"/>
      <c r="O103" s="220"/>
      <c r="P103" s="220"/>
      <c r="Q103" s="220"/>
      <c r="R103" s="221"/>
      <c r="S103" s="221"/>
      <c r="T103" s="316">
        <f t="shared" si="8"/>
        <v>0</v>
      </c>
      <c r="U103" s="217">
        <f t="shared" si="9"/>
        <v>0</v>
      </c>
      <c r="X103" s="26" t="str">
        <f t="shared" si="10"/>
        <v/>
      </c>
      <c r="Y103" s="21" t="str">
        <f>IF(MATCH(X103,X104:$X$300,0),"Si",1)</f>
        <v>Si</v>
      </c>
      <c r="Z103" s="26">
        <f t="shared" si="11"/>
        <v>0</v>
      </c>
      <c r="AA103" s="26">
        <f t="shared" si="12"/>
        <v>0</v>
      </c>
      <c r="AB103" s="26" t="str">
        <f t="shared" si="13"/>
        <v/>
      </c>
      <c r="AC103" s="26" t="str">
        <f>IF(MATCH(AB103,AB104:$AB$300,0),"0",1)</f>
        <v>0</v>
      </c>
    </row>
    <row r="104" spans="2:29" x14ac:dyDescent="0.35">
      <c r="B104" s="219"/>
      <c r="C104" s="216" t="s">
        <v>295</v>
      </c>
      <c r="D104" s="216"/>
      <c r="E104" s="220"/>
      <c r="F104" s="220"/>
      <c r="G104" s="220"/>
      <c r="H104" s="220" t="str">
        <f t="shared" si="7"/>
        <v/>
      </c>
      <c r="I104" s="460"/>
      <c r="J104" s="460"/>
      <c r="K104" s="460"/>
      <c r="L104" s="460"/>
      <c r="M104" s="460"/>
      <c r="N104" s="220"/>
      <c r="O104" s="220"/>
      <c r="P104" s="220"/>
      <c r="Q104" s="220"/>
      <c r="R104" s="221"/>
      <c r="S104" s="221"/>
      <c r="T104" s="316">
        <f t="shared" si="8"/>
        <v>0</v>
      </c>
      <c r="U104" s="217">
        <f t="shared" si="9"/>
        <v>0</v>
      </c>
      <c r="X104" s="26" t="str">
        <f t="shared" si="10"/>
        <v/>
      </c>
      <c r="Y104" s="21" t="str">
        <f>IF(MATCH(X104,X105:$X$300,0),"Si",1)</f>
        <v>Si</v>
      </c>
      <c r="Z104" s="26">
        <f t="shared" si="11"/>
        <v>0</v>
      </c>
      <c r="AA104" s="26">
        <f t="shared" si="12"/>
        <v>0</v>
      </c>
      <c r="AB104" s="26" t="str">
        <f t="shared" si="13"/>
        <v/>
      </c>
      <c r="AC104" s="26" t="str">
        <f>IF(MATCH(AB104,AB105:$AB$300,0),"0",1)</f>
        <v>0</v>
      </c>
    </row>
    <row r="105" spans="2:29" x14ac:dyDescent="0.35">
      <c r="B105" s="219"/>
      <c r="C105" s="216" t="s">
        <v>296</v>
      </c>
      <c r="D105" s="216"/>
      <c r="E105" s="220"/>
      <c r="F105" s="220"/>
      <c r="G105" s="220"/>
      <c r="H105" s="220" t="str">
        <f t="shared" si="7"/>
        <v/>
      </c>
      <c r="I105" s="460"/>
      <c r="J105" s="460"/>
      <c r="K105" s="460"/>
      <c r="L105" s="460"/>
      <c r="M105" s="460"/>
      <c r="N105" s="220"/>
      <c r="O105" s="220"/>
      <c r="P105" s="220"/>
      <c r="Q105" s="220"/>
      <c r="R105" s="221"/>
      <c r="S105" s="221"/>
      <c r="T105" s="316">
        <f t="shared" si="8"/>
        <v>0</v>
      </c>
      <c r="U105" s="217">
        <f t="shared" si="9"/>
        <v>0</v>
      </c>
      <c r="X105" s="26" t="str">
        <f t="shared" si="10"/>
        <v/>
      </c>
      <c r="Y105" s="21" t="str">
        <f>IF(MATCH(X105,X106:$X$300,0),"Si",1)</f>
        <v>Si</v>
      </c>
      <c r="Z105" s="26">
        <f t="shared" si="11"/>
        <v>0</v>
      </c>
      <c r="AA105" s="26">
        <f t="shared" si="12"/>
        <v>0</v>
      </c>
      <c r="AB105" s="26" t="str">
        <f t="shared" si="13"/>
        <v/>
      </c>
      <c r="AC105" s="26" t="str">
        <f>IF(MATCH(AB105,AB106:$AB$300,0),"0",1)</f>
        <v>0</v>
      </c>
    </row>
    <row r="106" spans="2:29" x14ac:dyDescent="0.35">
      <c r="B106" s="219"/>
      <c r="C106" s="216" t="s">
        <v>297</v>
      </c>
      <c r="D106" s="216"/>
      <c r="E106" s="220"/>
      <c r="F106" s="220"/>
      <c r="G106" s="220"/>
      <c r="H106" s="220" t="str">
        <f t="shared" si="7"/>
        <v/>
      </c>
      <c r="I106" s="460"/>
      <c r="J106" s="460"/>
      <c r="K106" s="460"/>
      <c r="L106" s="460"/>
      <c r="M106" s="460"/>
      <c r="N106" s="220"/>
      <c r="O106" s="220"/>
      <c r="P106" s="220"/>
      <c r="Q106" s="220"/>
      <c r="R106" s="221"/>
      <c r="S106" s="221"/>
      <c r="T106" s="316">
        <f t="shared" si="8"/>
        <v>0</v>
      </c>
      <c r="U106" s="217">
        <f t="shared" si="9"/>
        <v>0</v>
      </c>
      <c r="X106" s="26" t="str">
        <f t="shared" si="10"/>
        <v/>
      </c>
      <c r="Y106" s="21" t="str">
        <f>IF(MATCH(X106,X107:$X$300,0),"Si",1)</f>
        <v>Si</v>
      </c>
      <c r="Z106" s="26">
        <f t="shared" si="11"/>
        <v>0</v>
      </c>
      <c r="AA106" s="26">
        <f t="shared" si="12"/>
        <v>0</v>
      </c>
      <c r="AB106" s="26" t="str">
        <f t="shared" si="13"/>
        <v/>
      </c>
      <c r="AC106" s="26" t="str">
        <f>IF(MATCH(AB106,AB107:$AB$300,0),"0",1)</f>
        <v>0</v>
      </c>
    </row>
    <row r="107" spans="2:29" x14ac:dyDescent="0.35">
      <c r="B107" s="219"/>
      <c r="C107" s="216" t="s">
        <v>298</v>
      </c>
      <c r="D107" s="216"/>
      <c r="E107" s="220"/>
      <c r="F107" s="220"/>
      <c r="G107" s="220"/>
      <c r="H107" s="220" t="str">
        <f t="shared" si="7"/>
        <v/>
      </c>
      <c r="I107" s="460"/>
      <c r="J107" s="460"/>
      <c r="K107" s="460"/>
      <c r="L107" s="460"/>
      <c r="M107" s="460"/>
      <c r="N107" s="220"/>
      <c r="O107" s="220"/>
      <c r="P107" s="220"/>
      <c r="Q107" s="220"/>
      <c r="R107" s="221"/>
      <c r="S107" s="221"/>
      <c r="T107" s="316">
        <f t="shared" si="8"/>
        <v>0</v>
      </c>
      <c r="U107" s="217">
        <f t="shared" si="9"/>
        <v>0</v>
      </c>
      <c r="X107" s="26" t="str">
        <f t="shared" si="10"/>
        <v/>
      </c>
      <c r="Y107" s="21" t="str">
        <f>IF(MATCH(X107,X108:$X$300,0),"Si",1)</f>
        <v>Si</v>
      </c>
      <c r="Z107" s="26">
        <f t="shared" si="11"/>
        <v>0</v>
      </c>
      <c r="AA107" s="26">
        <f t="shared" si="12"/>
        <v>0</v>
      </c>
      <c r="AB107" s="26" t="str">
        <f t="shared" si="13"/>
        <v/>
      </c>
      <c r="AC107" s="26" t="str">
        <f>IF(MATCH(AB107,AB108:$AB$300,0),"0",1)</f>
        <v>0</v>
      </c>
    </row>
    <row r="108" spans="2:29" x14ac:dyDescent="0.35">
      <c r="B108" s="219"/>
      <c r="C108" s="216" t="s">
        <v>299</v>
      </c>
      <c r="D108" s="216"/>
      <c r="E108" s="220"/>
      <c r="F108" s="220"/>
      <c r="G108" s="220"/>
      <c r="H108" s="220" t="str">
        <f t="shared" si="7"/>
        <v/>
      </c>
      <c r="I108" s="460"/>
      <c r="J108" s="460"/>
      <c r="K108" s="460"/>
      <c r="L108" s="460"/>
      <c r="M108" s="460"/>
      <c r="N108" s="220"/>
      <c r="O108" s="220"/>
      <c r="P108" s="220"/>
      <c r="Q108" s="220"/>
      <c r="R108" s="221"/>
      <c r="S108" s="221"/>
      <c r="T108" s="316">
        <f t="shared" si="8"/>
        <v>0</v>
      </c>
      <c r="U108" s="217">
        <f t="shared" si="9"/>
        <v>0</v>
      </c>
      <c r="X108" s="26" t="str">
        <f t="shared" si="10"/>
        <v/>
      </c>
      <c r="Y108" s="21" t="str">
        <f>IF(MATCH(X108,X109:$X$300,0),"Si",1)</f>
        <v>Si</v>
      </c>
      <c r="Z108" s="26">
        <f t="shared" si="11"/>
        <v>0</v>
      </c>
      <c r="AA108" s="26">
        <f t="shared" si="12"/>
        <v>0</v>
      </c>
      <c r="AB108" s="26" t="str">
        <f t="shared" si="13"/>
        <v/>
      </c>
      <c r="AC108" s="26" t="str">
        <f>IF(MATCH(AB108,AB109:$AB$300,0),"0",1)</f>
        <v>0</v>
      </c>
    </row>
    <row r="109" spans="2:29" x14ac:dyDescent="0.35">
      <c r="B109" s="219"/>
      <c r="C109" s="216" t="s">
        <v>300</v>
      </c>
      <c r="D109" s="216"/>
      <c r="E109" s="220"/>
      <c r="F109" s="220"/>
      <c r="G109" s="220"/>
      <c r="H109" s="220" t="str">
        <f t="shared" si="7"/>
        <v/>
      </c>
      <c r="I109" s="460"/>
      <c r="J109" s="460"/>
      <c r="K109" s="460"/>
      <c r="L109" s="460"/>
      <c r="M109" s="460"/>
      <c r="N109" s="220"/>
      <c r="O109" s="220"/>
      <c r="P109" s="220"/>
      <c r="Q109" s="220"/>
      <c r="R109" s="221"/>
      <c r="S109" s="221"/>
      <c r="T109" s="316">
        <f t="shared" si="8"/>
        <v>0</v>
      </c>
      <c r="U109" s="217">
        <f t="shared" si="9"/>
        <v>0</v>
      </c>
      <c r="X109" s="26" t="str">
        <f t="shared" si="10"/>
        <v/>
      </c>
      <c r="Y109" s="21" t="str">
        <f>IF(MATCH(X109,X110:$X$300,0),"Si",1)</f>
        <v>Si</v>
      </c>
      <c r="Z109" s="26">
        <f t="shared" si="11"/>
        <v>0</v>
      </c>
      <c r="AA109" s="26">
        <f t="shared" si="12"/>
        <v>0</v>
      </c>
      <c r="AB109" s="26" t="str">
        <f t="shared" si="13"/>
        <v/>
      </c>
      <c r="AC109" s="26" t="str">
        <f>IF(MATCH(AB109,AB110:$AB$300,0),"0",1)</f>
        <v>0</v>
      </c>
    </row>
    <row r="110" spans="2:29" x14ac:dyDescent="0.35">
      <c r="B110" s="219"/>
      <c r="C110" s="216" t="s">
        <v>301</v>
      </c>
      <c r="D110" s="216"/>
      <c r="E110" s="220"/>
      <c r="F110" s="220"/>
      <c r="G110" s="220"/>
      <c r="H110" s="220" t="str">
        <f t="shared" si="7"/>
        <v/>
      </c>
      <c r="I110" s="460"/>
      <c r="J110" s="460"/>
      <c r="K110" s="460"/>
      <c r="L110" s="460"/>
      <c r="M110" s="460"/>
      <c r="N110" s="220"/>
      <c r="O110" s="220"/>
      <c r="P110" s="220"/>
      <c r="Q110" s="220"/>
      <c r="R110" s="221"/>
      <c r="S110" s="221"/>
      <c r="T110" s="316">
        <f t="shared" si="8"/>
        <v>0</v>
      </c>
      <c r="U110" s="217">
        <f t="shared" si="9"/>
        <v>0</v>
      </c>
      <c r="X110" s="26" t="str">
        <f t="shared" si="10"/>
        <v/>
      </c>
      <c r="Y110" s="21" t="str">
        <f>IF(MATCH(X110,X111:$X$300,0),"Si",1)</f>
        <v>Si</v>
      </c>
      <c r="Z110" s="26">
        <f t="shared" si="11"/>
        <v>0</v>
      </c>
      <c r="AA110" s="26">
        <f t="shared" si="12"/>
        <v>0</v>
      </c>
      <c r="AB110" s="26" t="str">
        <f t="shared" si="13"/>
        <v/>
      </c>
      <c r="AC110" s="26" t="str">
        <f>IF(MATCH(AB110,AB111:$AB$300,0),"0",1)</f>
        <v>0</v>
      </c>
    </row>
    <row r="111" spans="2:29" x14ac:dyDescent="0.35">
      <c r="B111" s="219"/>
      <c r="C111" s="216" t="s">
        <v>302</v>
      </c>
      <c r="D111" s="216"/>
      <c r="E111" s="220"/>
      <c r="F111" s="220"/>
      <c r="G111" s="220"/>
      <c r="H111" s="220" t="str">
        <f t="shared" si="7"/>
        <v/>
      </c>
      <c r="I111" s="460"/>
      <c r="J111" s="460"/>
      <c r="K111" s="460"/>
      <c r="L111" s="460"/>
      <c r="M111" s="460"/>
      <c r="N111" s="220"/>
      <c r="O111" s="220"/>
      <c r="P111" s="220"/>
      <c r="Q111" s="220"/>
      <c r="R111" s="221"/>
      <c r="S111" s="221"/>
      <c r="T111" s="316">
        <f t="shared" si="8"/>
        <v>0</v>
      </c>
      <c r="U111" s="217">
        <f t="shared" si="9"/>
        <v>0</v>
      </c>
      <c r="X111" s="26" t="str">
        <f t="shared" si="10"/>
        <v/>
      </c>
      <c r="Y111" s="21" t="str">
        <f>IF(MATCH(X111,X112:$X$300,0),"Si",1)</f>
        <v>Si</v>
      </c>
      <c r="Z111" s="26">
        <f t="shared" si="11"/>
        <v>0</v>
      </c>
      <c r="AA111" s="26">
        <f t="shared" si="12"/>
        <v>0</v>
      </c>
      <c r="AB111" s="26" t="str">
        <f t="shared" si="13"/>
        <v/>
      </c>
      <c r="AC111" s="26" t="str">
        <f>IF(MATCH(AB111,AB112:$AB$300,0),"0",1)</f>
        <v>0</v>
      </c>
    </row>
    <row r="112" spans="2:29" x14ac:dyDescent="0.35">
      <c r="B112" s="219"/>
      <c r="C112" s="216" t="s">
        <v>303</v>
      </c>
      <c r="D112" s="216"/>
      <c r="E112" s="220"/>
      <c r="F112" s="220"/>
      <c r="G112" s="220"/>
      <c r="H112" s="220" t="str">
        <f t="shared" si="7"/>
        <v/>
      </c>
      <c r="I112" s="460"/>
      <c r="J112" s="460"/>
      <c r="K112" s="460"/>
      <c r="L112" s="460"/>
      <c r="M112" s="460"/>
      <c r="N112" s="220"/>
      <c r="O112" s="220"/>
      <c r="P112" s="220"/>
      <c r="Q112" s="220"/>
      <c r="R112" s="221"/>
      <c r="S112" s="221"/>
      <c r="T112" s="316">
        <f t="shared" si="8"/>
        <v>0</v>
      </c>
      <c r="U112" s="217">
        <f t="shared" si="9"/>
        <v>0</v>
      </c>
      <c r="X112" s="26" t="str">
        <f t="shared" si="10"/>
        <v/>
      </c>
      <c r="Y112" s="21" t="str">
        <f>IF(MATCH(X112,X113:$X$300,0),"Si",1)</f>
        <v>Si</v>
      </c>
      <c r="Z112" s="26">
        <f t="shared" si="11"/>
        <v>0</v>
      </c>
      <c r="AA112" s="26">
        <f t="shared" si="12"/>
        <v>0</v>
      </c>
      <c r="AB112" s="26" t="str">
        <f t="shared" si="13"/>
        <v/>
      </c>
      <c r="AC112" s="26" t="str">
        <f>IF(MATCH(AB112,AB113:$AB$300,0),"0",1)</f>
        <v>0</v>
      </c>
    </row>
    <row r="113" spans="2:29" x14ac:dyDescent="0.35">
      <c r="B113" s="219"/>
      <c r="C113" s="216" t="s">
        <v>304</v>
      </c>
      <c r="D113" s="216"/>
      <c r="E113" s="220"/>
      <c r="F113" s="220"/>
      <c r="G113" s="220"/>
      <c r="H113" s="220" t="str">
        <f t="shared" si="7"/>
        <v/>
      </c>
      <c r="I113" s="460"/>
      <c r="J113" s="460"/>
      <c r="K113" s="460"/>
      <c r="L113" s="460"/>
      <c r="M113" s="460"/>
      <c r="N113" s="220"/>
      <c r="O113" s="220"/>
      <c r="P113" s="220"/>
      <c r="Q113" s="220"/>
      <c r="R113" s="221"/>
      <c r="S113" s="221"/>
      <c r="T113" s="316">
        <f t="shared" si="8"/>
        <v>0</v>
      </c>
      <c r="U113" s="217">
        <f t="shared" si="9"/>
        <v>0</v>
      </c>
      <c r="X113" s="26" t="str">
        <f t="shared" si="10"/>
        <v/>
      </c>
      <c r="Y113" s="21" t="str">
        <f>IF(MATCH(X113,X114:$X$300,0),"Si",1)</f>
        <v>Si</v>
      </c>
      <c r="Z113" s="26">
        <f t="shared" si="11"/>
        <v>0</v>
      </c>
      <c r="AA113" s="26">
        <f t="shared" si="12"/>
        <v>0</v>
      </c>
      <c r="AB113" s="26" t="str">
        <f t="shared" si="13"/>
        <v/>
      </c>
      <c r="AC113" s="26" t="str">
        <f>IF(MATCH(AB113,AB114:$AB$300,0),"0",1)</f>
        <v>0</v>
      </c>
    </row>
    <row r="114" spans="2:29" x14ac:dyDescent="0.35">
      <c r="B114" s="219"/>
      <c r="C114" s="216" t="s">
        <v>305</v>
      </c>
      <c r="D114" s="216"/>
      <c r="E114" s="220"/>
      <c r="F114" s="220"/>
      <c r="G114" s="220"/>
      <c r="H114" s="220" t="str">
        <f t="shared" si="7"/>
        <v/>
      </c>
      <c r="I114" s="460"/>
      <c r="J114" s="460"/>
      <c r="K114" s="460"/>
      <c r="L114" s="460"/>
      <c r="M114" s="460"/>
      <c r="N114" s="220"/>
      <c r="O114" s="220"/>
      <c r="P114" s="220"/>
      <c r="Q114" s="220"/>
      <c r="R114" s="221"/>
      <c r="S114" s="221"/>
      <c r="T114" s="316">
        <f t="shared" si="8"/>
        <v>0</v>
      </c>
      <c r="U114" s="217">
        <f t="shared" si="9"/>
        <v>0</v>
      </c>
      <c r="X114" s="26" t="str">
        <f t="shared" si="10"/>
        <v/>
      </c>
      <c r="Y114" s="21" t="str">
        <f>IF(MATCH(X114,X115:$X$300,0),"Si",1)</f>
        <v>Si</v>
      </c>
      <c r="Z114" s="26">
        <f t="shared" si="11"/>
        <v>0</v>
      </c>
      <c r="AA114" s="26">
        <f t="shared" si="12"/>
        <v>0</v>
      </c>
      <c r="AB114" s="26" t="str">
        <f t="shared" si="13"/>
        <v/>
      </c>
      <c r="AC114" s="26" t="str">
        <f>IF(MATCH(AB114,AB115:$AB$300,0),"0",1)</f>
        <v>0</v>
      </c>
    </row>
    <row r="115" spans="2:29" x14ac:dyDescent="0.35">
      <c r="B115" s="219"/>
      <c r="C115" s="216" t="s">
        <v>306</v>
      </c>
      <c r="D115" s="216"/>
      <c r="E115" s="220"/>
      <c r="F115" s="220"/>
      <c r="G115" s="220"/>
      <c r="H115" s="220" t="str">
        <f t="shared" si="7"/>
        <v/>
      </c>
      <c r="I115" s="460"/>
      <c r="J115" s="460"/>
      <c r="K115" s="460"/>
      <c r="L115" s="460"/>
      <c r="M115" s="460"/>
      <c r="N115" s="220"/>
      <c r="O115" s="220"/>
      <c r="P115" s="220"/>
      <c r="Q115" s="220"/>
      <c r="R115" s="221"/>
      <c r="S115" s="221"/>
      <c r="T115" s="316">
        <f t="shared" si="8"/>
        <v>0</v>
      </c>
      <c r="U115" s="217">
        <f t="shared" si="9"/>
        <v>0</v>
      </c>
      <c r="X115" s="26" t="str">
        <f t="shared" si="10"/>
        <v/>
      </c>
      <c r="Y115" s="21" t="str">
        <f>IF(MATCH(X115,X116:$X$300,0),"Si",1)</f>
        <v>Si</v>
      </c>
      <c r="Z115" s="26">
        <f t="shared" si="11"/>
        <v>0</v>
      </c>
      <c r="AA115" s="26">
        <f t="shared" si="12"/>
        <v>0</v>
      </c>
      <c r="AB115" s="26" t="str">
        <f t="shared" si="13"/>
        <v/>
      </c>
      <c r="AC115" s="26" t="str">
        <f>IF(MATCH(AB115,AB116:$AB$300,0),"0",1)</f>
        <v>0</v>
      </c>
    </row>
    <row r="116" spans="2:29" x14ac:dyDescent="0.35">
      <c r="B116" s="219"/>
      <c r="C116" s="216" t="s">
        <v>307</v>
      </c>
      <c r="D116" s="216"/>
      <c r="E116" s="220"/>
      <c r="F116" s="220"/>
      <c r="G116" s="220"/>
      <c r="H116" s="220" t="str">
        <f t="shared" si="7"/>
        <v/>
      </c>
      <c r="I116" s="460"/>
      <c r="J116" s="460"/>
      <c r="K116" s="460"/>
      <c r="L116" s="460"/>
      <c r="M116" s="460"/>
      <c r="N116" s="220"/>
      <c r="O116" s="220"/>
      <c r="P116" s="220"/>
      <c r="Q116" s="220"/>
      <c r="R116" s="221"/>
      <c r="S116" s="221"/>
      <c r="T116" s="316">
        <f t="shared" si="8"/>
        <v>0</v>
      </c>
      <c r="U116" s="217">
        <f t="shared" si="9"/>
        <v>0</v>
      </c>
      <c r="X116" s="26" t="str">
        <f t="shared" si="10"/>
        <v/>
      </c>
      <c r="Y116" s="21" t="str">
        <f>IF(MATCH(X116,X117:$X$300,0),"Si",1)</f>
        <v>Si</v>
      </c>
      <c r="Z116" s="26">
        <f t="shared" si="11"/>
        <v>0</v>
      </c>
      <c r="AA116" s="26">
        <f t="shared" si="12"/>
        <v>0</v>
      </c>
      <c r="AB116" s="26" t="str">
        <f t="shared" si="13"/>
        <v/>
      </c>
      <c r="AC116" s="26" t="str">
        <f>IF(MATCH(AB116,AB117:$AB$300,0),"0",1)</f>
        <v>0</v>
      </c>
    </row>
    <row r="117" spans="2:29" x14ac:dyDescent="0.35">
      <c r="B117" s="219"/>
      <c r="C117" s="216" t="s">
        <v>308</v>
      </c>
      <c r="D117" s="216"/>
      <c r="E117" s="220"/>
      <c r="F117" s="220"/>
      <c r="G117" s="220"/>
      <c r="H117" s="220" t="str">
        <f t="shared" si="7"/>
        <v/>
      </c>
      <c r="I117" s="460"/>
      <c r="J117" s="460"/>
      <c r="K117" s="460"/>
      <c r="L117" s="460"/>
      <c r="M117" s="460"/>
      <c r="N117" s="220"/>
      <c r="O117" s="220"/>
      <c r="P117" s="220"/>
      <c r="Q117" s="220"/>
      <c r="R117" s="221"/>
      <c r="S117" s="221"/>
      <c r="T117" s="316">
        <f t="shared" si="8"/>
        <v>0</v>
      </c>
      <c r="U117" s="217">
        <f t="shared" si="9"/>
        <v>0</v>
      </c>
      <c r="X117" s="26" t="str">
        <f t="shared" si="10"/>
        <v/>
      </c>
      <c r="Y117" s="21" t="str">
        <f>IF(MATCH(X117,X118:$X$300,0),"Si",1)</f>
        <v>Si</v>
      </c>
      <c r="Z117" s="26">
        <f t="shared" si="11"/>
        <v>0</v>
      </c>
      <c r="AA117" s="26">
        <f t="shared" si="12"/>
        <v>0</v>
      </c>
      <c r="AB117" s="26" t="str">
        <f t="shared" si="13"/>
        <v/>
      </c>
      <c r="AC117" s="26" t="str">
        <f>IF(MATCH(AB117,AB118:$AB$300,0),"0",1)</f>
        <v>0</v>
      </c>
    </row>
    <row r="118" spans="2:29" x14ac:dyDescent="0.35">
      <c r="B118" s="219"/>
      <c r="C118" s="216" t="s">
        <v>309</v>
      </c>
      <c r="D118" s="216"/>
      <c r="E118" s="220"/>
      <c r="F118" s="220"/>
      <c r="G118" s="220"/>
      <c r="H118" s="220" t="str">
        <f t="shared" si="7"/>
        <v/>
      </c>
      <c r="I118" s="460"/>
      <c r="J118" s="460"/>
      <c r="K118" s="460"/>
      <c r="L118" s="460"/>
      <c r="M118" s="460"/>
      <c r="N118" s="220"/>
      <c r="O118" s="220"/>
      <c r="P118" s="220"/>
      <c r="Q118" s="220"/>
      <c r="R118" s="221"/>
      <c r="S118" s="221"/>
      <c r="T118" s="316">
        <f t="shared" si="8"/>
        <v>0</v>
      </c>
      <c r="U118" s="217">
        <f t="shared" si="9"/>
        <v>0</v>
      </c>
      <c r="X118" s="26" t="str">
        <f t="shared" si="10"/>
        <v/>
      </c>
      <c r="Y118" s="21" t="str">
        <f>IF(MATCH(X118,X119:$X$300,0),"Si",1)</f>
        <v>Si</v>
      </c>
      <c r="Z118" s="26">
        <f t="shared" si="11"/>
        <v>0</v>
      </c>
      <c r="AA118" s="26">
        <f t="shared" si="12"/>
        <v>0</v>
      </c>
      <c r="AB118" s="26" t="str">
        <f t="shared" si="13"/>
        <v/>
      </c>
      <c r="AC118" s="26" t="str">
        <f>IF(MATCH(AB118,AB119:$AB$300,0),"0",1)</f>
        <v>0</v>
      </c>
    </row>
    <row r="119" spans="2:29" x14ac:dyDescent="0.35">
      <c r="B119" s="219"/>
      <c r="C119" s="216" t="s">
        <v>310</v>
      </c>
      <c r="D119" s="216"/>
      <c r="E119" s="220"/>
      <c r="F119" s="220"/>
      <c r="G119" s="220"/>
      <c r="H119" s="220" t="str">
        <f t="shared" si="7"/>
        <v/>
      </c>
      <c r="I119" s="460"/>
      <c r="J119" s="460"/>
      <c r="K119" s="460"/>
      <c r="L119" s="460"/>
      <c r="M119" s="460"/>
      <c r="N119" s="220"/>
      <c r="O119" s="220"/>
      <c r="P119" s="220"/>
      <c r="Q119" s="220"/>
      <c r="R119" s="221"/>
      <c r="S119" s="221"/>
      <c r="T119" s="316">
        <f t="shared" si="8"/>
        <v>0</v>
      </c>
      <c r="U119" s="217">
        <f t="shared" si="9"/>
        <v>0</v>
      </c>
      <c r="X119" s="26" t="str">
        <f t="shared" si="10"/>
        <v/>
      </c>
      <c r="Y119" s="21" t="str">
        <f>IF(MATCH(X119,X120:$X$300,0),"Si",1)</f>
        <v>Si</v>
      </c>
      <c r="Z119" s="26">
        <f t="shared" si="11"/>
        <v>0</v>
      </c>
      <c r="AA119" s="26">
        <f t="shared" si="12"/>
        <v>0</v>
      </c>
      <c r="AB119" s="26" t="str">
        <f t="shared" si="13"/>
        <v/>
      </c>
      <c r="AC119" s="26" t="str">
        <f>IF(MATCH(AB119,AB120:$AB$300,0),"0",1)</f>
        <v>0</v>
      </c>
    </row>
    <row r="120" spans="2:29" x14ac:dyDescent="0.35">
      <c r="B120" s="219"/>
      <c r="C120" s="216" t="s">
        <v>311</v>
      </c>
      <c r="D120" s="216"/>
      <c r="E120" s="220"/>
      <c r="F120" s="220"/>
      <c r="G120" s="220"/>
      <c r="H120" s="220" t="str">
        <f t="shared" si="7"/>
        <v/>
      </c>
      <c r="I120" s="460"/>
      <c r="J120" s="460"/>
      <c r="K120" s="460"/>
      <c r="L120" s="460"/>
      <c r="M120" s="460"/>
      <c r="N120" s="220"/>
      <c r="O120" s="220"/>
      <c r="P120" s="220"/>
      <c r="Q120" s="220"/>
      <c r="R120" s="221"/>
      <c r="S120" s="221"/>
      <c r="T120" s="316">
        <f t="shared" si="8"/>
        <v>0</v>
      </c>
      <c r="U120" s="217">
        <f t="shared" si="9"/>
        <v>0</v>
      </c>
      <c r="X120" s="26" t="str">
        <f t="shared" si="10"/>
        <v/>
      </c>
      <c r="Y120" s="21" t="str">
        <f>IF(MATCH(X120,X121:$X$300,0),"Si",1)</f>
        <v>Si</v>
      </c>
      <c r="Z120" s="26">
        <f t="shared" si="11"/>
        <v>0</v>
      </c>
      <c r="AA120" s="26">
        <f t="shared" si="12"/>
        <v>0</v>
      </c>
      <c r="AB120" s="26" t="str">
        <f t="shared" si="13"/>
        <v/>
      </c>
      <c r="AC120" s="26" t="str">
        <f>IF(MATCH(AB120,AB121:$AB$300,0),"0",1)</f>
        <v>0</v>
      </c>
    </row>
    <row r="121" spans="2:29" x14ac:dyDescent="0.35">
      <c r="B121" s="219"/>
      <c r="C121" s="216" t="s">
        <v>312</v>
      </c>
      <c r="D121" s="216"/>
      <c r="E121" s="220"/>
      <c r="F121" s="220"/>
      <c r="G121" s="220"/>
      <c r="H121" s="220" t="str">
        <f t="shared" si="7"/>
        <v/>
      </c>
      <c r="I121" s="460"/>
      <c r="J121" s="460"/>
      <c r="K121" s="460"/>
      <c r="L121" s="460"/>
      <c r="M121" s="460"/>
      <c r="N121" s="220"/>
      <c r="O121" s="220"/>
      <c r="P121" s="220"/>
      <c r="Q121" s="220"/>
      <c r="R121" s="221"/>
      <c r="S121" s="221"/>
      <c r="T121" s="316">
        <f t="shared" si="8"/>
        <v>0</v>
      </c>
      <c r="U121" s="217">
        <f t="shared" si="9"/>
        <v>0</v>
      </c>
      <c r="X121" s="26" t="str">
        <f t="shared" si="10"/>
        <v/>
      </c>
      <c r="Y121" s="21" t="str">
        <f>IF(MATCH(X121,X122:$X$300,0),"Si",1)</f>
        <v>Si</v>
      </c>
      <c r="Z121" s="26">
        <f t="shared" si="11"/>
        <v>0</v>
      </c>
      <c r="AA121" s="26">
        <f t="shared" si="12"/>
        <v>0</v>
      </c>
      <c r="AB121" s="26" t="str">
        <f t="shared" si="13"/>
        <v/>
      </c>
      <c r="AC121" s="26" t="str">
        <f>IF(MATCH(AB121,AB122:$AB$300,0),"0",1)</f>
        <v>0</v>
      </c>
    </row>
    <row r="122" spans="2:29" x14ac:dyDescent="0.35">
      <c r="B122" s="219"/>
      <c r="C122" s="216" t="s">
        <v>313</v>
      </c>
      <c r="D122" s="216"/>
      <c r="E122" s="220"/>
      <c r="F122" s="220"/>
      <c r="G122" s="220"/>
      <c r="H122" s="220" t="str">
        <f t="shared" si="7"/>
        <v/>
      </c>
      <c r="I122" s="460"/>
      <c r="J122" s="460"/>
      <c r="K122" s="460"/>
      <c r="L122" s="460"/>
      <c r="M122" s="460"/>
      <c r="N122" s="220"/>
      <c r="O122" s="220"/>
      <c r="P122" s="220"/>
      <c r="Q122" s="220"/>
      <c r="R122" s="221"/>
      <c r="S122" s="221"/>
      <c r="T122" s="316">
        <f t="shared" si="8"/>
        <v>0</v>
      </c>
      <c r="U122" s="217">
        <f t="shared" si="9"/>
        <v>0</v>
      </c>
      <c r="X122" s="26" t="str">
        <f t="shared" si="10"/>
        <v/>
      </c>
      <c r="Y122" s="21" t="str">
        <f>IF(MATCH(X122,X123:$X$300,0),"Si",1)</f>
        <v>Si</v>
      </c>
      <c r="Z122" s="26">
        <f t="shared" si="11"/>
        <v>0</v>
      </c>
      <c r="AA122" s="26">
        <f t="shared" si="12"/>
        <v>0</v>
      </c>
      <c r="AB122" s="26" t="str">
        <f t="shared" si="13"/>
        <v/>
      </c>
      <c r="AC122" s="26" t="str">
        <f>IF(MATCH(AB122,AB123:$AB$300,0),"0",1)</f>
        <v>0</v>
      </c>
    </row>
    <row r="123" spans="2:29" x14ac:dyDescent="0.35">
      <c r="B123" s="219"/>
      <c r="C123" s="216" t="s">
        <v>314</v>
      </c>
      <c r="D123" s="216"/>
      <c r="E123" s="220"/>
      <c r="F123" s="220"/>
      <c r="G123" s="220"/>
      <c r="H123" s="220" t="str">
        <f t="shared" si="7"/>
        <v/>
      </c>
      <c r="I123" s="460"/>
      <c r="J123" s="460"/>
      <c r="K123" s="460"/>
      <c r="L123" s="460"/>
      <c r="M123" s="460"/>
      <c r="N123" s="220"/>
      <c r="O123" s="220"/>
      <c r="P123" s="220"/>
      <c r="Q123" s="220"/>
      <c r="R123" s="221"/>
      <c r="S123" s="221"/>
      <c r="T123" s="316">
        <f t="shared" si="8"/>
        <v>0</v>
      </c>
      <c r="U123" s="217">
        <f t="shared" si="9"/>
        <v>0</v>
      </c>
      <c r="X123" s="26" t="str">
        <f t="shared" si="10"/>
        <v/>
      </c>
      <c r="Y123" s="21" t="str">
        <f>IF(MATCH(X123,X124:$X$300,0),"Si",1)</f>
        <v>Si</v>
      </c>
      <c r="Z123" s="26">
        <f t="shared" si="11"/>
        <v>0</v>
      </c>
      <c r="AA123" s="26">
        <f t="shared" si="12"/>
        <v>0</v>
      </c>
      <c r="AB123" s="26" t="str">
        <f t="shared" si="13"/>
        <v/>
      </c>
      <c r="AC123" s="26" t="str">
        <f>IF(MATCH(AB123,AB124:$AB$300,0),"0",1)</f>
        <v>0</v>
      </c>
    </row>
    <row r="124" spans="2:29" x14ac:dyDescent="0.35">
      <c r="B124" s="219"/>
      <c r="C124" s="216" t="s">
        <v>315</v>
      </c>
      <c r="D124" s="216"/>
      <c r="E124" s="220"/>
      <c r="F124" s="220"/>
      <c r="G124" s="220"/>
      <c r="H124" s="220" t="str">
        <f t="shared" si="7"/>
        <v/>
      </c>
      <c r="I124" s="460"/>
      <c r="J124" s="460"/>
      <c r="K124" s="460"/>
      <c r="L124" s="460"/>
      <c r="M124" s="460"/>
      <c r="N124" s="220"/>
      <c r="O124" s="220"/>
      <c r="P124" s="220"/>
      <c r="Q124" s="220"/>
      <c r="R124" s="221"/>
      <c r="S124" s="221"/>
      <c r="T124" s="316">
        <f t="shared" si="8"/>
        <v>0</v>
      </c>
      <c r="U124" s="217">
        <f t="shared" si="9"/>
        <v>0</v>
      </c>
      <c r="X124" s="26" t="str">
        <f t="shared" si="10"/>
        <v/>
      </c>
      <c r="Y124" s="21" t="str">
        <f>IF(MATCH(X124,X125:$X$300,0),"Si",1)</f>
        <v>Si</v>
      </c>
      <c r="Z124" s="26">
        <f t="shared" si="11"/>
        <v>0</v>
      </c>
      <c r="AA124" s="26">
        <f t="shared" si="12"/>
        <v>0</v>
      </c>
      <c r="AB124" s="26" t="str">
        <f t="shared" si="13"/>
        <v/>
      </c>
      <c r="AC124" s="26" t="str">
        <f>IF(MATCH(AB124,AB125:$AB$300,0),"0",1)</f>
        <v>0</v>
      </c>
    </row>
    <row r="125" spans="2:29" x14ac:dyDescent="0.35">
      <c r="B125" s="219"/>
      <c r="C125" s="216" t="s">
        <v>316</v>
      </c>
      <c r="D125" s="216"/>
      <c r="E125" s="220"/>
      <c r="F125" s="220"/>
      <c r="G125" s="220"/>
      <c r="H125" s="220" t="str">
        <f t="shared" si="7"/>
        <v/>
      </c>
      <c r="I125" s="460"/>
      <c r="J125" s="460"/>
      <c r="K125" s="460"/>
      <c r="L125" s="460"/>
      <c r="M125" s="460"/>
      <c r="N125" s="220"/>
      <c r="O125" s="220"/>
      <c r="P125" s="220"/>
      <c r="Q125" s="220"/>
      <c r="R125" s="221"/>
      <c r="S125" s="221"/>
      <c r="T125" s="316">
        <f t="shared" si="8"/>
        <v>0</v>
      </c>
      <c r="U125" s="217">
        <f t="shared" si="9"/>
        <v>0</v>
      </c>
      <c r="X125" s="26" t="str">
        <f t="shared" si="10"/>
        <v/>
      </c>
      <c r="Y125" s="21" t="str">
        <f>IF(MATCH(X125,X126:$X$300,0),"Si",1)</f>
        <v>Si</v>
      </c>
      <c r="Z125" s="26">
        <f t="shared" si="11"/>
        <v>0</v>
      </c>
      <c r="AA125" s="26">
        <f t="shared" si="12"/>
        <v>0</v>
      </c>
      <c r="AB125" s="26" t="str">
        <f t="shared" si="13"/>
        <v/>
      </c>
      <c r="AC125" s="26" t="str">
        <f>IF(MATCH(AB125,AB126:$AB$300,0),"0",1)</f>
        <v>0</v>
      </c>
    </row>
    <row r="126" spans="2:29" x14ac:dyDescent="0.35">
      <c r="B126" s="219"/>
      <c r="C126" s="216" t="s">
        <v>317</v>
      </c>
      <c r="D126" s="216"/>
      <c r="E126" s="220"/>
      <c r="F126" s="220"/>
      <c r="G126" s="220"/>
      <c r="H126" s="220" t="str">
        <f t="shared" si="7"/>
        <v/>
      </c>
      <c r="I126" s="460"/>
      <c r="J126" s="460"/>
      <c r="K126" s="460"/>
      <c r="L126" s="460"/>
      <c r="M126" s="460"/>
      <c r="N126" s="220"/>
      <c r="O126" s="220"/>
      <c r="P126" s="220"/>
      <c r="Q126" s="220"/>
      <c r="R126" s="221"/>
      <c r="S126" s="221"/>
      <c r="T126" s="316">
        <f t="shared" si="8"/>
        <v>0</v>
      </c>
      <c r="U126" s="217">
        <f t="shared" si="9"/>
        <v>0</v>
      </c>
      <c r="X126" s="26" t="str">
        <f t="shared" si="10"/>
        <v/>
      </c>
      <c r="Y126" s="21" t="str">
        <f>IF(MATCH(X126,X127:$X$300,0),"Si",1)</f>
        <v>Si</v>
      </c>
      <c r="Z126" s="26">
        <f t="shared" si="11"/>
        <v>0</v>
      </c>
      <c r="AA126" s="26">
        <f t="shared" si="12"/>
        <v>0</v>
      </c>
      <c r="AB126" s="26" t="str">
        <f t="shared" si="13"/>
        <v/>
      </c>
      <c r="AC126" s="26" t="str">
        <f>IF(MATCH(AB126,AB127:$AB$300,0),"0",1)</f>
        <v>0</v>
      </c>
    </row>
    <row r="127" spans="2:29" x14ac:dyDescent="0.35">
      <c r="B127" s="219"/>
      <c r="C127" s="216" t="s">
        <v>318</v>
      </c>
      <c r="D127" s="216"/>
      <c r="E127" s="220"/>
      <c r="F127" s="220"/>
      <c r="G127" s="220"/>
      <c r="H127" s="220" t="str">
        <f t="shared" si="7"/>
        <v/>
      </c>
      <c r="I127" s="460"/>
      <c r="J127" s="460"/>
      <c r="K127" s="460"/>
      <c r="L127" s="460"/>
      <c r="M127" s="460"/>
      <c r="N127" s="220"/>
      <c r="O127" s="220"/>
      <c r="P127" s="220"/>
      <c r="Q127" s="220"/>
      <c r="R127" s="221"/>
      <c r="S127" s="221"/>
      <c r="T127" s="316">
        <f t="shared" si="8"/>
        <v>0</v>
      </c>
      <c r="U127" s="217">
        <f t="shared" si="9"/>
        <v>0</v>
      </c>
      <c r="X127" s="26" t="str">
        <f t="shared" si="10"/>
        <v/>
      </c>
      <c r="Y127" s="21" t="str">
        <f>IF(MATCH(X127,X128:$X$300,0),"Si",1)</f>
        <v>Si</v>
      </c>
      <c r="Z127" s="26">
        <f t="shared" si="11"/>
        <v>0</v>
      </c>
      <c r="AA127" s="26">
        <f t="shared" si="12"/>
        <v>0</v>
      </c>
      <c r="AB127" s="26" t="str">
        <f t="shared" si="13"/>
        <v/>
      </c>
      <c r="AC127" s="26" t="str">
        <f>IF(MATCH(AB127,AB128:$AB$300,0),"0",1)</f>
        <v>0</v>
      </c>
    </row>
    <row r="128" spans="2:29" x14ac:dyDescent="0.35">
      <c r="B128" s="219"/>
      <c r="C128" s="216" t="s">
        <v>319</v>
      </c>
      <c r="D128" s="216"/>
      <c r="E128" s="220"/>
      <c r="F128" s="220"/>
      <c r="G128" s="220"/>
      <c r="H128" s="220" t="str">
        <f t="shared" si="7"/>
        <v/>
      </c>
      <c r="I128" s="460"/>
      <c r="J128" s="460"/>
      <c r="K128" s="460"/>
      <c r="L128" s="460"/>
      <c r="M128" s="460"/>
      <c r="N128" s="220"/>
      <c r="O128" s="220"/>
      <c r="P128" s="220"/>
      <c r="Q128" s="220"/>
      <c r="R128" s="221"/>
      <c r="S128" s="221"/>
      <c r="T128" s="316">
        <f t="shared" si="8"/>
        <v>0</v>
      </c>
      <c r="U128" s="217">
        <f t="shared" si="9"/>
        <v>0</v>
      </c>
      <c r="X128" s="26" t="str">
        <f t="shared" si="10"/>
        <v/>
      </c>
      <c r="Y128" s="21" t="str">
        <f>IF(MATCH(X128,X129:$X$300,0),"Si",1)</f>
        <v>Si</v>
      </c>
      <c r="Z128" s="26">
        <f t="shared" si="11"/>
        <v>0</v>
      </c>
      <c r="AA128" s="26">
        <f t="shared" si="12"/>
        <v>0</v>
      </c>
      <c r="AB128" s="26" t="str">
        <f t="shared" si="13"/>
        <v/>
      </c>
      <c r="AC128" s="26" t="str">
        <f>IF(MATCH(AB128,AB129:$AB$300,0),"0",1)</f>
        <v>0</v>
      </c>
    </row>
    <row r="129" spans="2:29" x14ac:dyDescent="0.35">
      <c r="B129" s="219"/>
      <c r="C129" s="216" t="s">
        <v>320</v>
      </c>
      <c r="D129" s="216"/>
      <c r="E129" s="220"/>
      <c r="F129" s="220"/>
      <c r="G129" s="220"/>
      <c r="H129" s="220" t="str">
        <f t="shared" si="7"/>
        <v/>
      </c>
      <c r="I129" s="460"/>
      <c r="J129" s="460"/>
      <c r="K129" s="460"/>
      <c r="L129" s="460"/>
      <c r="M129" s="460"/>
      <c r="N129" s="220"/>
      <c r="O129" s="220"/>
      <c r="P129" s="220"/>
      <c r="Q129" s="220"/>
      <c r="R129" s="221"/>
      <c r="S129" s="221"/>
      <c r="T129" s="316">
        <f t="shared" si="8"/>
        <v>0</v>
      </c>
      <c r="U129" s="217">
        <f t="shared" si="9"/>
        <v>0</v>
      </c>
      <c r="X129" s="26" t="str">
        <f t="shared" si="10"/>
        <v/>
      </c>
      <c r="Y129" s="21" t="str">
        <f>IF(MATCH(X129,X130:$X$300,0),"Si",1)</f>
        <v>Si</v>
      </c>
      <c r="Z129" s="26">
        <f t="shared" si="11"/>
        <v>0</v>
      </c>
      <c r="AA129" s="26">
        <f t="shared" si="12"/>
        <v>0</v>
      </c>
      <c r="AB129" s="26" t="str">
        <f t="shared" si="13"/>
        <v/>
      </c>
      <c r="AC129" s="26" t="str">
        <f>IF(MATCH(AB129,AB130:$AB$300,0),"0",1)</f>
        <v>0</v>
      </c>
    </row>
    <row r="130" spans="2:29" x14ac:dyDescent="0.35">
      <c r="B130" s="219"/>
      <c r="C130" s="216" t="s">
        <v>321</v>
      </c>
      <c r="D130" s="216"/>
      <c r="E130" s="220"/>
      <c r="F130" s="220"/>
      <c r="G130" s="220"/>
      <c r="H130" s="220" t="str">
        <f t="shared" si="7"/>
        <v/>
      </c>
      <c r="I130" s="460"/>
      <c r="J130" s="460"/>
      <c r="K130" s="460"/>
      <c r="L130" s="460"/>
      <c r="M130" s="460"/>
      <c r="N130" s="220"/>
      <c r="O130" s="220"/>
      <c r="P130" s="220"/>
      <c r="Q130" s="220"/>
      <c r="R130" s="221"/>
      <c r="S130" s="221"/>
      <c r="T130" s="316">
        <f t="shared" si="8"/>
        <v>0</v>
      </c>
      <c r="U130" s="217">
        <f t="shared" si="9"/>
        <v>0</v>
      </c>
      <c r="X130" s="26" t="str">
        <f t="shared" si="10"/>
        <v/>
      </c>
      <c r="Y130" s="21" t="str">
        <f>IF(MATCH(X130,X131:$X$300,0),"Si",1)</f>
        <v>Si</v>
      </c>
      <c r="Z130" s="26">
        <f t="shared" si="11"/>
        <v>0</v>
      </c>
      <c r="AA130" s="26">
        <f t="shared" si="12"/>
        <v>0</v>
      </c>
      <c r="AB130" s="26" t="str">
        <f t="shared" si="13"/>
        <v/>
      </c>
      <c r="AC130" s="26" t="str">
        <f>IF(MATCH(AB130,AB131:$AB$300,0),"0",1)</f>
        <v>0</v>
      </c>
    </row>
    <row r="131" spans="2:29" x14ac:dyDescent="0.35">
      <c r="B131" s="219"/>
      <c r="C131" s="216" t="s">
        <v>322</v>
      </c>
      <c r="D131" s="216"/>
      <c r="E131" s="220"/>
      <c r="F131" s="220"/>
      <c r="G131" s="220"/>
      <c r="H131" s="220" t="str">
        <f t="shared" si="7"/>
        <v/>
      </c>
      <c r="I131" s="460"/>
      <c r="J131" s="460"/>
      <c r="K131" s="460"/>
      <c r="L131" s="460"/>
      <c r="M131" s="460"/>
      <c r="N131" s="220"/>
      <c r="O131" s="220"/>
      <c r="P131" s="220"/>
      <c r="Q131" s="220"/>
      <c r="R131" s="221"/>
      <c r="S131" s="221"/>
      <c r="T131" s="316">
        <f t="shared" si="8"/>
        <v>0</v>
      </c>
      <c r="U131" s="217">
        <f t="shared" si="9"/>
        <v>0</v>
      </c>
      <c r="X131" s="26" t="str">
        <f t="shared" si="10"/>
        <v/>
      </c>
      <c r="Y131" s="21" t="str">
        <f>IF(MATCH(X131,X132:$X$300,0),"Si",1)</f>
        <v>Si</v>
      </c>
      <c r="Z131" s="26">
        <f t="shared" si="11"/>
        <v>0</v>
      </c>
      <c r="AA131" s="26">
        <f t="shared" si="12"/>
        <v>0</v>
      </c>
      <c r="AB131" s="26" t="str">
        <f t="shared" si="13"/>
        <v/>
      </c>
      <c r="AC131" s="26" t="str">
        <f>IF(MATCH(AB131,AB132:$AB$300,0),"0",1)</f>
        <v>0</v>
      </c>
    </row>
    <row r="132" spans="2:29" x14ac:dyDescent="0.35">
      <c r="B132" s="219"/>
      <c r="C132" s="216" t="s">
        <v>323</v>
      </c>
      <c r="D132" s="216"/>
      <c r="E132" s="220"/>
      <c r="F132" s="220"/>
      <c r="G132" s="220"/>
      <c r="H132" s="220" t="str">
        <f t="shared" si="7"/>
        <v/>
      </c>
      <c r="I132" s="460"/>
      <c r="J132" s="460"/>
      <c r="K132" s="460"/>
      <c r="L132" s="460"/>
      <c r="M132" s="460"/>
      <c r="N132" s="220"/>
      <c r="O132" s="220"/>
      <c r="P132" s="220"/>
      <c r="Q132" s="220"/>
      <c r="R132" s="221"/>
      <c r="S132" s="221"/>
      <c r="T132" s="316">
        <f t="shared" si="8"/>
        <v>0</v>
      </c>
      <c r="U132" s="217">
        <f t="shared" si="9"/>
        <v>0</v>
      </c>
      <c r="X132" s="26" t="str">
        <f t="shared" si="10"/>
        <v/>
      </c>
      <c r="Y132" s="21" t="str">
        <f>IF(MATCH(X132,X133:$X$300,0),"Si",1)</f>
        <v>Si</v>
      </c>
      <c r="Z132" s="26">
        <f t="shared" si="11"/>
        <v>0</v>
      </c>
      <c r="AA132" s="26">
        <f t="shared" si="12"/>
        <v>0</v>
      </c>
      <c r="AB132" s="26" t="str">
        <f t="shared" si="13"/>
        <v/>
      </c>
      <c r="AC132" s="26" t="str">
        <f>IF(MATCH(AB132,AB133:$AB$300,0),"0",1)</f>
        <v>0</v>
      </c>
    </row>
    <row r="133" spans="2:29" x14ac:dyDescent="0.35">
      <c r="B133" s="219"/>
      <c r="C133" s="216" t="s">
        <v>324</v>
      </c>
      <c r="D133" s="216"/>
      <c r="E133" s="220"/>
      <c r="F133" s="220"/>
      <c r="G133" s="220"/>
      <c r="H133" s="220" t="str">
        <f t="shared" si="7"/>
        <v/>
      </c>
      <c r="I133" s="460"/>
      <c r="J133" s="460"/>
      <c r="K133" s="460"/>
      <c r="L133" s="460"/>
      <c r="M133" s="460"/>
      <c r="N133" s="220"/>
      <c r="O133" s="220"/>
      <c r="P133" s="220"/>
      <c r="Q133" s="220"/>
      <c r="R133" s="221"/>
      <c r="S133" s="221"/>
      <c r="T133" s="316">
        <f t="shared" si="8"/>
        <v>0</v>
      </c>
      <c r="U133" s="217">
        <f t="shared" si="9"/>
        <v>0</v>
      </c>
      <c r="X133" s="26" t="str">
        <f t="shared" si="10"/>
        <v/>
      </c>
      <c r="Y133" s="21" t="str">
        <f>IF(MATCH(X133,X134:$X$300,0),"Si",1)</f>
        <v>Si</v>
      </c>
      <c r="Z133" s="26">
        <f t="shared" si="11"/>
        <v>0</v>
      </c>
      <c r="AA133" s="26">
        <f t="shared" si="12"/>
        <v>0</v>
      </c>
      <c r="AB133" s="26" t="str">
        <f t="shared" si="13"/>
        <v/>
      </c>
      <c r="AC133" s="26" t="str">
        <f>IF(MATCH(AB133,AB134:$AB$300,0),"0",1)</f>
        <v>0</v>
      </c>
    </row>
    <row r="134" spans="2:29" x14ac:dyDescent="0.35">
      <c r="B134" s="219"/>
      <c r="C134" s="216" t="s">
        <v>325</v>
      </c>
      <c r="D134" s="216"/>
      <c r="E134" s="220"/>
      <c r="F134" s="220"/>
      <c r="G134" s="220"/>
      <c r="H134" s="220" t="str">
        <f t="shared" si="7"/>
        <v/>
      </c>
      <c r="I134" s="460"/>
      <c r="J134" s="460"/>
      <c r="K134" s="460"/>
      <c r="L134" s="460"/>
      <c r="M134" s="460"/>
      <c r="N134" s="220"/>
      <c r="O134" s="220"/>
      <c r="P134" s="220"/>
      <c r="Q134" s="220"/>
      <c r="R134" s="221"/>
      <c r="S134" s="221"/>
      <c r="T134" s="316">
        <f t="shared" si="8"/>
        <v>0</v>
      </c>
      <c r="U134" s="217">
        <f t="shared" si="9"/>
        <v>0</v>
      </c>
      <c r="X134" s="26" t="str">
        <f t="shared" si="10"/>
        <v/>
      </c>
      <c r="Y134" s="21" t="str">
        <f>IF(MATCH(X134,X135:$X$300,0),"Si",1)</f>
        <v>Si</v>
      </c>
      <c r="Z134" s="26">
        <f t="shared" si="11"/>
        <v>0</v>
      </c>
      <c r="AA134" s="26">
        <f t="shared" si="12"/>
        <v>0</v>
      </c>
      <c r="AB134" s="26" t="str">
        <f t="shared" si="13"/>
        <v/>
      </c>
      <c r="AC134" s="26" t="str">
        <f>IF(MATCH(AB134,AB135:$AB$300,0),"0",1)</f>
        <v>0</v>
      </c>
    </row>
    <row r="135" spans="2:29" x14ac:dyDescent="0.35">
      <c r="B135" s="219"/>
      <c r="C135" s="216" t="s">
        <v>326</v>
      </c>
      <c r="D135" s="216"/>
      <c r="E135" s="220"/>
      <c r="F135" s="220"/>
      <c r="G135" s="220"/>
      <c r="H135" s="220" t="str">
        <f t="shared" si="7"/>
        <v/>
      </c>
      <c r="I135" s="460"/>
      <c r="J135" s="460"/>
      <c r="K135" s="460"/>
      <c r="L135" s="460"/>
      <c r="M135" s="460"/>
      <c r="N135" s="220"/>
      <c r="O135" s="220"/>
      <c r="P135" s="220"/>
      <c r="Q135" s="220"/>
      <c r="R135" s="221"/>
      <c r="S135" s="221"/>
      <c r="T135" s="316">
        <f t="shared" si="8"/>
        <v>0</v>
      </c>
      <c r="U135" s="217">
        <f t="shared" si="9"/>
        <v>0</v>
      </c>
      <c r="X135" s="26" t="str">
        <f t="shared" si="10"/>
        <v/>
      </c>
      <c r="Y135" s="21" t="str">
        <f>IF(MATCH(X135,X136:$X$300,0),"Si",1)</f>
        <v>Si</v>
      </c>
      <c r="Z135" s="26">
        <f t="shared" si="11"/>
        <v>0</v>
      </c>
      <c r="AA135" s="26">
        <f t="shared" si="12"/>
        <v>0</v>
      </c>
      <c r="AB135" s="26" t="str">
        <f t="shared" si="13"/>
        <v/>
      </c>
      <c r="AC135" s="26" t="str">
        <f>IF(MATCH(AB135,AB136:$AB$300,0),"0",1)</f>
        <v>0</v>
      </c>
    </row>
    <row r="136" spans="2:29" x14ac:dyDescent="0.35">
      <c r="B136" s="219"/>
      <c r="C136" s="216" t="s">
        <v>327</v>
      </c>
      <c r="D136" s="216"/>
      <c r="E136" s="220"/>
      <c r="F136" s="220"/>
      <c r="G136" s="220"/>
      <c r="H136" s="220" t="str">
        <f t="shared" si="7"/>
        <v/>
      </c>
      <c r="I136" s="460"/>
      <c r="J136" s="460"/>
      <c r="K136" s="460"/>
      <c r="L136" s="460"/>
      <c r="M136" s="460"/>
      <c r="N136" s="220"/>
      <c r="O136" s="220"/>
      <c r="P136" s="220"/>
      <c r="Q136" s="220"/>
      <c r="R136" s="221"/>
      <c r="S136" s="221"/>
      <c r="T136" s="316">
        <f t="shared" si="8"/>
        <v>0</v>
      </c>
      <c r="U136" s="217">
        <f t="shared" si="9"/>
        <v>0</v>
      </c>
      <c r="X136" s="26" t="str">
        <f t="shared" si="10"/>
        <v/>
      </c>
      <c r="Y136" s="21" t="str">
        <f>IF(MATCH(X136,X137:$X$300,0),"Si",1)</f>
        <v>Si</v>
      </c>
      <c r="Z136" s="26">
        <f t="shared" si="11"/>
        <v>0</v>
      </c>
      <c r="AA136" s="26">
        <f t="shared" si="12"/>
        <v>0</v>
      </c>
      <c r="AB136" s="26" t="str">
        <f t="shared" si="13"/>
        <v/>
      </c>
      <c r="AC136" s="26" t="str">
        <f>IF(MATCH(AB136,AB137:$AB$300,0),"0",1)</f>
        <v>0</v>
      </c>
    </row>
    <row r="137" spans="2:29" x14ac:dyDescent="0.35">
      <c r="B137" s="219"/>
      <c r="C137" s="216" t="s">
        <v>328</v>
      </c>
      <c r="D137" s="216"/>
      <c r="E137" s="220"/>
      <c r="F137" s="220"/>
      <c r="G137" s="220"/>
      <c r="H137" s="220" t="str">
        <f t="shared" si="7"/>
        <v/>
      </c>
      <c r="I137" s="460"/>
      <c r="J137" s="460"/>
      <c r="K137" s="460"/>
      <c r="L137" s="460"/>
      <c r="M137" s="460"/>
      <c r="N137" s="220"/>
      <c r="O137" s="220"/>
      <c r="P137" s="220"/>
      <c r="Q137" s="220"/>
      <c r="R137" s="221"/>
      <c r="S137" s="221"/>
      <c r="T137" s="316">
        <f t="shared" si="8"/>
        <v>0</v>
      </c>
      <c r="U137" s="217">
        <f t="shared" si="9"/>
        <v>0</v>
      </c>
      <c r="X137" s="26" t="str">
        <f t="shared" si="10"/>
        <v/>
      </c>
      <c r="Y137" s="21" t="str">
        <f>IF(MATCH(X137,X138:$X$300,0),"Si",1)</f>
        <v>Si</v>
      </c>
      <c r="Z137" s="26">
        <f t="shared" si="11"/>
        <v>0</v>
      </c>
      <c r="AA137" s="26">
        <f t="shared" si="12"/>
        <v>0</v>
      </c>
      <c r="AB137" s="26" t="str">
        <f t="shared" si="13"/>
        <v/>
      </c>
      <c r="AC137" s="26" t="str">
        <f>IF(MATCH(AB137,AB138:$AB$300,0),"0",1)</f>
        <v>0</v>
      </c>
    </row>
    <row r="138" spans="2:29" x14ac:dyDescent="0.35">
      <c r="B138" s="219"/>
      <c r="C138" s="216" t="s">
        <v>329</v>
      </c>
      <c r="D138" s="216"/>
      <c r="E138" s="220"/>
      <c r="F138" s="220"/>
      <c r="G138" s="220"/>
      <c r="H138" s="220" t="str">
        <f t="shared" si="7"/>
        <v/>
      </c>
      <c r="I138" s="460"/>
      <c r="J138" s="460"/>
      <c r="K138" s="460"/>
      <c r="L138" s="460"/>
      <c r="M138" s="460"/>
      <c r="N138" s="220"/>
      <c r="O138" s="220"/>
      <c r="P138" s="220"/>
      <c r="Q138" s="220"/>
      <c r="R138" s="221"/>
      <c r="S138" s="221"/>
      <c r="T138" s="316">
        <f t="shared" si="8"/>
        <v>0</v>
      </c>
      <c r="U138" s="217">
        <f t="shared" si="9"/>
        <v>0</v>
      </c>
      <c r="X138" s="26" t="str">
        <f t="shared" si="10"/>
        <v/>
      </c>
      <c r="Y138" s="21" t="str">
        <f>IF(MATCH(X138,X139:$X$300,0),"Si",1)</f>
        <v>Si</v>
      </c>
      <c r="Z138" s="26">
        <f t="shared" si="11"/>
        <v>0</v>
      </c>
      <c r="AA138" s="26">
        <f t="shared" si="12"/>
        <v>0</v>
      </c>
      <c r="AB138" s="26" t="str">
        <f t="shared" si="13"/>
        <v/>
      </c>
      <c r="AC138" s="26" t="str">
        <f>IF(MATCH(AB138,AB139:$AB$300,0),"0",1)</f>
        <v>0</v>
      </c>
    </row>
    <row r="139" spans="2:29" x14ac:dyDescent="0.35">
      <c r="B139" s="219"/>
      <c r="C139" s="216" t="s">
        <v>330</v>
      </c>
      <c r="D139" s="216"/>
      <c r="E139" s="220"/>
      <c r="F139" s="220"/>
      <c r="G139" s="220"/>
      <c r="H139" s="220" t="str">
        <f t="shared" si="7"/>
        <v/>
      </c>
      <c r="I139" s="460"/>
      <c r="J139" s="460"/>
      <c r="K139" s="460"/>
      <c r="L139" s="460"/>
      <c r="M139" s="460"/>
      <c r="N139" s="220"/>
      <c r="O139" s="220"/>
      <c r="P139" s="220"/>
      <c r="Q139" s="220"/>
      <c r="R139" s="221"/>
      <c r="S139" s="221"/>
      <c r="T139" s="316">
        <f t="shared" si="8"/>
        <v>0</v>
      </c>
      <c r="U139" s="217">
        <f t="shared" si="9"/>
        <v>0</v>
      </c>
      <c r="X139" s="26" t="str">
        <f t="shared" si="10"/>
        <v/>
      </c>
      <c r="Y139" s="21" t="str">
        <f>IF(MATCH(X139,X140:$X$300,0),"Si",1)</f>
        <v>Si</v>
      </c>
      <c r="Z139" s="26">
        <f t="shared" si="11"/>
        <v>0</v>
      </c>
      <c r="AA139" s="26">
        <f t="shared" si="12"/>
        <v>0</v>
      </c>
      <c r="AB139" s="26" t="str">
        <f t="shared" si="13"/>
        <v/>
      </c>
      <c r="AC139" s="26" t="str">
        <f>IF(MATCH(AB139,AB140:$AB$300,0),"0",1)</f>
        <v>0</v>
      </c>
    </row>
    <row r="140" spans="2:29" x14ac:dyDescent="0.35">
      <c r="B140" s="219"/>
      <c r="C140" s="216" t="s">
        <v>331</v>
      </c>
      <c r="D140" s="216"/>
      <c r="E140" s="220"/>
      <c r="F140" s="220"/>
      <c r="G140" s="220"/>
      <c r="H140" s="220" t="str">
        <f t="shared" si="7"/>
        <v/>
      </c>
      <c r="I140" s="460"/>
      <c r="J140" s="460"/>
      <c r="K140" s="460"/>
      <c r="L140" s="460"/>
      <c r="M140" s="460"/>
      <c r="N140" s="220"/>
      <c r="O140" s="220"/>
      <c r="P140" s="220"/>
      <c r="Q140" s="220"/>
      <c r="R140" s="221"/>
      <c r="S140" s="221"/>
      <c r="T140" s="316">
        <f t="shared" si="8"/>
        <v>0</v>
      </c>
      <c r="U140" s="217">
        <f t="shared" si="9"/>
        <v>0</v>
      </c>
      <c r="X140" s="26" t="str">
        <f t="shared" si="10"/>
        <v/>
      </c>
      <c r="Y140" s="21" t="str">
        <f>IF(MATCH(X140,X141:$X$300,0),"Si",1)</f>
        <v>Si</v>
      </c>
      <c r="Z140" s="26">
        <f t="shared" si="11"/>
        <v>0</v>
      </c>
      <c r="AA140" s="26">
        <f t="shared" si="12"/>
        <v>0</v>
      </c>
      <c r="AB140" s="26" t="str">
        <f t="shared" si="13"/>
        <v/>
      </c>
      <c r="AC140" s="26" t="str">
        <f>IF(MATCH(AB140,AB141:$AB$300,0),"0",1)</f>
        <v>0</v>
      </c>
    </row>
    <row r="141" spans="2:29" x14ac:dyDescent="0.35">
      <c r="B141" s="219"/>
      <c r="C141" s="216" t="s">
        <v>332</v>
      </c>
      <c r="D141" s="216"/>
      <c r="E141" s="220"/>
      <c r="F141" s="220"/>
      <c r="G141" s="220"/>
      <c r="H141" s="220" t="str">
        <f t="shared" si="7"/>
        <v/>
      </c>
      <c r="I141" s="460"/>
      <c r="J141" s="460"/>
      <c r="K141" s="460"/>
      <c r="L141" s="460"/>
      <c r="M141" s="460"/>
      <c r="N141" s="220"/>
      <c r="O141" s="220"/>
      <c r="P141" s="220"/>
      <c r="Q141" s="220"/>
      <c r="R141" s="221"/>
      <c r="S141" s="221"/>
      <c r="T141" s="316">
        <f t="shared" si="8"/>
        <v>0</v>
      </c>
      <c r="U141" s="217">
        <f t="shared" si="9"/>
        <v>0</v>
      </c>
      <c r="X141" s="26" t="str">
        <f t="shared" si="10"/>
        <v/>
      </c>
      <c r="Y141" s="21" t="str">
        <f>IF(MATCH(X141,X142:$X$300,0),"Si",1)</f>
        <v>Si</v>
      </c>
      <c r="Z141" s="26">
        <f t="shared" si="11"/>
        <v>0</v>
      </c>
      <c r="AA141" s="26">
        <f t="shared" si="12"/>
        <v>0</v>
      </c>
      <c r="AB141" s="26" t="str">
        <f t="shared" si="13"/>
        <v/>
      </c>
      <c r="AC141" s="26" t="str">
        <f>IF(MATCH(AB141,AB142:$AB$300,0),"0",1)</f>
        <v>0</v>
      </c>
    </row>
    <row r="142" spans="2:29" x14ac:dyDescent="0.35">
      <c r="B142" s="219"/>
      <c r="C142" s="216" t="s">
        <v>333</v>
      </c>
      <c r="D142" s="216"/>
      <c r="E142" s="220"/>
      <c r="F142" s="220"/>
      <c r="G142" s="220"/>
      <c r="H142" s="220" t="str">
        <f t="shared" si="7"/>
        <v/>
      </c>
      <c r="I142" s="460"/>
      <c r="J142" s="460"/>
      <c r="K142" s="460"/>
      <c r="L142" s="460"/>
      <c r="M142" s="460"/>
      <c r="N142" s="220"/>
      <c r="O142" s="220"/>
      <c r="P142" s="220"/>
      <c r="Q142" s="220"/>
      <c r="R142" s="221"/>
      <c r="S142" s="221"/>
      <c r="T142" s="316">
        <f t="shared" si="8"/>
        <v>0</v>
      </c>
      <c r="U142" s="217">
        <f t="shared" si="9"/>
        <v>0</v>
      </c>
      <c r="X142" s="26" t="str">
        <f t="shared" si="10"/>
        <v/>
      </c>
      <c r="Y142" s="21" t="str">
        <f>IF(MATCH(X142,X143:$X$300,0),"Si",1)</f>
        <v>Si</v>
      </c>
      <c r="Z142" s="26">
        <f t="shared" si="11"/>
        <v>0</v>
      </c>
      <c r="AA142" s="26">
        <f t="shared" si="12"/>
        <v>0</v>
      </c>
      <c r="AB142" s="26" t="str">
        <f t="shared" si="13"/>
        <v/>
      </c>
      <c r="AC142" s="26" t="str">
        <f>IF(MATCH(AB142,AB143:$AB$300,0),"0",1)</f>
        <v>0</v>
      </c>
    </row>
    <row r="143" spans="2:29" x14ac:dyDescent="0.35">
      <c r="B143" s="219"/>
      <c r="C143" s="216" t="s">
        <v>334</v>
      </c>
      <c r="D143" s="216"/>
      <c r="E143" s="220"/>
      <c r="F143" s="220"/>
      <c r="G143" s="220"/>
      <c r="H143" s="220" t="str">
        <f t="shared" si="7"/>
        <v/>
      </c>
      <c r="I143" s="460"/>
      <c r="J143" s="460"/>
      <c r="K143" s="460"/>
      <c r="L143" s="460"/>
      <c r="M143" s="460"/>
      <c r="N143" s="220"/>
      <c r="O143" s="220"/>
      <c r="P143" s="220"/>
      <c r="Q143" s="220"/>
      <c r="R143" s="221"/>
      <c r="S143" s="221"/>
      <c r="T143" s="316">
        <f t="shared" si="8"/>
        <v>0</v>
      </c>
      <c r="U143" s="217">
        <f t="shared" si="9"/>
        <v>0</v>
      </c>
      <c r="X143" s="26" t="str">
        <f t="shared" si="10"/>
        <v/>
      </c>
      <c r="Y143" s="21" t="str">
        <f>IF(MATCH(X143,X144:$X$300,0),"Si",1)</f>
        <v>Si</v>
      </c>
      <c r="Z143" s="26">
        <f t="shared" si="11"/>
        <v>0</v>
      </c>
      <c r="AA143" s="26">
        <f t="shared" si="12"/>
        <v>0</v>
      </c>
      <c r="AB143" s="26" t="str">
        <f t="shared" si="13"/>
        <v/>
      </c>
      <c r="AC143" s="26" t="str">
        <f>IF(MATCH(AB143,AB144:$AB$300,0),"0",1)</f>
        <v>0</v>
      </c>
    </row>
    <row r="144" spans="2:29" x14ac:dyDescent="0.35">
      <c r="B144" s="219"/>
      <c r="C144" s="216" t="s">
        <v>335</v>
      </c>
      <c r="D144" s="216"/>
      <c r="E144" s="220"/>
      <c r="F144" s="220"/>
      <c r="G144" s="220"/>
      <c r="H144" s="220" t="str">
        <f t="shared" si="7"/>
        <v/>
      </c>
      <c r="I144" s="460"/>
      <c r="J144" s="460"/>
      <c r="K144" s="460"/>
      <c r="L144" s="460"/>
      <c r="M144" s="460"/>
      <c r="N144" s="220"/>
      <c r="O144" s="220"/>
      <c r="P144" s="220"/>
      <c r="Q144" s="220"/>
      <c r="R144" s="221"/>
      <c r="S144" s="221"/>
      <c r="T144" s="316">
        <f t="shared" si="8"/>
        <v>0</v>
      </c>
      <c r="U144" s="217">
        <f t="shared" si="9"/>
        <v>0</v>
      </c>
      <c r="X144" s="26" t="str">
        <f t="shared" si="10"/>
        <v/>
      </c>
      <c r="Y144" s="21" t="str">
        <f>IF(MATCH(X144,X145:$X$300,0),"Si",1)</f>
        <v>Si</v>
      </c>
      <c r="Z144" s="26">
        <f t="shared" si="11"/>
        <v>0</v>
      </c>
      <c r="AA144" s="26">
        <f t="shared" si="12"/>
        <v>0</v>
      </c>
      <c r="AB144" s="26" t="str">
        <f t="shared" si="13"/>
        <v/>
      </c>
      <c r="AC144" s="26" t="str">
        <f>IF(MATCH(AB144,AB145:$AB$300,0),"0",1)</f>
        <v>0</v>
      </c>
    </row>
    <row r="145" spans="2:29" x14ac:dyDescent="0.35">
      <c r="B145" s="219"/>
      <c r="C145" s="216" t="s">
        <v>336</v>
      </c>
      <c r="D145" s="216"/>
      <c r="E145" s="220"/>
      <c r="F145" s="220"/>
      <c r="G145" s="220"/>
      <c r="H145" s="220" t="str">
        <f t="shared" si="7"/>
        <v/>
      </c>
      <c r="I145" s="460"/>
      <c r="J145" s="460"/>
      <c r="K145" s="460"/>
      <c r="L145" s="460"/>
      <c r="M145" s="460"/>
      <c r="N145" s="220"/>
      <c r="O145" s="220"/>
      <c r="P145" s="220"/>
      <c r="Q145" s="220"/>
      <c r="R145" s="221"/>
      <c r="S145" s="221"/>
      <c r="T145" s="316">
        <f t="shared" si="8"/>
        <v>0</v>
      </c>
      <c r="U145" s="217">
        <f t="shared" si="9"/>
        <v>0</v>
      </c>
      <c r="X145" s="26" t="str">
        <f t="shared" si="10"/>
        <v/>
      </c>
      <c r="Y145" s="21" t="str">
        <f>IF(MATCH(X145,X146:$X$300,0),"Si",1)</f>
        <v>Si</v>
      </c>
      <c r="Z145" s="26">
        <f t="shared" si="11"/>
        <v>0</v>
      </c>
      <c r="AA145" s="26">
        <f t="shared" si="12"/>
        <v>0</v>
      </c>
      <c r="AB145" s="26" t="str">
        <f t="shared" si="13"/>
        <v/>
      </c>
      <c r="AC145" s="26" t="str">
        <f>IF(MATCH(AB145,AB146:$AB$300,0),"0",1)</f>
        <v>0</v>
      </c>
    </row>
    <row r="146" spans="2:29" x14ac:dyDescent="0.35">
      <c r="B146" s="219"/>
      <c r="C146" s="216" t="s">
        <v>337</v>
      </c>
      <c r="D146" s="216"/>
      <c r="E146" s="220"/>
      <c r="F146" s="220"/>
      <c r="G146" s="220"/>
      <c r="H146" s="220" t="str">
        <f t="shared" ref="H146:H209" si="14">IF(G146=0,"",IF(G146&lt;&gt;"Error","No",""))</f>
        <v/>
      </c>
      <c r="I146" s="460"/>
      <c r="J146" s="460"/>
      <c r="K146" s="460"/>
      <c r="L146" s="460"/>
      <c r="M146" s="460"/>
      <c r="N146" s="220"/>
      <c r="O146" s="220"/>
      <c r="P146" s="220"/>
      <c r="Q146" s="220"/>
      <c r="R146" s="221"/>
      <c r="S146" s="221"/>
      <c r="T146" s="316">
        <f t="shared" si="8"/>
        <v>0</v>
      </c>
      <c r="U146" s="217">
        <f t="shared" si="9"/>
        <v>0</v>
      </c>
      <c r="X146" s="26" t="str">
        <f t="shared" si="10"/>
        <v/>
      </c>
      <c r="Y146" s="21" t="str">
        <f>IF(MATCH(X146,X147:$X$300,0),"Si",1)</f>
        <v>Si</v>
      </c>
      <c r="Z146" s="26">
        <f t="shared" si="11"/>
        <v>0</v>
      </c>
      <c r="AA146" s="26">
        <f t="shared" si="12"/>
        <v>0</v>
      </c>
      <c r="AB146" s="26" t="str">
        <f t="shared" si="13"/>
        <v/>
      </c>
      <c r="AC146" s="26" t="str">
        <f>IF(MATCH(AB146,AB147:$AB$300,0),"0",1)</f>
        <v>0</v>
      </c>
    </row>
    <row r="147" spans="2:29" x14ac:dyDescent="0.35">
      <c r="B147" s="219"/>
      <c r="C147" s="216" t="s">
        <v>338</v>
      </c>
      <c r="D147" s="216"/>
      <c r="E147" s="220"/>
      <c r="F147" s="220"/>
      <c r="G147" s="220"/>
      <c r="H147" s="220" t="str">
        <f t="shared" si="14"/>
        <v/>
      </c>
      <c r="I147" s="460"/>
      <c r="J147" s="460"/>
      <c r="K147" s="460"/>
      <c r="L147" s="460"/>
      <c r="M147" s="460"/>
      <c r="N147" s="220"/>
      <c r="O147" s="220"/>
      <c r="P147" s="220"/>
      <c r="Q147" s="220"/>
      <c r="R147" s="221"/>
      <c r="S147" s="221"/>
      <c r="T147" s="316">
        <f t="shared" ref="T147:T210" si="15">IF(S147=0,0,IF(S147&lt;R147,"Error en fecha solución",IFERROR(AC147,NETWORKDAYS(R147,S147)-1)))</f>
        <v>0</v>
      </c>
      <c r="U147" s="217">
        <f t="shared" ref="U147:U210" si="16">IFERROR(T147*8,"Error")</f>
        <v>0</v>
      </c>
      <c r="X147" s="26" t="str">
        <f t="shared" ref="X147:X210" si="17">CONCATENATE(H147,O147,R147,S147)</f>
        <v/>
      </c>
      <c r="Y147" s="21" t="str">
        <f>IF(MATCH(X147,X148:$X$300,0),"Si",1)</f>
        <v>Si</v>
      </c>
      <c r="Z147" s="26">
        <f t="shared" ref="Z147:Z210" si="18">IF(S147=0,0,IF(S147&lt;R147,"Error en fecha solución",IF(Y147="Si",0,IFERROR(Y147,NETWORKDAYS(R147,S147)-1))))</f>
        <v>0</v>
      </c>
      <c r="AA147" s="26">
        <f t="shared" ref="AA147:AA210" si="19">IF(S147=0,0,IF(S147&lt;R147,"Error en fecha solución",IFERROR(Z147,NETWORKDAYS(R147,S147)-1)))</f>
        <v>0</v>
      </c>
      <c r="AB147" s="26" t="str">
        <f t="shared" ref="AB147:AB210" si="20">CONCATENATE(R147,S147)</f>
        <v/>
      </c>
      <c r="AC147" s="26" t="str">
        <f>IF(MATCH(AB147,AB148:$AB$300,0),"0",1)</f>
        <v>0</v>
      </c>
    </row>
    <row r="148" spans="2:29" x14ac:dyDescent="0.35">
      <c r="B148" s="219"/>
      <c r="C148" s="216" t="s">
        <v>339</v>
      </c>
      <c r="D148" s="216"/>
      <c r="E148" s="220"/>
      <c r="F148" s="220"/>
      <c r="G148" s="220"/>
      <c r="H148" s="220" t="str">
        <f t="shared" si="14"/>
        <v/>
      </c>
      <c r="I148" s="460"/>
      <c r="J148" s="460"/>
      <c r="K148" s="460"/>
      <c r="L148" s="460"/>
      <c r="M148" s="460"/>
      <c r="N148" s="220"/>
      <c r="O148" s="220"/>
      <c r="P148" s="220"/>
      <c r="Q148" s="220"/>
      <c r="R148" s="221"/>
      <c r="S148" s="221"/>
      <c r="T148" s="316">
        <f t="shared" si="15"/>
        <v>0</v>
      </c>
      <c r="U148" s="217">
        <f t="shared" si="16"/>
        <v>0</v>
      </c>
      <c r="X148" s="26" t="str">
        <f t="shared" si="17"/>
        <v/>
      </c>
      <c r="Y148" s="21" t="str">
        <f>IF(MATCH(X148,X149:$X$300,0),"Si",1)</f>
        <v>Si</v>
      </c>
      <c r="Z148" s="26">
        <f t="shared" si="18"/>
        <v>0</v>
      </c>
      <c r="AA148" s="26">
        <f t="shared" si="19"/>
        <v>0</v>
      </c>
      <c r="AB148" s="26" t="str">
        <f t="shared" si="20"/>
        <v/>
      </c>
      <c r="AC148" s="26" t="str">
        <f>IF(MATCH(AB148,AB149:$AB$300,0),"0",1)</f>
        <v>0</v>
      </c>
    </row>
    <row r="149" spans="2:29" x14ac:dyDescent="0.35">
      <c r="B149" s="219"/>
      <c r="C149" s="216" t="s">
        <v>340</v>
      </c>
      <c r="D149" s="216"/>
      <c r="E149" s="220"/>
      <c r="F149" s="220"/>
      <c r="G149" s="220"/>
      <c r="H149" s="220" t="str">
        <f t="shared" si="14"/>
        <v/>
      </c>
      <c r="I149" s="460"/>
      <c r="J149" s="460"/>
      <c r="K149" s="460"/>
      <c r="L149" s="460"/>
      <c r="M149" s="460"/>
      <c r="N149" s="220"/>
      <c r="O149" s="220"/>
      <c r="P149" s="220"/>
      <c r="Q149" s="220"/>
      <c r="R149" s="221"/>
      <c r="S149" s="221"/>
      <c r="T149" s="316">
        <f t="shared" si="15"/>
        <v>0</v>
      </c>
      <c r="U149" s="217">
        <f t="shared" si="16"/>
        <v>0</v>
      </c>
      <c r="X149" s="26" t="str">
        <f t="shared" si="17"/>
        <v/>
      </c>
      <c r="Y149" s="21" t="str">
        <f>IF(MATCH(X149,X150:$X$300,0),"Si",1)</f>
        <v>Si</v>
      </c>
      <c r="Z149" s="26">
        <f t="shared" si="18"/>
        <v>0</v>
      </c>
      <c r="AA149" s="26">
        <f t="shared" si="19"/>
        <v>0</v>
      </c>
      <c r="AB149" s="26" t="str">
        <f t="shared" si="20"/>
        <v/>
      </c>
      <c r="AC149" s="26" t="str">
        <f>IF(MATCH(AB149,AB150:$AB$300,0),"0",1)</f>
        <v>0</v>
      </c>
    </row>
    <row r="150" spans="2:29" x14ac:dyDescent="0.35">
      <c r="B150" s="219"/>
      <c r="C150" s="216" t="s">
        <v>341</v>
      </c>
      <c r="D150" s="216"/>
      <c r="E150" s="220"/>
      <c r="F150" s="220"/>
      <c r="G150" s="220"/>
      <c r="H150" s="220" t="str">
        <f t="shared" si="14"/>
        <v/>
      </c>
      <c r="I150" s="460"/>
      <c r="J150" s="460"/>
      <c r="K150" s="460"/>
      <c r="L150" s="460"/>
      <c r="M150" s="460"/>
      <c r="N150" s="220"/>
      <c r="O150" s="220"/>
      <c r="P150" s="220"/>
      <c r="Q150" s="220"/>
      <c r="R150" s="221"/>
      <c r="S150" s="221"/>
      <c r="T150" s="316">
        <f t="shared" si="15"/>
        <v>0</v>
      </c>
      <c r="U150" s="217">
        <f t="shared" si="16"/>
        <v>0</v>
      </c>
      <c r="X150" s="26" t="str">
        <f t="shared" si="17"/>
        <v/>
      </c>
      <c r="Y150" s="21" t="str">
        <f>IF(MATCH(X150,X151:$X$300,0),"Si",1)</f>
        <v>Si</v>
      </c>
      <c r="Z150" s="26">
        <f t="shared" si="18"/>
        <v>0</v>
      </c>
      <c r="AA150" s="26">
        <f t="shared" si="19"/>
        <v>0</v>
      </c>
      <c r="AB150" s="26" t="str">
        <f t="shared" si="20"/>
        <v/>
      </c>
      <c r="AC150" s="26" t="str">
        <f>IF(MATCH(AB150,AB151:$AB$300,0),"0",1)</f>
        <v>0</v>
      </c>
    </row>
    <row r="151" spans="2:29" x14ac:dyDescent="0.35">
      <c r="B151" s="219"/>
      <c r="C151" s="216" t="s">
        <v>342</v>
      </c>
      <c r="D151" s="216"/>
      <c r="E151" s="220"/>
      <c r="F151" s="220"/>
      <c r="G151" s="220"/>
      <c r="H151" s="220" t="str">
        <f t="shared" si="14"/>
        <v/>
      </c>
      <c r="I151" s="460"/>
      <c r="J151" s="460"/>
      <c r="K151" s="460"/>
      <c r="L151" s="460"/>
      <c r="M151" s="460"/>
      <c r="N151" s="220"/>
      <c r="O151" s="220"/>
      <c r="P151" s="220"/>
      <c r="Q151" s="220"/>
      <c r="R151" s="221"/>
      <c r="S151" s="221"/>
      <c r="T151" s="316">
        <f t="shared" si="15"/>
        <v>0</v>
      </c>
      <c r="U151" s="217">
        <f t="shared" si="16"/>
        <v>0</v>
      </c>
      <c r="X151" s="26" t="str">
        <f t="shared" si="17"/>
        <v/>
      </c>
      <c r="Y151" s="21" t="str">
        <f>IF(MATCH(X151,X152:$X$300,0),"Si",1)</f>
        <v>Si</v>
      </c>
      <c r="Z151" s="26">
        <f t="shared" si="18"/>
        <v>0</v>
      </c>
      <c r="AA151" s="26">
        <f t="shared" si="19"/>
        <v>0</v>
      </c>
      <c r="AB151" s="26" t="str">
        <f t="shared" si="20"/>
        <v/>
      </c>
      <c r="AC151" s="26" t="str">
        <f>IF(MATCH(AB151,AB152:$AB$300,0),"0",1)</f>
        <v>0</v>
      </c>
    </row>
    <row r="152" spans="2:29" x14ac:dyDescent="0.35">
      <c r="B152" s="219"/>
      <c r="C152" s="216" t="s">
        <v>343</v>
      </c>
      <c r="D152" s="216"/>
      <c r="E152" s="220"/>
      <c r="F152" s="220"/>
      <c r="G152" s="220"/>
      <c r="H152" s="220" t="str">
        <f t="shared" si="14"/>
        <v/>
      </c>
      <c r="I152" s="460"/>
      <c r="J152" s="460"/>
      <c r="K152" s="460"/>
      <c r="L152" s="460"/>
      <c r="M152" s="460"/>
      <c r="N152" s="220"/>
      <c r="O152" s="220"/>
      <c r="P152" s="220"/>
      <c r="Q152" s="220"/>
      <c r="R152" s="221"/>
      <c r="S152" s="221"/>
      <c r="T152" s="316">
        <f t="shared" si="15"/>
        <v>0</v>
      </c>
      <c r="U152" s="217">
        <f t="shared" si="16"/>
        <v>0</v>
      </c>
      <c r="X152" s="26" t="str">
        <f t="shared" si="17"/>
        <v/>
      </c>
      <c r="Y152" s="21" t="str">
        <f>IF(MATCH(X152,X153:$X$300,0),"Si",1)</f>
        <v>Si</v>
      </c>
      <c r="Z152" s="26">
        <f t="shared" si="18"/>
        <v>0</v>
      </c>
      <c r="AA152" s="26">
        <f t="shared" si="19"/>
        <v>0</v>
      </c>
      <c r="AB152" s="26" t="str">
        <f t="shared" si="20"/>
        <v/>
      </c>
      <c r="AC152" s="26" t="str">
        <f>IF(MATCH(AB152,AB153:$AB$300,0),"0",1)</f>
        <v>0</v>
      </c>
    </row>
    <row r="153" spans="2:29" x14ac:dyDescent="0.35">
      <c r="B153" s="219"/>
      <c r="C153" s="216" t="s">
        <v>344</v>
      </c>
      <c r="D153" s="216"/>
      <c r="E153" s="220"/>
      <c r="F153" s="220"/>
      <c r="G153" s="220"/>
      <c r="H153" s="220" t="str">
        <f t="shared" si="14"/>
        <v/>
      </c>
      <c r="I153" s="460"/>
      <c r="J153" s="460"/>
      <c r="K153" s="460"/>
      <c r="L153" s="460"/>
      <c r="M153" s="460"/>
      <c r="N153" s="220"/>
      <c r="O153" s="220"/>
      <c r="P153" s="220"/>
      <c r="Q153" s="220"/>
      <c r="R153" s="221"/>
      <c r="S153" s="221"/>
      <c r="T153" s="316">
        <f t="shared" si="15"/>
        <v>0</v>
      </c>
      <c r="U153" s="217">
        <f t="shared" si="16"/>
        <v>0</v>
      </c>
      <c r="X153" s="26" t="str">
        <f t="shared" si="17"/>
        <v/>
      </c>
      <c r="Y153" s="21" t="str">
        <f>IF(MATCH(X153,X154:$X$300,0),"Si",1)</f>
        <v>Si</v>
      </c>
      <c r="Z153" s="26">
        <f t="shared" si="18"/>
        <v>0</v>
      </c>
      <c r="AA153" s="26">
        <f t="shared" si="19"/>
        <v>0</v>
      </c>
      <c r="AB153" s="26" t="str">
        <f t="shared" si="20"/>
        <v/>
      </c>
      <c r="AC153" s="26" t="str">
        <f>IF(MATCH(AB153,AB154:$AB$300,0),"0",1)</f>
        <v>0</v>
      </c>
    </row>
    <row r="154" spans="2:29" x14ac:dyDescent="0.35">
      <c r="B154" s="219"/>
      <c r="C154" s="216" t="s">
        <v>345</v>
      </c>
      <c r="D154" s="216"/>
      <c r="E154" s="220"/>
      <c r="F154" s="220"/>
      <c r="G154" s="220"/>
      <c r="H154" s="220" t="str">
        <f t="shared" si="14"/>
        <v/>
      </c>
      <c r="I154" s="460"/>
      <c r="J154" s="460"/>
      <c r="K154" s="460"/>
      <c r="L154" s="460"/>
      <c r="M154" s="460"/>
      <c r="N154" s="220"/>
      <c r="O154" s="220"/>
      <c r="P154" s="220"/>
      <c r="Q154" s="220"/>
      <c r="R154" s="221"/>
      <c r="S154" s="221"/>
      <c r="T154" s="316">
        <f t="shared" si="15"/>
        <v>0</v>
      </c>
      <c r="U154" s="217">
        <f t="shared" si="16"/>
        <v>0</v>
      </c>
      <c r="X154" s="26" t="str">
        <f t="shared" si="17"/>
        <v/>
      </c>
      <c r="Y154" s="21" t="str">
        <f>IF(MATCH(X154,X155:$X$300,0),"Si",1)</f>
        <v>Si</v>
      </c>
      <c r="Z154" s="26">
        <f t="shared" si="18"/>
        <v>0</v>
      </c>
      <c r="AA154" s="26">
        <f t="shared" si="19"/>
        <v>0</v>
      </c>
      <c r="AB154" s="26" t="str">
        <f t="shared" si="20"/>
        <v/>
      </c>
      <c r="AC154" s="26" t="str">
        <f>IF(MATCH(AB154,AB155:$AB$300,0),"0",1)</f>
        <v>0</v>
      </c>
    </row>
    <row r="155" spans="2:29" x14ac:dyDescent="0.35">
      <c r="B155" s="219"/>
      <c r="C155" s="216" t="s">
        <v>346</v>
      </c>
      <c r="D155" s="216"/>
      <c r="E155" s="220"/>
      <c r="F155" s="220"/>
      <c r="G155" s="220"/>
      <c r="H155" s="220" t="str">
        <f t="shared" si="14"/>
        <v/>
      </c>
      <c r="I155" s="460"/>
      <c r="J155" s="460"/>
      <c r="K155" s="460"/>
      <c r="L155" s="460"/>
      <c r="M155" s="460"/>
      <c r="N155" s="220"/>
      <c r="O155" s="220"/>
      <c r="P155" s="220"/>
      <c r="Q155" s="220"/>
      <c r="R155" s="221"/>
      <c r="S155" s="221"/>
      <c r="T155" s="316">
        <f t="shared" si="15"/>
        <v>0</v>
      </c>
      <c r="U155" s="217">
        <f t="shared" si="16"/>
        <v>0</v>
      </c>
      <c r="X155" s="26" t="str">
        <f t="shared" si="17"/>
        <v/>
      </c>
      <c r="Y155" s="21" t="str">
        <f>IF(MATCH(X155,X156:$X$300,0),"Si",1)</f>
        <v>Si</v>
      </c>
      <c r="Z155" s="26">
        <f t="shared" si="18"/>
        <v>0</v>
      </c>
      <c r="AA155" s="26">
        <f t="shared" si="19"/>
        <v>0</v>
      </c>
      <c r="AB155" s="26" t="str">
        <f t="shared" si="20"/>
        <v/>
      </c>
      <c r="AC155" s="26" t="str">
        <f>IF(MATCH(AB155,AB156:$AB$300,0),"0",1)</f>
        <v>0</v>
      </c>
    </row>
    <row r="156" spans="2:29" x14ac:dyDescent="0.35">
      <c r="B156" s="219"/>
      <c r="C156" s="216" t="s">
        <v>347</v>
      </c>
      <c r="D156" s="216"/>
      <c r="E156" s="220"/>
      <c r="F156" s="220"/>
      <c r="G156" s="220"/>
      <c r="H156" s="220" t="str">
        <f t="shared" si="14"/>
        <v/>
      </c>
      <c r="I156" s="460"/>
      <c r="J156" s="460"/>
      <c r="K156" s="460"/>
      <c r="L156" s="460"/>
      <c r="M156" s="460"/>
      <c r="N156" s="220"/>
      <c r="O156" s="220"/>
      <c r="P156" s="220"/>
      <c r="Q156" s="220"/>
      <c r="R156" s="221"/>
      <c r="S156" s="221"/>
      <c r="T156" s="316">
        <f t="shared" si="15"/>
        <v>0</v>
      </c>
      <c r="U156" s="217">
        <f t="shared" si="16"/>
        <v>0</v>
      </c>
      <c r="X156" s="26" t="str">
        <f t="shared" si="17"/>
        <v/>
      </c>
      <c r="Y156" s="21" t="str">
        <f>IF(MATCH(X156,X157:$X$300,0),"Si",1)</f>
        <v>Si</v>
      </c>
      <c r="Z156" s="26">
        <f t="shared" si="18"/>
        <v>0</v>
      </c>
      <c r="AA156" s="26">
        <f t="shared" si="19"/>
        <v>0</v>
      </c>
      <c r="AB156" s="26" t="str">
        <f t="shared" si="20"/>
        <v/>
      </c>
      <c r="AC156" s="26" t="str">
        <f>IF(MATCH(AB156,AB157:$AB$300,0),"0",1)</f>
        <v>0</v>
      </c>
    </row>
    <row r="157" spans="2:29" x14ac:dyDescent="0.35">
      <c r="B157" s="219"/>
      <c r="C157" s="216" t="s">
        <v>348</v>
      </c>
      <c r="D157" s="216"/>
      <c r="E157" s="220"/>
      <c r="F157" s="220"/>
      <c r="G157" s="220"/>
      <c r="H157" s="220" t="str">
        <f t="shared" si="14"/>
        <v/>
      </c>
      <c r="I157" s="460"/>
      <c r="J157" s="460"/>
      <c r="K157" s="460"/>
      <c r="L157" s="460"/>
      <c r="M157" s="460"/>
      <c r="N157" s="220"/>
      <c r="O157" s="220"/>
      <c r="P157" s="220"/>
      <c r="Q157" s="220"/>
      <c r="R157" s="221"/>
      <c r="S157" s="221"/>
      <c r="T157" s="316">
        <f t="shared" si="15"/>
        <v>0</v>
      </c>
      <c r="U157" s="217">
        <f t="shared" si="16"/>
        <v>0</v>
      </c>
      <c r="X157" s="26" t="str">
        <f t="shared" si="17"/>
        <v/>
      </c>
      <c r="Y157" s="21" t="str">
        <f>IF(MATCH(X157,X158:$X$300,0),"Si",1)</f>
        <v>Si</v>
      </c>
      <c r="Z157" s="26">
        <f t="shared" si="18"/>
        <v>0</v>
      </c>
      <c r="AA157" s="26">
        <f t="shared" si="19"/>
        <v>0</v>
      </c>
      <c r="AB157" s="26" t="str">
        <f t="shared" si="20"/>
        <v/>
      </c>
      <c r="AC157" s="26" t="str">
        <f>IF(MATCH(AB157,AB158:$AB$300,0),"0",1)</f>
        <v>0</v>
      </c>
    </row>
    <row r="158" spans="2:29" x14ac:dyDescent="0.35">
      <c r="B158" s="219"/>
      <c r="C158" s="216" t="s">
        <v>349</v>
      </c>
      <c r="D158" s="216"/>
      <c r="E158" s="220"/>
      <c r="F158" s="220"/>
      <c r="G158" s="220"/>
      <c r="H158" s="220" t="str">
        <f t="shared" si="14"/>
        <v/>
      </c>
      <c r="I158" s="460"/>
      <c r="J158" s="460"/>
      <c r="K158" s="460"/>
      <c r="L158" s="460"/>
      <c r="M158" s="460"/>
      <c r="N158" s="220"/>
      <c r="O158" s="220"/>
      <c r="P158" s="220"/>
      <c r="Q158" s="220"/>
      <c r="R158" s="221"/>
      <c r="S158" s="221"/>
      <c r="T158" s="316">
        <f t="shared" si="15"/>
        <v>0</v>
      </c>
      <c r="U158" s="217">
        <f t="shared" si="16"/>
        <v>0</v>
      </c>
      <c r="X158" s="26" t="str">
        <f t="shared" si="17"/>
        <v/>
      </c>
      <c r="Y158" s="21" t="str">
        <f>IF(MATCH(X158,X159:$X$300,0),"Si",1)</f>
        <v>Si</v>
      </c>
      <c r="Z158" s="26">
        <f t="shared" si="18"/>
        <v>0</v>
      </c>
      <c r="AA158" s="26">
        <f t="shared" si="19"/>
        <v>0</v>
      </c>
      <c r="AB158" s="26" t="str">
        <f t="shared" si="20"/>
        <v/>
      </c>
      <c r="AC158" s="26" t="str">
        <f>IF(MATCH(AB158,AB159:$AB$300,0),"0",1)</f>
        <v>0</v>
      </c>
    </row>
    <row r="159" spans="2:29" x14ac:dyDescent="0.35">
      <c r="B159" s="219"/>
      <c r="C159" s="216" t="s">
        <v>350</v>
      </c>
      <c r="D159" s="216"/>
      <c r="E159" s="220"/>
      <c r="F159" s="220"/>
      <c r="G159" s="220"/>
      <c r="H159" s="220" t="str">
        <f t="shared" si="14"/>
        <v/>
      </c>
      <c r="I159" s="460"/>
      <c r="J159" s="460"/>
      <c r="K159" s="460"/>
      <c r="L159" s="460"/>
      <c r="M159" s="460"/>
      <c r="N159" s="220"/>
      <c r="O159" s="220"/>
      <c r="P159" s="220"/>
      <c r="Q159" s="220"/>
      <c r="R159" s="221"/>
      <c r="S159" s="221"/>
      <c r="T159" s="316">
        <f t="shared" si="15"/>
        <v>0</v>
      </c>
      <c r="U159" s="217">
        <f t="shared" si="16"/>
        <v>0</v>
      </c>
      <c r="X159" s="26" t="str">
        <f t="shared" si="17"/>
        <v/>
      </c>
      <c r="Y159" s="21" t="str">
        <f>IF(MATCH(X159,X160:$X$300,0),"Si",1)</f>
        <v>Si</v>
      </c>
      <c r="Z159" s="26">
        <f t="shared" si="18"/>
        <v>0</v>
      </c>
      <c r="AA159" s="26">
        <f t="shared" si="19"/>
        <v>0</v>
      </c>
      <c r="AB159" s="26" t="str">
        <f t="shared" si="20"/>
        <v/>
      </c>
      <c r="AC159" s="26" t="str">
        <f>IF(MATCH(AB159,AB160:$AB$300,0),"0",1)</f>
        <v>0</v>
      </c>
    </row>
    <row r="160" spans="2:29" x14ac:dyDescent="0.35">
      <c r="B160" s="219"/>
      <c r="C160" s="216" t="s">
        <v>351</v>
      </c>
      <c r="D160" s="216"/>
      <c r="E160" s="220"/>
      <c r="F160" s="220"/>
      <c r="G160" s="220"/>
      <c r="H160" s="220" t="str">
        <f t="shared" si="14"/>
        <v/>
      </c>
      <c r="I160" s="460"/>
      <c r="J160" s="460"/>
      <c r="K160" s="460"/>
      <c r="L160" s="460"/>
      <c r="M160" s="460"/>
      <c r="N160" s="220"/>
      <c r="O160" s="220"/>
      <c r="P160" s="220"/>
      <c r="Q160" s="220"/>
      <c r="R160" s="221"/>
      <c r="S160" s="221"/>
      <c r="T160" s="316">
        <f t="shared" si="15"/>
        <v>0</v>
      </c>
      <c r="U160" s="217">
        <f t="shared" si="16"/>
        <v>0</v>
      </c>
      <c r="X160" s="26" t="str">
        <f t="shared" si="17"/>
        <v/>
      </c>
      <c r="Y160" s="21" t="str">
        <f>IF(MATCH(X160,X161:$X$300,0),"Si",1)</f>
        <v>Si</v>
      </c>
      <c r="Z160" s="26">
        <f t="shared" si="18"/>
        <v>0</v>
      </c>
      <c r="AA160" s="26">
        <f t="shared" si="19"/>
        <v>0</v>
      </c>
      <c r="AB160" s="26" t="str">
        <f t="shared" si="20"/>
        <v/>
      </c>
      <c r="AC160" s="26" t="str">
        <f>IF(MATCH(AB160,AB161:$AB$300,0),"0",1)</f>
        <v>0</v>
      </c>
    </row>
    <row r="161" spans="2:29" x14ac:dyDescent="0.35">
      <c r="B161" s="219"/>
      <c r="C161" s="216" t="s">
        <v>352</v>
      </c>
      <c r="D161" s="216"/>
      <c r="E161" s="220"/>
      <c r="F161" s="220"/>
      <c r="G161" s="220"/>
      <c r="H161" s="220" t="str">
        <f t="shared" si="14"/>
        <v/>
      </c>
      <c r="I161" s="460"/>
      <c r="J161" s="460"/>
      <c r="K161" s="460"/>
      <c r="L161" s="460"/>
      <c r="M161" s="460"/>
      <c r="N161" s="220"/>
      <c r="O161" s="220"/>
      <c r="P161" s="220"/>
      <c r="Q161" s="220"/>
      <c r="R161" s="221"/>
      <c r="S161" s="221"/>
      <c r="T161" s="316">
        <f t="shared" si="15"/>
        <v>0</v>
      </c>
      <c r="U161" s="217">
        <f t="shared" si="16"/>
        <v>0</v>
      </c>
      <c r="X161" s="26" t="str">
        <f t="shared" si="17"/>
        <v/>
      </c>
      <c r="Y161" s="21" t="str">
        <f>IF(MATCH(X161,X162:$X$300,0),"Si",1)</f>
        <v>Si</v>
      </c>
      <c r="Z161" s="26">
        <f t="shared" si="18"/>
        <v>0</v>
      </c>
      <c r="AA161" s="26">
        <f t="shared" si="19"/>
        <v>0</v>
      </c>
      <c r="AB161" s="26" t="str">
        <f t="shared" si="20"/>
        <v/>
      </c>
      <c r="AC161" s="26" t="str">
        <f>IF(MATCH(AB161,AB162:$AB$300,0),"0",1)</f>
        <v>0</v>
      </c>
    </row>
    <row r="162" spans="2:29" x14ac:dyDescent="0.35">
      <c r="B162" s="219"/>
      <c r="C162" s="216" t="s">
        <v>353</v>
      </c>
      <c r="D162" s="216"/>
      <c r="E162" s="220"/>
      <c r="F162" s="220"/>
      <c r="G162" s="220"/>
      <c r="H162" s="220" t="str">
        <f t="shared" si="14"/>
        <v/>
      </c>
      <c r="I162" s="460"/>
      <c r="J162" s="460"/>
      <c r="K162" s="460"/>
      <c r="L162" s="460"/>
      <c r="M162" s="460"/>
      <c r="N162" s="220"/>
      <c r="O162" s="220"/>
      <c r="P162" s="220"/>
      <c r="Q162" s="220"/>
      <c r="R162" s="221"/>
      <c r="S162" s="221"/>
      <c r="T162" s="316">
        <f t="shared" si="15"/>
        <v>0</v>
      </c>
      <c r="U162" s="217">
        <f t="shared" si="16"/>
        <v>0</v>
      </c>
      <c r="X162" s="26" t="str">
        <f t="shared" si="17"/>
        <v/>
      </c>
      <c r="Y162" s="21" t="str">
        <f>IF(MATCH(X162,X163:$X$300,0),"Si",1)</f>
        <v>Si</v>
      </c>
      <c r="Z162" s="26">
        <f t="shared" si="18"/>
        <v>0</v>
      </c>
      <c r="AA162" s="26">
        <f t="shared" si="19"/>
        <v>0</v>
      </c>
      <c r="AB162" s="26" t="str">
        <f t="shared" si="20"/>
        <v/>
      </c>
      <c r="AC162" s="26" t="str">
        <f>IF(MATCH(AB162,AB163:$AB$300,0),"0",1)</f>
        <v>0</v>
      </c>
    </row>
    <row r="163" spans="2:29" x14ac:dyDescent="0.35">
      <c r="B163" s="219"/>
      <c r="C163" s="216" t="s">
        <v>354</v>
      </c>
      <c r="D163" s="216"/>
      <c r="E163" s="220"/>
      <c r="F163" s="220"/>
      <c r="G163" s="220"/>
      <c r="H163" s="220" t="str">
        <f t="shared" si="14"/>
        <v/>
      </c>
      <c r="I163" s="460"/>
      <c r="J163" s="460"/>
      <c r="K163" s="460"/>
      <c r="L163" s="460"/>
      <c r="M163" s="460"/>
      <c r="N163" s="220"/>
      <c r="O163" s="220"/>
      <c r="P163" s="220"/>
      <c r="Q163" s="220"/>
      <c r="R163" s="221"/>
      <c r="S163" s="221"/>
      <c r="T163" s="316">
        <f t="shared" si="15"/>
        <v>0</v>
      </c>
      <c r="U163" s="217">
        <f t="shared" si="16"/>
        <v>0</v>
      </c>
      <c r="X163" s="26" t="str">
        <f t="shared" si="17"/>
        <v/>
      </c>
      <c r="Y163" s="21" t="str">
        <f>IF(MATCH(X163,X164:$X$300,0),"Si",1)</f>
        <v>Si</v>
      </c>
      <c r="Z163" s="26">
        <f t="shared" si="18"/>
        <v>0</v>
      </c>
      <c r="AA163" s="26">
        <f t="shared" si="19"/>
        <v>0</v>
      </c>
      <c r="AB163" s="26" t="str">
        <f t="shared" si="20"/>
        <v/>
      </c>
      <c r="AC163" s="26" t="str">
        <f>IF(MATCH(AB163,AB164:$AB$300,0),"0",1)</f>
        <v>0</v>
      </c>
    </row>
    <row r="164" spans="2:29" x14ac:dyDescent="0.35">
      <c r="B164" s="219"/>
      <c r="C164" s="216" t="s">
        <v>355</v>
      </c>
      <c r="D164" s="216"/>
      <c r="E164" s="220"/>
      <c r="F164" s="220"/>
      <c r="G164" s="220"/>
      <c r="H164" s="220" t="str">
        <f t="shared" si="14"/>
        <v/>
      </c>
      <c r="I164" s="460"/>
      <c r="J164" s="460"/>
      <c r="K164" s="460"/>
      <c r="L164" s="460"/>
      <c r="M164" s="460"/>
      <c r="N164" s="220"/>
      <c r="O164" s="220"/>
      <c r="P164" s="220"/>
      <c r="Q164" s="220"/>
      <c r="R164" s="221"/>
      <c r="S164" s="221"/>
      <c r="T164" s="316">
        <f t="shared" si="15"/>
        <v>0</v>
      </c>
      <c r="U164" s="217">
        <f t="shared" si="16"/>
        <v>0</v>
      </c>
      <c r="X164" s="26" t="str">
        <f t="shared" si="17"/>
        <v/>
      </c>
      <c r="Y164" s="21" t="str">
        <f>IF(MATCH(X164,X165:$X$300,0),"Si",1)</f>
        <v>Si</v>
      </c>
      <c r="Z164" s="26">
        <f t="shared" si="18"/>
        <v>0</v>
      </c>
      <c r="AA164" s="26">
        <f t="shared" si="19"/>
        <v>0</v>
      </c>
      <c r="AB164" s="26" t="str">
        <f t="shared" si="20"/>
        <v/>
      </c>
      <c r="AC164" s="26" t="str">
        <f>IF(MATCH(AB164,AB165:$AB$300,0),"0",1)</f>
        <v>0</v>
      </c>
    </row>
    <row r="165" spans="2:29" x14ac:dyDescent="0.35">
      <c r="B165" s="219"/>
      <c r="C165" s="216" t="s">
        <v>356</v>
      </c>
      <c r="D165" s="216"/>
      <c r="E165" s="220"/>
      <c r="F165" s="220"/>
      <c r="G165" s="220"/>
      <c r="H165" s="220" t="str">
        <f t="shared" si="14"/>
        <v/>
      </c>
      <c r="I165" s="460"/>
      <c r="J165" s="460"/>
      <c r="K165" s="460"/>
      <c r="L165" s="460"/>
      <c r="M165" s="460"/>
      <c r="N165" s="220"/>
      <c r="O165" s="220"/>
      <c r="P165" s="220"/>
      <c r="Q165" s="220"/>
      <c r="R165" s="221"/>
      <c r="S165" s="221"/>
      <c r="T165" s="316">
        <f t="shared" si="15"/>
        <v>0</v>
      </c>
      <c r="U165" s="217">
        <f t="shared" si="16"/>
        <v>0</v>
      </c>
      <c r="X165" s="26" t="str">
        <f t="shared" si="17"/>
        <v/>
      </c>
      <c r="Y165" s="21" t="str">
        <f>IF(MATCH(X165,X166:$X$300,0),"Si",1)</f>
        <v>Si</v>
      </c>
      <c r="Z165" s="26">
        <f t="shared" si="18"/>
        <v>0</v>
      </c>
      <c r="AA165" s="26">
        <f t="shared" si="19"/>
        <v>0</v>
      </c>
      <c r="AB165" s="26" t="str">
        <f t="shared" si="20"/>
        <v/>
      </c>
      <c r="AC165" s="26" t="str">
        <f>IF(MATCH(AB165,AB166:$AB$300,0),"0",1)</f>
        <v>0</v>
      </c>
    </row>
    <row r="166" spans="2:29" x14ac:dyDescent="0.35">
      <c r="B166" s="219"/>
      <c r="C166" s="216" t="s">
        <v>357</v>
      </c>
      <c r="D166" s="216"/>
      <c r="E166" s="220"/>
      <c r="F166" s="220"/>
      <c r="G166" s="220"/>
      <c r="H166" s="220" t="str">
        <f t="shared" si="14"/>
        <v/>
      </c>
      <c r="I166" s="460"/>
      <c r="J166" s="460"/>
      <c r="K166" s="460"/>
      <c r="L166" s="460"/>
      <c r="M166" s="460"/>
      <c r="N166" s="220"/>
      <c r="O166" s="220"/>
      <c r="P166" s="220"/>
      <c r="Q166" s="220"/>
      <c r="R166" s="221"/>
      <c r="S166" s="221"/>
      <c r="T166" s="316">
        <f t="shared" si="15"/>
        <v>0</v>
      </c>
      <c r="U166" s="217">
        <f t="shared" si="16"/>
        <v>0</v>
      </c>
      <c r="X166" s="26" t="str">
        <f t="shared" si="17"/>
        <v/>
      </c>
      <c r="Y166" s="21" t="str">
        <f>IF(MATCH(X166,X167:$X$300,0),"Si",1)</f>
        <v>Si</v>
      </c>
      <c r="Z166" s="26">
        <f t="shared" si="18"/>
        <v>0</v>
      </c>
      <c r="AA166" s="26">
        <f t="shared" si="19"/>
        <v>0</v>
      </c>
      <c r="AB166" s="26" t="str">
        <f t="shared" si="20"/>
        <v/>
      </c>
      <c r="AC166" s="26" t="str">
        <f>IF(MATCH(AB166,AB167:$AB$300,0),"0",1)</f>
        <v>0</v>
      </c>
    </row>
    <row r="167" spans="2:29" x14ac:dyDescent="0.35">
      <c r="B167" s="219"/>
      <c r="C167" s="216" t="s">
        <v>358</v>
      </c>
      <c r="D167" s="216"/>
      <c r="E167" s="220"/>
      <c r="F167" s="220"/>
      <c r="G167" s="220"/>
      <c r="H167" s="220" t="str">
        <f t="shared" si="14"/>
        <v/>
      </c>
      <c r="I167" s="460"/>
      <c r="J167" s="460"/>
      <c r="K167" s="460"/>
      <c r="L167" s="460"/>
      <c r="M167" s="460"/>
      <c r="N167" s="220"/>
      <c r="O167" s="220"/>
      <c r="P167" s="220"/>
      <c r="Q167" s="220"/>
      <c r="R167" s="221"/>
      <c r="S167" s="221"/>
      <c r="T167" s="316">
        <f t="shared" si="15"/>
        <v>0</v>
      </c>
      <c r="U167" s="217">
        <f t="shared" si="16"/>
        <v>0</v>
      </c>
      <c r="X167" s="26" t="str">
        <f t="shared" si="17"/>
        <v/>
      </c>
      <c r="Y167" s="21" t="str">
        <f>IF(MATCH(X167,X168:$X$300,0),"Si",1)</f>
        <v>Si</v>
      </c>
      <c r="Z167" s="26">
        <f t="shared" si="18"/>
        <v>0</v>
      </c>
      <c r="AA167" s="26">
        <f t="shared" si="19"/>
        <v>0</v>
      </c>
      <c r="AB167" s="26" t="str">
        <f t="shared" si="20"/>
        <v/>
      </c>
      <c r="AC167" s="26" t="str">
        <f>IF(MATCH(AB167,AB168:$AB$300,0),"0",1)</f>
        <v>0</v>
      </c>
    </row>
    <row r="168" spans="2:29" x14ac:dyDescent="0.35">
      <c r="B168" s="219"/>
      <c r="C168" s="216" t="s">
        <v>359</v>
      </c>
      <c r="D168" s="216"/>
      <c r="E168" s="220"/>
      <c r="F168" s="220"/>
      <c r="G168" s="220"/>
      <c r="H168" s="220" t="str">
        <f t="shared" si="14"/>
        <v/>
      </c>
      <c r="I168" s="460"/>
      <c r="J168" s="460"/>
      <c r="K168" s="460"/>
      <c r="L168" s="460"/>
      <c r="M168" s="460"/>
      <c r="N168" s="220"/>
      <c r="O168" s="220"/>
      <c r="P168" s="220"/>
      <c r="Q168" s="220"/>
      <c r="R168" s="221"/>
      <c r="S168" s="221"/>
      <c r="T168" s="316">
        <f t="shared" si="15"/>
        <v>0</v>
      </c>
      <c r="U168" s="217">
        <f t="shared" si="16"/>
        <v>0</v>
      </c>
      <c r="X168" s="26" t="str">
        <f t="shared" si="17"/>
        <v/>
      </c>
      <c r="Y168" s="21" t="str">
        <f>IF(MATCH(X168,X169:$X$300,0),"Si",1)</f>
        <v>Si</v>
      </c>
      <c r="Z168" s="26">
        <f t="shared" si="18"/>
        <v>0</v>
      </c>
      <c r="AA168" s="26">
        <f t="shared" si="19"/>
        <v>0</v>
      </c>
      <c r="AB168" s="26" t="str">
        <f t="shared" si="20"/>
        <v/>
      </c>
      <c r="AC168" s="26" t="str">
        <f>IF(MATCH(AB168,AB169:$AB$300,0),"0",1)</f>
        <v>0</v>
      </c>
    </row>
    <row r="169" spans="2:29" x14ac:dyDescent="0.35">
      <c r="B169" s="219"/>
      <c r="C169" s="216" t="s">
        <v>360</v>
      </c>
      <c r="D169" s="216"/>
      <c r="E169" s="220"/>
      <c r="F169" s="220"/>
      <c r="G169" s="220"/>
      <c r="H169" s="220" t="str">
        <f t="shared" si="14"/>
        <v/>
      </c>
      <c r="I169" s="460"/>
      <c r="J169" s="460"/>
      <c r="K169" s="460"/>
      <c r="L169" s="460"/>
      <c r="M169" s="460"/>
      <c r="N169" s="220"/>
      <c r="O169" s="220"/>
      <c r="P169" s="220"/>
      <c r="Q169" s="220"/>
      <c r="R169" s="221"/>
      <c r="S169" s="221"/>
      <c r="T169" s="316">
        <f t="shared" si="15"/>
        <v>0</v>
      </c>
      <c r="U169" s="217">
        <f t="shared" si="16"/>
        <v>0</v>
      </c>
      <c r="X169" s="26" t="str">
        <f t="shared" si="17"/>
        <v/>
      </c>
      <c r="Y169" s="21" t="str">
        <f>IF(MATCH(X169,X170:$X$300,0),"Si",1)</f>
        <v>Si</v>
      </c>
      <c r="Z169" s="26">
        <f t="shared" si="18"/>
        <v>0</v>
      </c>
      <c r="AA169" s="26">
        <f t="shared" si="19"/>
        <v>0</v>
      </c>
      <c r="AB169" s="26" t="str">
        <f t="shared" si="20"/>
        <v/>
      </c>
      <c r="AC169" s="26" t="str">
        <f>IF(MATCH(AB169,AB170:$AB$300,0),"0",1)</f>
        <v>0</v>
      </c>
    </row>
    <row r="170" spans="2:29" x14ac:dyDescent="0.35">
      <c r="B170" s="219"/>
      <c r="C170" s="216" t="s">
        <v>361</v>
      </c>
      <c r="D170" s="216"/>
      <c r="E170" s="220"/>
      <c r="F170" s="220"/>
      <c r="G170" s="220"/>
      <c r="H170" s="220" t="str">
        <f t="shared" si="14"/>
        <v/>
      </c>
      <c r="I170" s="460"/>
      <c r="J170" s="460"/>
      <c r="K170" s="460"/>
      <c r="L170" s="460"/>
      <c r="M170" s="460"/>
      <c r="N170" s="220"/>
      <c r="O170" s="220"/>
      <c r="P170" s="220"/>
      <c r="Q170" s="220"/>
      <c r="R170" s="221"/>
      <c r="S170" s="221"/>
      <c r="T170" s="316">
        <f t="shared" si="15"/>
        <v>0</v>
      </c>
      <c r="U170" s="217">
        <f t="shared" si="16"/>
        <v>0</v>
      </c>
      <c r="X170" s="26" t="str">
        <f t="shared" si="17"/>
        <v/>
      </c>
      <c r="Y170" s="21" t="str">
        <f>IF(MATCH(X170,X171:$X$300,0),"Si",1)</f>
        <v>Si</v>
      </c>
      <c r="Z170" s="26">
        <f t="shared" si="18"/>
        <v>0</v>
      </c>
      <c r="AA170" s="26">
        <f t="shared" si="19"/>
        <v>0</v>
      </c>
      <c r="AB170" s="26" t="str">
        <f t="shared" si="20"/>
        <v/>
      </c>
      <c r="AC170" s="26" t="str">
        <f>IF(MATCH(AB170,AB171:$AB$300,0),"0",1)</f>
        <v>0</v>
      </c>
    </row>
    <row r="171" spans="2:29" x14ac:dyDescent="0.35">
      <c r="B171" s="219"/>
      <c r="C171" s="216" t="s">
        <v>362</v>
      </c>
      <c r="D171" s="216"/>
      <c r="E171" s="220"/>
      <c r="F171" s="220"/>
      <c r="G171" s="220"/>
      <c r="H171" s="220" t="str">
        <f t="shared" si="14"/>
        <v/>
      </c>
      <c r="I171" s="460"/>
      <c r="J171" s="460"/>
      <c r="K171" s="460"/>
      <c r="L171" s="460"/>
      <c r="M171" s="460"/>
      <c r="N171" s="220"/>
      <c r="O171" s="220"/>
      <c r="P171" s="220"/>
      <c r="Q171" s="220"/>
      <c r="R171" s="221"/>
      <c r="S171" s="221"/>
      <c r="T171" s="316">
        <f t="shared" si="15"/>
        <v>0</v>
      </c>
      <c r="U171" s="217">
        <f t="shared" si="16"/>
        <v>0</v>
      </c>
      <c r="X171" s="26" t="str">
        <f t="shared" si="17"/>
        <v/>
      </c>
      <c r="Y171" s="21" t="str">
        <f>IF(MATCH(X171,X172:$X$300,0),"Si",1)</f>
        <v>Si</v>
      </c>
      <c r="Z171" s="26">
        <f t="shared" si="18"/>
        <v>0</v>
      </c>
      <c r="AA171" s="26">
        <f t="shared" si="19"/>
        <v>0</v>
      </c>
      <c r="AB171" s="26" t="str">
        <f t="shared" si="20"/>
        <v/>
      </c>
      <c r="AC171" s="26" t="str">
        <f>IF(MATCH(AB171,AB172:$AB$300,0),"0",1)</f>
        <v>0</v>
      </c>
    </row>
    <row r="172" spans="2:29" x14ac:dyDescent="0.35">
      <c r="B172" s="219"/>
      <c r="C172" s="216" t="s">
        <v>363</v>
      </c>
      <c r="D172" s="216"/>
      <c r="E172" s="220"/>
      <c r="F172" s="220"/>
      <c r="G172" s="220"/>
      <c r="H172" s="220" t="str">
        <f t="shared" si="14"/>
        <v/>
      </c>
      <c r="I172" s="460"/>
      <c r="J172" s="460"/>
      <c r="K172" s="460"/>
      <c r="L172" s="460"/>
      <c r="M172" s="460"/>
      <c r="N172" s="220"/>
      <c r="O172" s="220"/>
      <c r="P172" s="220"/>
      <c r="Q172" s="220"/>
      <c r="R172" s="221"/>
      <c r="S172" s="221"/>
      <c r="T172" s="316">
        <f t="shared" si="15"/>
        <v>0</v>
      </c>
      <c r="U172" s="217">
        <f t="shared" si="16"/>
        <v>0</v>
      </c>
      <c r="X172" s="26" t="str">
        <f t="shared" si="17"/>
        <v/>
      </c>
      <c r="Y172" s="21" t="str">
        <f>IF(MATCH(X172,X173:$X$300,0),"Si",1)</f>
        <v>Si</v>
      </c>
      <c r="Z172" s="26">
        <f t="shared" si="18"/>
        <v>0</v>
      </c>
      <c r="AA172" s="26">
        <f t="shared" si="19"/>
        <v>0</v>
      </c>
      <c r="AB172" s="26" t="str">
        <f t="shared" si="20"/>
        <v/>
      </c>
      <c r="AC172" s="26" t="str">
        <f>IF(MATCH(AB172,AB173:$AB$300,0),"0",1)</f>
        <v>0</v>
      </c>
    </row>
    <row r="173" spans="2:29" x14ac:dyDescent="0.35">
      <c r="B173" s="219"/>
      <c r="C173" s="216" t="s">
        <v>364</v>
      </c>
      <c r="D173" s="216"/>
      <c r="E173" s="220"/>
      <c r="F173" s="220"/>
      <c r="G173" s="220"/>
      <c r="H173" s="220" t="str">
        <f t="shared" si="14"/>
        <v/>
      </c>
      <c r="I173" s="460"/>
      <c r="J173" s="460"/>
      <c r="K173" s="460"/>
      <c r="L173" s="460"/>
      <c r="M173" s="460"/>
      <c r="N173" s="220"/>
      <c r="O173" s="220"/>
      <c r="P173" s="220"/>
      <c r="Q173" s="220"/>
      <c r="R173" s="221"/>
      <c r="S173" s="221"/>
      <c r="T173" s="316">
        <f t="shared" si="15"/>
        <v>0</v>
      </c>
      <c r="U173" s="217">
        <f t="shared" si="16"/>
        <v>0</v>
      </c>
      <c r="X173" s="26" t="str">
        <f t="shared" si="17"/>
        <v/>
      </c>
      <c r="Y173" s="21" t="str">
        <f>IF(MATCH(X173,X174:$X$300,0),"Si",1)</f>
        <v>Si</v>
      </c>
      <c r="Z173" s="26">
        <f t="shared" si="18"/>
        <v>0</v>
      </c>
      <c r="AA173" s="26">
        <f t="shared" si="19"/>
        <v>0</v>
      </c>
      <c r="AB173" s="26" t="str">
        <f t="shared" si="20"/>
        <v/>
      </c>
      <c r="AC173" s="26" t="str">
        <f>IF(MATCH(AB173,AB174:$AB$300,0),"0",1)</f>
        <v>0</v>
      </c>
    </row>
    <row r="174" spans="2:29" x14ac:dyDescent="0.35">
      <c r="B174" s="219"/>
      <c r="C174" s="216" t="s">
        <v>365</v>
      </c>
      <c r="D174" s="216"/>
      <c r="E174" s="220"/>
      <c r="F174" s="220"/>
      <c r="G174" s="220"/>
      <c r="H174" s="220" t="str">
        <f t="shared" si="14"/>
        <v/>
      </c>
      <c r="I174" s="460"/>
      <c r="J174" s="460"/>
      <c r="K174" s="460"/>
      <c r="L174" s="460"/>
      <c r="M174" s="460"/>
      <c r="N174" s="220"/>
      <c r="O174" s="220"/>
      <c r="P174" s="220"/>
      <c r="Q174" s="220"/>
      <c r="R174" s="221"/>
      <c r="S174" s="221"/>
      <c r="T174" s="316">
        <f t="shared" si="15"/>
        <v>0</v>
      </c>
      <c r="U174" s="217">
        <f t="shared" si="16"/>
        <v>0</v>
      </c>
      <c r="X174" s="26" t="str">
        <f t="shared" si="17"/>
        <v/>
      </c>
      <c r="Y174" s="21" t="str">
        <f>IF(MATCH(X174,X175:$X$300,0),"Si",1)</f>
        <v>Si</v>
      </c>
      <c r="Z174" s="26">
        <f t="shared" si="18"/>
        <v>0</v>
      </c>
      <c r="AA174" s="26">
        <f t="shared" si="19"/>
        <v>0</v>
      </c>
      <c r="AB174" s="26" t="str">
        <f t="shared" si="20"/>
        <v/>
      </c>
      <c r="AC174" s="26" t="str">
        <f>IF(MATCH(AB174,AB175:$AB$300,0),"0",1)</f>
        <v>0</v>
      </c>
    </row>
    <row r="175" spans="2:29" x14ac:dyDescent="0.35">
      <c r="B175" s="219"/>
      <c r="C175" s="216" t="s">
        <v>366</v>
      </c>
      <c r="D175" s="216"/>
      <c r="E175" s="220"/>
      <c r="F175" s="220"/>
      <c r="G175" s="220"/>
      <c r="H175" s="220" t="str">
        <f t="shared" si="14"/>
        <v/>
      </c>
      <c r="I175" s="460"/>
      <c r="J175" s="460"/>
      <c r="K175" s="460"/>
      <c r="L175" s="460"/>
      <c r="M175" s="460"/>
      <c r="N175" s="220"/>
      <c r="O175" s="220"/>
      <c r="P175" s="220"/>
      <c r="Q175" s="220"/>
      <c r="R175" s="221"/>
      <c r="S175" s="221"/>
      <c r="T175" s="316">
        <f t="shared" si="15"/>
        <v>0</v>
      </c>
      <c r="U175" s="217">
        <f t="shared" si="16"/>
        <v>0</v>
      </c>
      <c r="X175" s="26" t="str">
        <f t="shared" si="17"/>
        <v/>
      </c>
      <c r="Y175" s="21" t="str">
        <f>IF(MATCH(X175,X176:$X$300,0),"Si",1)</f>
        <v>Si</v>
      </c>
      <c r="Z175" s="26">
        <f t="shared" si="18"/>
        <v>0</v>
      </c>
      <c r="AA175" s="26">
        <f t="shared" si="19"/>
        <v>0</v>
      </c>
      <c r="AB175" s="26" t="str">
        <f t="shared" si="20"/>
        <v/>
      </c>
      <c r="AC175" s="26" t="str">
        <f>IF(MATCH(AB175,AB176:$AB$300,0),"0",1)</f>
        <v>0</v>
      </c>
    </row>
    <row r="176" spans="2:29" x14ac:dyDescent="0.35">
      <c r="B176" s="219"/>
      <c r="C176" s="216" t="s">
        <v>367</v>
      </c>
      <c r="D176" s="216"/>
      <c r="E176" s="220"/>
      <c r="F176" s="220"/>
      <c r="G176" s="220"/>
      <c r="H176" s="220" t="str">
        <f t="shared" si="14"/>
        <v/>
      </c>
      <c r="I176" s="460"/>
      <c r="J176" s="460"/>
      <c r="K176" s="460"/>
      <c r="L176" s="460"/>
      <c r="M176" s="460"/>
      <c r="N176" s="220"/>
      <c r="O176" s="220"/>
      <c r="P176" s="220"/>
      <c r="Q176" s="220"/>
      <c r="R176" s="221"/>
      <c r="S176" s="221"/>
      <c r="T176" s="316">
        <f t="shared" si="15"/>
        <v>0</v>
      </c>
      <c r="U176" s="217">
        <f t="shared" si="16"/>
        <v>0</v>
      </c>
      <c r="X176" s="26" t="str">
        <f t="shared" si="17"/>
        <v/>
      </c>
      <c r="Y176" s="21" t="str">
        <f>IF(MATCH(X176,X177:$X$300,0),"Si",1)</f>
        <v>Si</v>
      </c>
      <c r="Z176" s="26">
        <f t="shared" si="18"/>
        <v>0</v>
      </c>
      <c r="AA176" s="26">
        <f t="shared" si="19"/>
        <v>0</v>
      </c>
      <c r="AB176" s="26" t="str">
        <f t="shared" si="20"/>
        <v/>
      </c>
      <c r="AC176" s="26" t="str">
        <f>IF(MATCH(AB176,AB177:$AB$300,0),"0",1)</f>
        <v>0</v>
      </c>
    </row>
    <row r="177" spans="2:29" x14ac:dyDescent="0.35">
      <c r="B177" s="219"/>
      <c r="C177" s="216" t="s">
        <v>368</v>
      </c>
      <c r="D177" s="216"/>
      <c r="E177" s="220"/>
      <c r="F177" s="220"/>
      <c r="G177" s="220"/>
      <c r="H177" s="220" t="str">
        <f t="shared" si="14"/>
        <v/>
      </c>
      <c r="I177" s="460"/>
      <c r="J177" s="460"/>
      <c r="K177" s="460"/>
      <c r="L177" s="460"/>
      <c r="M177" s="460"/>
      <c r="N177" s="220"/>
      <c r="O177" s="220"/>
      <c r="P177" s="220"/>
      <c r="Q177" s="220"/>
      <c r="R177" s="221"/>
      <c r="S177" s="221"/>
      <c r="T177" s="316">
        <f t="shared" si="15"/>
        <v>0</v>
      </c>
      <c r="U177" s="217">
        <f t="shared" si="16"/>
        <v>0</v>
      </c>
      <c r="X177" s="26" t="str">
        <f t="shared" si="17"/>
        <v/>
      </c>
      <c r="Y177" s="21" t="str">
        <f>IF(MATCH(X177,X178:$X$300,0),"Si",1)</f>
        <v>Si</v>
      </c>
      <c r="Z177" s="26">
        <f t="shared" si="18"/>
        <v>0</v>
      </c>
      <c r="AA177" s="26">
        <f t="shared" si="19"/>
        <v>0</v>
      </c>
      <c r="AB177" s="26" t="str">
        <f t="shared" si="20"/>
        <v/>
      </c>
      <c r="AC177" s="26" t="str">
        <f>IF(MATCH(AB177,AB178:$AB$300,0),"0",1)</f>
        <v>0</v>
      </c>
    </row>
    <row r="178" spans="2:29" x14ac:dyDescent="0.35">
      <c r="B178" s="219"/>
      <c r="C178" s="216" t="s">
        <v>369</v>
      </c>
      <c r="D178" s="216"/>
      <c r="E178" s="220"/>
      <c r="F178" s="220"/>
      <c r="G178" s="220"/>
      <c r="H178" s="220" t="str">
        <f t="shared" si="14"/>
        <v/>
      </c>
      <c r="I178" s="460"/>
      <c r="J178" s="460"/>
      <c r="K178" s="460"/>
      <c r="L178" s="460"/>
      <c r="M178" s="460"/>
      <c r="N178" s="220"/>
      <c r="O178" s="220"/>
      <c r="P178" s="220"/>
      <c r="Q178" s="220"/>
      <c r="R178" s="221"/>
      <c r="S178" s="221"/>
      <c r="T178" s="316">
        <f t="shared" si="15"/>
        <v>0</v>
      </c>
      <c r="U178" s="217">
        <f t="shared" si="16"/>
        <v>0</v>
      </c>
      <c r="X178" s="26" t="str">
        <f t="shared" si="17"/>
        <v/>
      </c>
      <c r="Y178" s="21" t="str">
        <f>IF(MATCH(X178,X179:$X$300,0),"Si",1)</f>
        <v>Si</v>
      </c>
      <c r="Z178" s="26">
        <f t="shared" si="18"/>
        <v>0</v>
      </c>
      <c r="AA178" s="26">
        <f t="shared" si="19"/>
        <v>0</v>
      </c>
      <c r="AB178" s="26" t="str">
        <f t="shared" si="20"/>
        <v/>
      </c>
      <c r="AC178" s="26" t="str">
        <f>IF(MATCH(AB178,AB179:$AB$300,0),"0",1)</f>
        <v>0</v>
      </c>
    </row>
    <row r="179" spans="2:29" x14ac:dyDescent="0.35">
      <c r="B179" s="219"/>
      <c r="C179" s="216" t="s">
        <v>370</v>
      </c>
      <c r="D179" s="216"/>
      <c r="E179" s="220"/>
      <c r="F179" s="220"/>
      <c r="G179" s="220"/>
      <c r="H179" s="220" t="str">
        <f t="shared" si="14"/>
        <v/>
      </c>
      <c r="I179" s="460"/>
      <c r="J179" s="460"/>
      <c r="K179" s="460"/>
      <c r="L179" s="460"/>
      <c r="M179" s="460"/>
      <c r="N179" s="220"/>
      <c r="O179" s="220"/>
      <c r="P179" s="220"/>
      <c r="Q179" s="220"/>
      <c r="R179" s="221"/>
      <c r="S179" s="221"/>
      <c r="T179" s="316">
        <f t="shared" si="15"/>
        <v>0</v>
      </c>
      <c r="U179" s="217">
        <f t="shared" si="16"/>
        <v>0</v>
      </c>
      <c r="X179" s="26" t="str">
        <f t="shared" si="17"/>
        <v/>
      </c>
      <c r="Y179" s="21" t="str">
        <f>IF(MATCH(X179,X180:$X$300,0),"Si",1)</f>
        <v>Si</v>
      </c>
      <c r="Z179" s="26">
        <f t="shared" si="18"/>
        <v>0</v>
      </c>
      <c r="AA179" s="26">
        <f t="shared" si="19"/>
        <v>0</v>
      </c>
      <c r="AB179" s="26" t="str">
        <f t="shared" si="20"/>
        <v/>
      </c>
      <c r="AC179" s="26" t="str">
        <f>IF(MATCH(AB179,AB180:$AB$300,0),"0",1)</f>
        <v>0</v>
      </c>
    </row>
    <row r="180" spans="2:29" x14ac:dyDescent="0.35">
      <c r="B180" s="219"/>
      <c r="C180" s="216" t="s">
        <v>371</v>
      </c>
      <c r="D180" s="216"/>
      <c r="E180" s="220"/>
      <c r="F180" s="220"/>
      <c r="G180" s="220"/>
      <c r="H180" s="220" t="str">
        <f t="shared" si="14"/>
        <v/>
      </c>
      <c r="I180" s="460"/>
      <c r="J180" s="460"/>
      <c r="K180" s="460"/>
      <c r="L180" s="460"/>
      <c r="M180" s="460"/>
      <c r="N180" s="220"/>
      <c r="O180" s="220"/>
      <c r="P180" s="220"/>
      <c r="Q180" s="220"/>
      <c r="R180" s="221"/>
      <c r="S180" s="221"/>
      <c r="T180" s="316">
        <f t="shared" si="15"/>
        <v>0</v>
      </c>
      <c r="U180" s="217">
        <f t="shared" si="16"/>
        <v>0</v>
      </c>
      <c r="X180" s="26" t="str">
        <f t="shared" si="17"/>
        <v/>
      </c>
      <c r="Y180" s="21" t="str">
        <f>IF(MATCH(X180,X181:$X$300,0),"Si",1)</f>
        <v>Si</v>
      </c>
      <c r="Z180" s="26">
        <f t="shared" si="18"/>
        <v>0</v>
      </c>
      <c r="AA180" s="26">
        <f t="shared" si="19"/>
        <v>0</v>
      </c>
      <c r="AB180" s="26" t="str">
        <f t="shared" si="20"/>
        <v/>
      </c>
      <c r="AC180" s="26" t="str">
        <f>IF(MATCH(AB180,AB181:$AB$300,0),"0",1)</f>
        <v>0</v>
      </c>
    </row>
    <row r="181" spans="2:29" x14ac:dyDescent="0.35">
      <c r="B181" s="219"/>
      <c r="C181" s="216" t="s">
        <v>372</v>
      </c>
      <c r="D181" s="216"/>
      <c r="E181" s="220"/>
      <c r="F181" s="220"/>
      <c r="G181" s="220"/>
      <c r="H181" s="220" t="str">
        <f t="shared" si="14"/>
        <v/>
      </c>
      <c r="I181" s="460"/>
      <c r="J181" s="460"/>
      <c r="K181" s="460"/>
      <c r="L181" s="460"/>
      <c r="M181" s="460"/>
      <c r="N181" s="220"/>
      <c r="O181" s="220"/>
      <c r="P181" s="220"/>
      <c r="Q181" s="220"/>
      <c r="R181" s="221"/>
      <c r="S181" s="221"/>
      <c r="T181" s="316">
        <f t="shared" si="15"/>
        <v>0</v>
      </c>
      <c r="U181" s="217">
        <f t="shared" si="16"/>
        <v>0</v>
      </c>
      <c r="X181" s="26" t="str">
        <f t="shared" si="17"/>
        <v/>
      </c>
      <c r="Y181" s="21" t="str">
        <f>IF(MATCH(X181,X182:$X$300,0),"Si",1)</f>
        <v>Si</v>
      </c>
      <c r="Z181" s="26">
        <f t="shared" si="18"/>
        <v>0</v>
      </c>
      <c r="AA181" s="26">
        <f t="shared" si="19"/>
        <v>0</v>
      </c>
      <c r="AB181" s="26" t="str">
        <f t="shared" si="20"/>
        <v/>
      </c>
      <c r="AC181" s="26" t="str">
        <f>IF(MATCH(AB181,AB182:$AB$300,0),"0",1)</f>
        <v>0</v>
      </c>
    </row>
    <row r="182" spans="2:29" x14ac:dyDescent="0.35">
      <c r="B182" s="219"/>
      <c r="C182" s="216" t="s">
        <v>373</v>
      </c>
      <c r="D182" s="216"/>
      <c r="E182" s="220"/>
      <c r="F182" s="220"/>
      <c r="G182" s="220"/>
      <c r="H182" s="220" t="str">
        <f t="shared" si="14"/>
        <v/>
      </c>
      <c r="I182" s="460"/>
      <c r="J182" s="460"/>
      <c r="K182" s="460"/>
      <c r="L182" s="460"/>
      <c r="M182" s="460"/>
      <c r="N182" s="220"/>
      <c r="O182" s="220"/>
      <c r="P182" s="220"/>
      <c r="Q182" s="220"/>
      <c r="R182" s="221"/>
      <c r="S182" s="221"/>
      <c r="T182" s="316">
        <f t="shared" si="15"/>
        <v>0</v>
      </c>
      <c r="U182" s="217">
        <f t="shared" si="16"/>
        <v>0</v>
      </c>
      <c r="X182" s="26" t="str">
        <f t="shared" si="17"/>
        <v/>
      </c>
      <c r="Y182" s="21" t="str">
        <f>IF(MATCH(X182,X183:$X$300,0),"Si",1)</f>
        <v>Si</v>
      </c>
      <c r="Z182" s="26">
        <f t="shared" si="18"/>
        <v>0</v>
      </c>
      <c r="AA182" s="26">
        <f t="shared" si="19"/>
        <v>0</v>
      </c>
      <c r="AB182" s="26" t="str">
        <f t="shared" si="20"/>
        <v/>
      </c>
      <c r="AC182" s="26" t="str">
        <f>IF(MATCH(AB182,AB183:$AB$300,0),"0",1)</f>
        <v>0</v>
      </c>
    </row>
    <row r="183" spans="2:29" x14ac:dyDescent="0.35">
      <c r="B183" s="219"/>
      <c r="C183" s="216" t="s">
        <v>374</v>
      </c>
      <c r="D183" s="216"/>
      <c r="E183" s="220"/>
      <c r="F183" s="220"/>
      <c r="G183" s="220"/>
      <c r="H183" s="220" t="str">
        <f t="shared" si="14"/>
        <v/>
      </c>
      <c r="I183" s="460"/>
      <c r="J183" s="460"/>
      <c r="K183" s="460"/>
      <c r="L183" s="460"/>
      <c r="M183" s="460"/>
      <c r="N183" s="220"/>
      <c r="O183" s="220"/>
      <c r="P183" s="220"/>
      <c r="Q183" s="220"/>
      <c r="R183" s="221"/>
      <c r="S183" s="221"/>
      <c r="T183" s="316">
        <f t="shared" si="15"/>
        <v>0</v>
      </c>
      <c r="U183" s="217">
        <f t="shared" si="16"/>
        <v>0</v>
      </c>
      <c r="X183" s="26" t="str">
        <f t="shared" si="17"/>
        <v/>
      </c>
      <c r="Y183" s="21" t="str">
        <f>IF(MATCH(X183,X184:$X$300,0),"Si",1)</f>
        <v>Si</v>
      </c>
      <c r="Z183" s="26">
        <f t="shared" si="18"/>
        <v>0</v>
      </c>
      <c r="AA183" s="26">
        <f t="shared" si="19"/>
        <v>0</v>
      </c>
      <c r="AB183" s="26" t="str">
        <f t="shared" si="20"/>
        <v/>
      </c>
      <c r="AC183" s="26" t="str">
        <f>IF(MATCH(AB183,AB184:$AB$300,0),"0",1)</f>
        <v>0</v>
      </c>
    </row>
    <row r="184" spans="2:29" x14ac:dyDescent="0.35">
      <c r="B184" s="219"/>
      <c r="C184" s="216" t="s">
        <v>375</v>
      </c>
      <c r="D184" s="216"/>
      <c r="E184" s="220"/>
      <c r="F184" s="220"/>
      <c r="G184" s="220"/>
      <c r="H184" s="220" t="str">
        <f t="shared" si="14"/>
        <v/>
      </c>
      <c r="I184" s="460"/>
      <c r="J184" s="460"/>
      <c r="K184" s="460"/>
      <c r="L184" s="460"/>
      <c r="M184" s="460"/>
      <c r="N184" s="220"/>
      <c r="O184" s="220"/>
      <c r="P184" s="220"/>
      <c r="Q184" s="220"/>
      <c r="R184" s="221"/>
      <c r="S184" s="221"/>
      <c r="T184" s="316">
        <f t="shared" si="15"/>
        <v>0</v>
      </c>
      <c r="U184" s="217">
        <f t="shared" si="16"/>
        <v>0</v>
      </c>
      <c r="X184" s="26" t="str">
        <f t="shared" si="17"/>
        <v/>
      </c>
      <c r="Y184" s="21" t="str">
        <f>IF(MATCH(X184,X185:$X$300,0),"Si",1)</f>
        <v>Si</v>
      </c>
      <c r="Z184" s="26">
        <f t="shared" si="18"/>
        <v>0</v>
      </c>
      <c r="AA184" s="26">
        <f t="shared" si="19"/>
        <v>0</v>
      </c>
      <c r="AB184" s="26" t="str">
        <f t="shared" si="20"/>
        <v/>
      </c>
      <c r="AC184" s="26" t="str">
        <f>IF(MATCH(AB184,AB185:$AB$300,0),"0",1)</f>
        <v>0</v>
      </c>
    </row>
    <row r="185" spans="2:29" x14ac:dyDescent="0.35">
      <c r="B185" s="219"/>
      <c r="C185" s="216" t="s">
        <v>376</v>
      </c>
      <c r="D185" s="216"/>
      <c r="E185" s="220"/>
      <c r="F185" s="220"/>
      <c r="G185" s="220"/>
      <c r="H185" s="220" t="str">
        <f t="shared" si="14"/>
        <v/>
      </c>
      <c r="I185" s="460"/>
      <c r="J185" s="460"/>
      <c r="K185" s="460"/>
      <c r="L185" s="460"/>
      <c r="M185" s="460"/>
      <c r="N185" s="220"/>
      <c r="O185" s="220"/>
      <c r="P185" s="220"/>
      <c r="Q185" s="220"/>
      <c r="R185" s="221"/>
      <c r="S185" s="221"/>
      <c r="T185" s="316">
        <f t="shared" si="15"/>
        <v>0</v>
      </c>
      <c r="U185" s="217">
        <f t="shared" si="16"/>
        <v>0</v>
      </c>
      <c r="X185" s="26" t="str">
        <f t="shared" si="17"/>
        <v/>
      </c>
      <c r="Y185" s="21" t="str">
        <f>IF(MATCH(X185,X186:$X$300,0),"Si",1)</f>
        <v>Si</v>
      </c>
      <c r="Z185" s="26">
        <f t="shared" si="18"/>
        <v>0</v>
      </c>
      <c r="AA185" s="26">
        <f t="shared" si="19"/>
        <v>0</v>
      </c>
      <c r="AB185" s="26" t="str">
        <f t="shared" si="20"/>
        <v/>
      </c>
      <c r="AC185" s="26" t="str">
        <f>IF(MATCH(AB185,AB186:$AB$300,0),"0",1)</f>
        <v>0</v>
      </c>
    </row>
    <row r="186" spans="2:29" x14ac:dyDescent="0.35">
      <c r="B186" s="219"/>
      <c r="C186" s="216" t="s">
        <v>377</v>
      </c>
      <c r="D186" s="216"/>
      <c r="E186" s="220"/>
      <c r="F186" s="220"/>
      <c r="G186" s="220"/>
      <c r="H186" s="220" t="str">
        <f t="shared" si="14"/>
        <v/>
      </c>
      <c r="I186" s="460"/>
      <c r="J186" s="460"/>
      <c r="K186" s="460"/>
      <c r="L186" s="460"/>
      <c r="M186" s="460"/>
      <c r="N186" s="220"/>
      <c r="O186" s="220"/>
      <c r="P186" s="220"/>
      <c r="Q186" s="220"/>
      <c r="R186" s="221"/>
      <c r="S186" s="221"/>
      <c r="T186" s="316">
        <f t="shared" si="15"/>
        <v>0</v>
      </c>
      <c r="U186" s="217">
        <f t="shared" si="16"/>
        <v>0</v>
      </c>
      <c r="X186" s="26" t="str">
        <f t="shared" si="17"/>
        <v/>
      </c>
      <c r="Y186" s="21" t="str">
        <f>IF(MATCH(X186,X187:$X$300,0),"Si",1)</f>
        <v>Si</v>
      </c>
      <c r="Z186" s="26">
        <f t="shared" si="18"/>
        <v>0</v>
      </c>
      <c r="AA186" s="26">
        <f t="shared" si="19"/>
        <v>0</v>
      </c>
      <c r="AB186" s="26" t="str">
        <f t="shared" si="20"/>
        <v/>
      </c>
      <c r="AC186" s="26" t="str">
        <f>IF(MATCH(AB186,AB187:$AB$300,0),"0",1)</f>
        <v>0</v>
      </c>
    </row>
    <row r="187" spans="2:29" x14ac:dyDescent="0.35">
      <c r="B187" s="219"/>
      <c r="C187" s="216" t="s">
        <v>378</v>
      </c>
      <c r="D187" s="216"/>
      <c r="E187" s="220"/>
      <c r="F187" s="220"/>
      <c r="G187" s="220"/>
      <c r="H187" s="220" t="str">
        <f t="shared" si="14"/>
        <v/>
      </c>
      <c r="I187" s="460"/>
      <c r="J187" s="460"/>
      <c r="K187" s="460"/>
      <c r="L187" s="460"/>
      <c r="M187" s="460"/>
      <c r="N187" s="220"/>
      <c r="O187" s="220"/>
      <c r="P187" s="220"/>
      <c r="Q187" s="220"/>
      <c r="R187" s="221"/>
      <c r="S187" s="221"/>
      <c r="T187" s="316">
        <f t="shared" si="15"/>
        <v>0</v>
      </c>
      <c r="U187" s="217">
        <f t="shared" si="16"/>
        <v>0</v>
      </c>
      <c r="X187" s="26" t="str">
        <f t="shared" si="17"/>
        <v/>
      </c>
      <c r="Y187" s="21" t="str">
        <f>IF(MATCH(X187,X188:$X$300,0),"Si",1)</f>
        <v>Si</v>
      </c>
      <c r="Z187" s="26">
        <f t="shared" si="18"/>
        <v>0</v>
      </c>
      <c r="AA187" s="26">
        <f t="shared" si="19"/>
        <v>0</v>
      </c>
      <c r="AB187" s="26" t="str">
        <f t="shared" si="20"/>
        <v/>
      </c>
      <c r="AC187" s="26" t="str">
        <f>IF(MATCH(AB187,AB188:$AB$300,0),"0",1)</f>
        <v>0</v>
      </c>
    </row>
    <row r="188" spans="2:29" x14ac:dyDescent="0.35">
      <c r="B188" s="219"/>
      <c r="C188" s="216" t="s">
        <v>379</v>
      </c>
      <c r="D188" s="216"/>
      <c r="E188" s="220"/>
      <c r="F188" s="220"/>
      <c r="G188" s="220"/>
      <c r="H188" s="220" t="str">
        <f t="shared" si="14"/>
        <v/>
      </c>
      <c r="I188" s="460"/>
      <c r="J188" s="460"/>
      <c r="K188" s="460"/>
      <c r="L188" s="460"/>
      <c r="M188" s="460"/>
      <c r="N188" s="220"/>
      <c r="O188" s="220"/>
      <c r="P188" s="220"/>
      <c r="Q188" s="220"/>
      <c r="R188" s="221"/>
      <c r="S188" s="221"/>
      <c r="T188" s="316">
        <f t="shared" si="15"/>
        <v>0</v>
      </c>
      <c r="U188" s="217">
        <f t="shared" si="16"/>
        <v>0</v>
      </c>
      <c r="X188" s="26" t="str">
        <f t="shared" si="17"/>
        <v/>
      </c>
      <c r="Y188" s="21" t="str">
        <f>IF(MATCH(X188,X189:$X$300,0),"Si",1)</f>
        <v>Si</v>
      </c>
      <c r="Z188" s="26">
        <f t="shared" si="18"/>
        <v>0</v>
      </c>
      <c r="AA188" s="26">
        <f t="shared" si="19"/>
        <v>0</v>
      </c>
      <c r="AB188" s="26" t="str">
        <f t="shared" si="20"/>
        <v/>
      </c>
      <c r="AC188" s="26" t="str">
        <f>IF(MATCH(AB188,AB189:$AB$300,0),"0",1)</f>
        <v>0</v>
      </c>
    </row>
    <row r="189" spans="2:29" x14ac:dyDescent="0.35">
      <c r="B189" s="219"/>
      <c r="C189" s="216" t="s">
        <v>380</v>
      </c>
      <c r="D189" s="216"/>
      <c r="E189" s="220"/>
      <c r="F189" s="220"/>
      <c r="G189" s="220"/>
      <c r="H189" s="220" t="str">
        <f t="shared" si="14"/>
        <v/>
      </c>
      <c r="I189" s="460"/>
      <c r="J189" s="460"/>
      <c r="K189" s="460"/>
      <c r="L189" s="460"/>
      <c r="M189" s="460"/>
      <c r="N189" s="220"/>
      <c r="O189" s="220"/>
      <c r="P189" s="220"/>
      <c r="Q189" s="220"/>
      <c r="R189" s="221"/>
      <c r="S189" s="221"/>
      <c r="T189" s="316">
        <f t="shared" si="15"/>
        <v>0</v>
      </c>
      <c r="U189" s="217">
        <f t="shared" si="16"/>
        <v>0</v>
      </c>
      <c r="X189" s="26" t="str">
        <f t="shared" si="17"/>
        <v/>
      </c>
      <c r="Y189" s="21" t="str">
        <f>IF(MATCH(X189,X190:$X$300,0),"Si",1)</f>
        <v>Si</v>
      </c>
      <c r="Z189" s="26">
        <f t="shared" si="18"/>
        <v>0</v>
      </c>
      <c r="AA189" s="26">
        <f t="shared" si="19"/>
        <v>0</v>
      </c>
      <c r="AB189" s="26" t="str">
        <f t="shared" si="20"/>
        <v/>
      </c>
      <c r="AC189" s="26" t="str">
        <f>IF(MATCH(AB189,AB190:$AB$300,0),"0",1)</f>
        <v>0</v>
      </c>
    </row>
    <row r="190" spans="2:29" x14ac:dyDescent="0.35">
      <c r="B190" s="219"/>
      <c r="C190" s="216" t="s">
        <v>381</v>
      </c>
      <c r="D190" s="216"/>
      <c r="E190" s="220"/>
      <c r="F190" s="220"/>
      <c r="G190" s="220"/>
      <c r="H190" s="220" t="str">
        <f t="shared" si="14"/>
        <v/>
      </c>
      <c r="I190" s="460"/>
      <c r="J190" s="460"/>
      <c r="K190" s="460"/>
      <c r="L190" s="460"/>
      <c r="M190" s="460"/>
      <c r="N190" s="220"/>
      <c r="O190" s="220"/>
      <c r="P190" s="220"/>
      <c r="Q190" s="220"/>
      <c r="R190" s="221"/>
      <c r="S190" s="221"/>
      <c r="T190" s="316">
        <f t="shared" si="15"/>
        <v>0</v>
      </c>
      <c r="U190" s="217">
        <f t="shared" si="16"/>
        <v>0</v>
      </c>
      <c r="X190" s="26" t="str">
        <f t="shared" si="17"/>
        <v/>
      </c>
      <c r="Y190" s="21" t="str">
        <f>IF(MATCH(X190,X191:$X$300,0),"Si",1)</f>
        <v>Si</v>
      </c>
      <c r="Z190" s="26">
        <f t="shared" si="18"/>
        <v>0</v>
      </c>
      <c r="AA190" s="26">
        <f t="shared" si="19"/>
        <v>0</v>
      </c>
      <c r="AB190" s="26" t="str">
        <f t="shared" si="20"/>
        <v/>
      </c>
      <c r="AC190" s="26" t="str">
        <f>IF(MATCH(AB190,AB191:$AB$300,0),"0",1)</f>
        <v>0</v>
      </c>
    </row>
    <row r="191" spans="2:29" x14ac:dyDescent="0.35">
      <c r="B191" s="219"/>
      <c r="C191" s="216" t="s">
        <v>382</v>
      </c>
      <c r="D191" s="216"/>
      <c r="E191" s="220"/>
      <c r="F191" s="220"/>
      <c r="G191" s="220"/>
      <c r="H191" s="220" t="str">
        <f t="shared" si="14"/>
        <v/>
      </c>
      <c r="I191" s="460"/>
      <c r="J191" s="460"/>
      <c r="K191" s="460"/>
      <c r="L191" s="460"/>
      <c r="M191" s="460"/>
      <c r="N191" s="220"/>
      <c r="O191" s="220"/>
      <c r="P191" s="220"/>
      <c r="Q191" s="220"/>
      <c r="R191" s="221"/>
      <c r="S191" s="221"/>
      <c r="T191" s="316">
        <f t="shared" si="15"/>
        <v>0</v>
      </c>
      <c r="U191" s="217">
        <f t="shared" si="16"/>
        <v>0</v>
      </c>
      <c r="X191" s="26" t="str">
        <f t="shared" si="17"/>
        <v/>
      </c>
      <c r="Y191" s="21" t="str">
        <f>IF(MATCH(X191,X192:$X$300,0),"Si",1)</f>
        <v>Si</v>
      </c>
      <c r="Z191" s="26">
        <f t="shared" si="18"/>
        <v>0</v>
      </c>
      <c r="AA191" s="26">
        <f t="shared" si="19"/>
        <v>0</v>
      </c>
      <c r="AB191" s="26" t="str">
        <f t="shared" si="20"/>
        <v/>
      </c>
      <c r="AC191" s="26" t="str">
        <f>IF(MATCH(AB191,AB192:$AB$300,0),"0",1)</f>
        <v>0</v>
      </c>
    </row>
    <row r="192" spans="2:29" x14ac:dyDescent="0.35">
      <c r="B192" s="219"/>
      <c r="C192" s="216" t="s">
        <v>383</v>
      </c>
      <c r="D192" s="216"/>
      <c r="E192" s="220"/>
      <c r="F192" s="220"/>
      <c r="G192" s="220"/>
      <c r="H192" s="220" t="str">
        <f t="shared" si="14"/>
        <v/>
      </c>
      <c r="I192" s="460"/>
      <c r="J192" s="460"/>
      <c r="K192" s="460"/>
      <c r="L192" s="460"/>
      <c r="M192" s="460"/>
      <c r="N192" s="220"/>
      <c r="O192" s="220"/>
      <c r="P192" s="220"/>
      <c r="Q192" s="220"/>
      <c r="R192" s="221"/>
      <c r="S192" s="221"/>
      <c r="T192" s="316">
        <f t="shared" si="15"/>
        <v>0</v>
      </c>
      <c r="U192" s="217">
        <f t="shared" si="16"/>
        <v>0</v>
      </c>
      <c r="X192" s="26" t="str">
        <f t="shared" si="17"/>
        <v/>
      </c>
      <c r="Y192" s="21" t="str">
        <f>IF(MATCH(X192,X193:$X$300,0),"Si",1)</f>
        <v>Si</v>
      </c>
      <c r="Z192" s="26">
        <f t="shared" si="18"/>
        <v>0</v>
      </c>
      <c r="AA192" s="26">
        <f t="shared" si="19"/>
        <v>0</v>
      </c>
      <c r="AB192" s="26" t="str">
        <f t="shared" si="20"/>
        <v/>
      </c>
      <c r="AC192" s="26" t="str">
        <f>IF(MATCH(AB192,AB193:$AB$300,0),"0",1)</f>
        <v>0</v>
      </c>
    </row>
    <row r="193" spans="2:29" x14ac:dyDescent="0.35">
      <c r="B193" s="219"/>
      <c r="C193" s="216" t="s">
        <v>384</v>
      </c>
      <c r="D193" s="216"/>
      <c r="E193" s="220"/>
      <c r="F193" s="220"/>
      <c r="G193" s="220"/>
      <c r="H193" s="220" t="str">
        <f t="shared" si="14"/>
        <v/>
      </c>
      <c r="I193" s="460"/>
      <c r="J193" s="460"/>
      <c r="K193" s="460"/>
      <c r="L193" s="460"/>
      <c r="M193" s="460"/>
      <c r="N193" s="220"/>
      <c r="O193" s="220"/>
      <c r="P193" s="220"/>
      <c r="Q193" s="220"/>
      <c r="R193" s="221"/>
      <c r="S193" s="221"/>
      <c r="T193" s="316">
        <f t="shared" si="15"/>
        <v>0</v>
      </c>
      <c r="U193" s="217">
        <f t="shared" si="16"/>
        <v>0</v>
      </c>
      <c r="X193" s="26" t="str">
        <f t="shared" si="17"/>
        <v/>
      </c>
      <c r="Y193" s="21" t="str">
        <f>IF(MATCH(X193,X194:$X$300,0),"Si",1)</f>
        <v>Si</v>
      </c>
      <c r="Z193" s="26">
        <f t="shared" si="18"/>
        <v>0</v>
      </c>
      <c r="AA193" s="26">
        <f t="shared" si="19"/>
        <v>0</v>
      </c>
      <c r="AB193" s="26" t="str">
        <f t="shared" si="20"/>
        <v/>
      </c>
      <c r="AC193" s="26" t="str">
        <f>IF(MATCH(AB193,AB194:$AB$300,0),"0",1)</f>
        <v>0</v>
      </c>
    </row>
    <row r="194" spans="2:29" x14ac:dyDescent="0.35">
      <c r="B194" s="219"/>
      <c r="C194" s="216" t="s">
        <v>385</v>
      </c>
      <c r="D194" s="216"/>
      <c r="E194" s="220"/>
      <c r="F194" s="220"/>
      <c r="G194" s="220"/>
      <c r="H194" s="220" t="str">
        <f t="shared" si="14"/>
        <v/>
      </c>
      <c r="I194" s="460"/>
      <c r="J194" s="460"/>
      <c r="K194" s="460"/>
      <c r="L194" s="460"/>
      <c r="M194" s="460"/>
      <c r="N194" s="220"/>
      <c r="O194" s="220"/>
      <c r="P194" s="220"/>
      <c r="Q194" s="220"/>
      <c r="R194" s="221"/>
      <c r="S194" s="221"/>
      <c r="T194" s="316">
        <f t="shared" si="15"/>
        <v>0</v>
      </c>
      <c r="U194" s="217">
        <f t="shared" si="16"/>
        <v>0</v>
      </c>
      <c r="X194" s="26" t="str">
        <f t="shared" si="17"/>
        <v/>
      </c>
      <c r="Y194" s="21" t="str">
        <f>IF(MATCH(X194,X195:$X$300,0),"Si",1)</f>
        <v>Si</v>
      </c>
      <c r="Z194" s="26">
        <f t="shared" si="18"/>
        <v>0</v>
      </c>
      <c r="AA194" s="26">
        <f t="shared" si="19"/>
        <v>0</v>
      </c>
      <c r="AB194" s="26" t="str">
        <f t="shared" si="20"/>
        <v/>
      </c>
      <c r="AC194" s="26" t="str">
        <f>IF(MATCH(AB194,AB195:$AB$300,0),"0",1)</f>
        <v>0</v>
      </c>
    </row>
    <row r="195" spans="2:29" x14ac:dyDescent="0.35">
      <c r="B195" s="219"/>
      <c r="C195" s="216" t="s">
        <v>386</v>
      </c>
      <c r="D195" s="216"/>
      <c r="E195" s="220"/>
      <c r="F195" s="220"/>
      <c r="G195" s="220"/>
      <c r="H195" s="220" t="str">
        <f t="shared" si="14"/>
        <v/>
      </c>
      <c r="I195" s="460"/>
      <c r="J195" s="460"/>
      <c r="K195" s="460"/>
      <c r="L195" s="460"/>
      <c r="M195" s="460"/>
      <c r="N195" s="220"/>
      <c r="O195" s="220"/>
      <c r="P195" s="220"/>
      <c r="Q195" s="220"/>
      <c r="R195" s="221"/>
      <c r="S195" s="221"/>
      <c r="T195" s="316">
        <f t="shared" si="15"/>
        <v>0</v>
      </c>
      <c r="U195" s="217">
        <f t="shared" si="16"/>
        <v>0</v>
      </c>
      <c r="X195" s="26" t="str">
        <f t="shared" si="17"/>
        <v/>
      </c>
      <c r="Y195" s="21" t="str">
        <f>IF(MATCH(X195,X196:$X$300,0),"Si",1)</f>
        <v>Si</v>
      </c>
      <c r="Z195" s="26">
        <f t="shared" si="18"/>
        <v>0</v>
      </c>
      <c r="AA195" s="26">
        <f t="shared" si="19"/>
        <v>0</v>
      </c>
      <c r="AB195" s="26" t="str">
        <f t="shared" si="20"/>
        <v/>
      </c>
      <c r="AC195" s="26" t="str">
        <f>IF(MATCH(AB195,AB196:$AB$300,0),"0",1)</f>
        <v>0</v>
      </c>
    </row>
    <row r="196" spans="2:29" x14ac:dyDescent="0.35">
      <c r="B196" s="219"/>
      <c r="C196" s="216" t="s">
        <v>387</v>
      </c>
      <c r="D196" s="216"/>
      <c r="E196" s="220"/>
      <c r="F196" s="220"/>
      <c r="G196" s="220"/>
      <c r="H196" s="220" t="str">
        <f t="shared" si="14"/>
        <v/>
      </c>
      <c r="I196" s="460"/>
      <c r="J196" s="460"/>
      <c r="K196" s="460"/>
      <c r="L196" s="460"/>
      <c r="M196" s="460"/>
      <c r="N196" s="220"/>
      <c r="O196" s="220"/>
      <c r="P196" s="220"/>
      <c r="Q196" s="220"/>
      <c r="R196" s="221"/>
      <c r="S196" s="221"/>
      <c r="T196" s="316">
        <f t="shared" si="15"/>
        <v>0</v>
      </c>
      <c r="U196" s="217">
        <f t="shared" si="16"/>
        <v>0</v>
      </c>
      <c r="X196" s="26" t="str">
        <f t="shared" si="17"/>
        <v/>
      </c>
      <c r="Y196" s="21" t="str">
        <f>IF(MATCH(X196,X197:$X$300,0),"Si",1)</f>
        <v>Si</v>
      </c>
      <c r="Z196" s="26">
        <f t="shared" si="18"/>
        <v>0</v>
      </c>
      <c r="AA196" s="26">
        <f t="shared" si="19"/>
        <v>0</v>
      </c>
      <c r="AB196" s="26" t="str">
        <f t="shared" si="20"/>
        <v/>
      </c>
      <c r="AC196" s="26" t="str">
        <f>IF(MATCH(AB196,AB197:$AB$300,0),"0",1)</f>
        <v>0</v>
      </c>
    </row>
    <row r="197" spans="2:29" x14ac:dyDescent="0.35">
      <c r="B197" s="219"/>
      <c r="C197" s="216" t="s">
        <v>388</v>
      </c>
      <c r="D197" s="216"/>
      <c r="E197" s="220"/>
      <c r="F197" s="220"/>
      <c r="G197" s="220"/>
      <c r="H197" s="220" t="str">
        <f t="shared" si="14"/>
        <v/>
      </c>
      <c r="I197" s="460"/>
      <c r="J197" s="460"/>
      <c r="K197" s="460"/>
      <c r="L197" s="460"/>
      <c r="M197" s="460"/>
      <c r="N197" s="220"/>
      <c r="O197" s="220"/>
      <c r="P197" s="220"/>
      <c r="Q197" s="220"/>
      <c r="R197" s="221"/>
      <c r="S197" s="221"/>
      <c r="T197" s="316">
        <f t="shared" si="15"/>
        <v>0</v>
      </c>
      <c r="U197" s="217">
        <f t="shared" si="16"/>
        <v>0</v>
      </c>
      <c r="X197" s="26" t="str">
        <f t="shared" si="17"/>
        <v/>
      </c>
      <c r="Y197" s="21" t="str">
        <f>IF(MATCH(X197,X198:$X$300,0),"Si",1)</f>
        <v>Si</v>
      </c>
      <c r="Z197" s="26">
        <f t="shared" si="18"/>
        <v>0</v>
      </c>
      <c r="AA197" s="26">
        <f t="shared" si="19"/>
        <v>0</v>
      </c>
      <c r="AB197" s="26" t="str">
        <f t="shared" si="20"/>
        <v/>
      </c>
      <c r="AC197" s="26" t="str">
        <f>IF(MATCH(AB197,AB198:$AB$300,0),"0",1)</f>
        <v>0</v>
      </c>
    </row>
    <row r="198" spans="2:29" x14ac:dyDescent="0.35">
      <c r="B198" s="219"/>
      <c r="C198" s="216" t="s">
        <v>389</v>
      </c>
      <c r="D198" s="216"/>
      <c r="E198" s="220"/>
      <c r="F198" s="220"/>
      <c r="G198" s="220"/>
      <c r="H198" s="220" t="str">
        <f t="shared" si="14"/>
        <v/>
      </c>
      <c r="I198" s="460"/>
      <c r="J198" s="460"/>
      <c r="K198" s="460"/>
      <c r="L198" s="460"/>
      <c r="M198" s="460"/>
      <c r="N198" s="220"/>
      <c r="O198" s="220"/>
      <c r="P198" s="220"/>
      <c r="Q198" s="220"/>
      <c r="R198" s="221"/>
      <c r="S198" s="221"/>
      <c r="T198" s="316">
        <f t="shared" si="15"/>
        <v>0</v>
      </c>
      <c r="U198" s="217">
        <f t="shared" si="16"/>
        <v>0</v>
      </c>
      <c r="X198" s="26" t="str">
        <f t="shared" si="17"/>
        <v/>
      </c>
      <c r="Y198" s="21" t="str">
        <f>IF(MATCH(X198,X199:$X$300,0),"Si",1)</f>
        <v>Si</v>
      </c>
      <c r="Z198" s="26">
        <f t="shared" si="18"/>
        <v>0</v>
      </c>
      <c r="AA198" s="26">
        <f t="shared" si="19"/>
        <v>0</v>
      </c>
      <c r="AB198" s="26" t="str">
        <f t="shared" si="20"/>
        <v/>
      </c>
      <c r="AC198" s="26" t="str">
        <f>IF(MATCH(AB198,AB199:$AB$300,0),"0",1)</f>
        <v>0</v>
      </c>
    </row>
    <row r="199" spans="2:29" x14ac:dyDescent="0.35">
      <c r="B199" s="219"/>
      <c r="C199" s="216" t="s">
        <v>390</v>
      </c>
      <c r="D199" s="216"/>
      <c r="E199" s="220"/>
      <c r="F199" s="220"/>
      <c r="G199" s="220"/>
      <c r="H199" s="220" t="str">
        <f t="shared" si="14"/>
        <v/>
      </c>
      <c r="I199" s="460"/>
      <c r="J199" s="460"/>
      <c r="K199" s="460"/>
      <c r="L199" s="460"/>
      <c r="M199" s="460"/>
      <c r="N199" s="220"/>
      <c r="O199" s="220"/>
      <c r="P199" s="220"/>
      <c r="Q199" s="220"/>
      <c r="R199" s="221"/>
      <c r="S199" s="221"/>
      <c r="T199" s="316">
        <f t="shared" si="15"/>
        <v>0</v>
      </c>
      <c r="U199" s="217">
        <f t="shared" si="16"/>
        <v>0</v>
      </c>
      <c r="X199" s="26" t="str">
        <f t="shared" si="17"/>
        <v/>
      </c>
      <c r="Y199" s="21" t="str">
        <f>IF(MATCH(X199,X200:$X$300,0),"Si",1)</f>
        <v>Si</v>
      </c>
      <c r="Z199" s="26">
        <f t="shared" si="18"/>
        <v>0</v>
      </c>
      <c r="AA199" s="26">
        <f t="shared" si="19"/>
        <v>0</v>
      </c>
      <c r="AB199" s="26" t="str">
        <f t="shared" si="20"/>
        <v/>
      </c>
      <c r="AC199" s="26" t="str">
        <f>IF(MATCH(AB199,AB200:$AB$300,0),"0",1)</f>
        <v>0</v>
      </c>
    </row>
    <row r="200" spans="2:29" x14ac:dyDescent="0.35">
      <c r="B200" s="219"/>
      <c r="C200" s="216" t="s">
        <v>391</v>
      </c>
      <c r="D200" s="216"/>
      <c r="E200" s="220"/>
      <c r="F200" s="220"/>
      <c r="G200" s="220"/>
      <c r="H200" s="220" t="str">
        <f t="shared" si="14"/>
        <v/>
      </c>
      <c r="I200" s="460"/>
      <c r="J200" s="460"/>
      <c r="K200" s="460"/>
      <c r="L200" s="460"/>
      <c r="M200" s="460"/>
      <c r="N200" s="220"/>
      <c r="O200" s="220"/>
      <c r="P200" s="220"/>
      <c r="Q200" s="220"/>
      <c r="R200" s="221"/>
      <c r="S200" s="221"/>
      <c r="T200" s="316">
        <f t="shared" si="15"/>
        <v>0</v>
      </c>
      <c r="U200" s="217">
        <f t="shared" si="16"/>
        <v>0</v>
      </c>
      <c r="X200" s="26" t="str">
        <f t="shared" si="17"/>
        <v/>
      </c>
      <c r="Y200" s="21" t="str">
        <f>IF(MATCH(X200,X201:$X$300,0),"Si",1)</f>
        <v>Si</v>
      </c>
      <c r="Z200" s="26">
        <f t="shared" si="18"/>
        <v>0</v>
      </c>
      <c r="AA200" s="26">
        <f t="shared" si="19"/>
        <v>0</v>
      </c>
      <c r="AB200" s="26" t="str">
        <f t="shared" si="20"/>
        <v/>
      </c>
      <c r="AC200" s="26" t="str">
        <f>IF(MATCH(AB200,AB201:$AB$300,0),"0",1)</f>
        <v>0</v>
      </c>
    </row>
    <row r="201" spans="2:29" x14ac:dyDescent="0.35">
      <c r="B201" s="219"/>
      <c r="C201" s="216" t="s">
        <v>392</v>
      </c>
      <c r="D201" s="216"/>
      <c r="E201" s="220"/>
      <c r="F201" s="220"/>
      <c r="G201" s="220"/>
      <c r="H201" s="220" t="str">
        <f t="shared" si="14"/>
        <v/>
      </c>
      <c r="I201" s="460"/>
      <c r="J201" s="460"/>
      <c r="K201" s="460"/>
      <c r="L201" s="460"/>
      <c r="M201" s="460"/>
      <c r="N201" s="220"/>
      <c r="O201" s="220"/>
      <c r="P201" s="220"/>
      <c r="Q201" s="220"/>
      <c r="R201" s="221"/>
      <c r="S201" s="221"/>
      <c r="T201" s="316">
        <f t="shared" si="15"/>
        <v>0</v>
      </c>
      <c r="U201" s="217">
        <f t="shared" si="16"/>
        <v>0</v>
      </c>
      <c r="X201" s="26" t="str">
        <f t="shared" si="17"/>
        <v/>
      </c>
      <c r="Y201" s="21" t="str">
        <f>IF(MATCH(X201,X202:$X$300,0),"Si",1)</f>
        <v>Si</v>
      </c>
      <c r="Z201" s="26">
        <f t="shared" si="18"/>
        <v>0</v>
      </c>
      <c r="AA201" s="26">
        <f t="shared" si="19"/>
        <v>0</v>
      </c>
      <c r="AB201" s="26" t="str">
        <f t="shared" si="20"/>
        <v/>
      </c>
      <c r="AC201" s="26" t="str">
        <f>IF(MATCH(AB201,AB202:$AB$300,0),"0",1)</f>
        <v>0</v>
      </c>
    </row>
    <row r="202" spans="2:29" x14ac:dyDescent="0.35">
      <c r="B202" s="219"/>
      <c r="C202" s="216" t="s">
        <v>393</v>
      </c>
      <c r="D202" s="216"/>
      <c r="E202" s="220"/>
      <c r="F202" s="220"/>
      <c r="G202" s="220"/>
      <c r="H202" s="220" t="str">
        <f t="shared" si="14"/>
        <v/>
      </c>
      <c r="I202" s="460"/>
      <c r="J202" s="460"/>
      <c r="K202" s="460"/>
      <c r="L202" s="460"/>
      <c r="M202" s="460"/>
      <c r="N202" s="220"/>
      <c r="O202" s="220"/>
      <c r="P202" s="220"/>
      <c r="Q202" s="220"/>
      <c r="R202" s="221"/>
      <c r="S202" s="221"/>
      <c r="T202" s="316">
        <f t="shared" si="15"/>
        <v>0</v>
      </c>
      <c r="U202" s="217">
        <f t="shared" si="16"/>
        <v>0</v>
      </c>
      <c r="X202" s="26" t="str">
        <f t="shared" si="17"/>
        <v/>
      </c>
      <c r="Y202" s="21" t="str">
        <f>IF(MATCH(X202,X203:$X$300,0),"Si",1)</f>
        <v>Si</v>
      </c>
      <c r="Z202" s="26">
        <f t="shared" si="18"/>
        <v>0</v>
      </c>
      <c r="AA202" s="26">
        <f t="shared" si="19"/>
        <v>0</v>
      </c>
      <c r="AB202" s="26" t="str">
        <f t="shared" si="20"/>
        <v/>
      </c>
      <c r="AC202" s="26" t="str">
        <f>IF(MATCH(AB202,AB203:$AB$300,0),"0",1)</f>
        <v>0</v>
      </c>
    </row>
    <row r="203" spans="2:29" x14ac:dyDescent="0.35">
      <c r="B203" s="219"/>
      <c r="C203" s="216" t="s">
        <v>394</v>
      </c>
      <c r="D203" s="216"/>
      <c r="E203" s="220"/>
      <c r="F203" s="220"/>
      <c r="G203" s="220"/>
      <c r="H203" s="220" t="str">
        <f t="shared" si="14"/>
        <v/>
      </c>
      <c r="I203" s="460"/>
      <c r="J203" s="460"/>
      <c r="K203" s="460"/>
      <c r="L203" s="460"/>
      <c r="M203" s="460"/>
      <c r="N203" s="220"/>
      <c r="O203" s="220"/>
      <c r="P203" s="220"/>
      <c r="Q203" s="220"/>
      <c r="R203" s="221"/>
      <c r="S203" s="221"/>
      <c r="T203" s="316">
        <f t="shared" si="15"/>
        <v>0</v>
      </c>
      <c r="U203" s="217">
        <f t="shared" si="16"/>
        <v>0</v>
      </c>
      <c r="X203" s="26" t="str">
        <f t="shared" si="17"/>
        <v/>
      </c>
      <c r="Y203" s="21" t="str">
        <f>IF(MATCH(X203,X204:$X$300,0),"Si",1)</f>
        <v>Si</v>
      </c>
      <c r="Z203" s="26">
        <f t="shared" si="18"/>
        <v>0</v>
      </c>
      <c r="AA203" s="26">
        <f t="shared" si="19"/>
        <v>0</v>
      </c>
      <c r="AB203" s="26" t="str">
        <f t="shared" si="20"/>
        <v/>
      </c>
      <c r="AC203" s="26" t="str">
        <f>IF(MATCH(AB203,AB204:$AB$300,0),"0",1)</f>
        <v>0</v>
      </c>
    </row>
    <row r="204" spans="2:29" x14ac:dyDescent="0.35">
      <c r="B204" s="219"/>
      <c r="C204" s="216" t="s">
        <v>395</v>
      </c>
      <c r="D204" s="216"/>
      <c r="E204" s="220"/>
      <c r="F204" s="220"/>
      <c r="G204" s="220"/>
      <c r="H204" s="220" t="str">
        <f t="shared" si="14"/>
        <v/>
      </c>
      <c r="I204" s="460"/>
      <c r="J204" s="460"/>
      <c r="K204" s="460"/>
      <c r="L204" s="460"/>
      <c r="M204" s="460"/>
      <c r="N204" s="220"/>
      <c r="O204" s="220"/>
      <c r="P204" s="220"/>
      <c r="Q204" s="220"/>
      <c r="R204" s="221"/>
      <c r="S204" s="221"/>
      <c r="T204" s="316">
        <f t="shared" si="15"/>
        <v>0</v>
      </c>
      <c r="U204" s="217">
        <f t="shared" si="16"/>
        <v>0</v>
      </c>
      <c r="X204" s="26" t="str">
        <f t="shared" si="17"/>
        <v/>
      </c>
      <c r="Y204" s="21" t="str">
        <f>IF(MATCH(X204,X205:$X$300,0),"Si",1)</f>
        <v>Si</v>
      </c>
      <c r="Z204" s="26">
        <f t="shared" si="18"/>
        <v>0</v>
      </c>
      <c r="AA204" s="26">
        <f t="shared" si="19"/>
        <v>0</v>
      </c>
      <c r="AB204" s="26" t="str">
        <f t="shared" si="20"/>
        <v/>
      </c>
      <c r="AC204" s="26" t="str">
        <f>IF(MATCH(AB204,AB205:$AB$300,0),"0",1)</f>
        <v>0</v>
      </c>
    </row>
    <row r="205" spans="2:29" x14ac:dyDescent="0.35">
      <c r="B205" s="219"/>
      <c r="C205" s="216" t="s">
        <v>396</v>
      </c>
      <c r="D205" s="216"/>
      <c r="E205" s="220"/>
      <c r="F205" s="220"/>
      <c r="G205" s="220"/>
      <c r="H205" s="220" t="str">
        <f t="shared" si="14"/>
        <v/>
      </c>
      <c r="I205" s="460"/>
      <c r="J205" s="460"/>
      <c r="K205" s="460"/>
      <c r="L205" s="460"/>
      <c r="M205" s="460"/>
      <c r="N205" s="220"/>
      <c r="O205" s="220"/>
      <c r="P205" s="220"/>
      <c r="Q205" s="220"/>
      <c r="R205" s="221"/>
      <c r="S205" s="221"/>
      <c r="T205" s="316">
        <f t="shared" si="15"/>
        <v>0</v>
      </c>
      <c r="U205" s="217">
        <f t="shared" si="16"/>
        <v>0</v>
      </c>
      <c r="X205" s="26" t="str">
        <f t="shared" si="17"/>
        <v/>
      </c>
      <c r="Y205" s="21" t="str">
        <f>IF(MATCH(X205,X206:$X$300,0),"Si",1)</f>
        <v>Si</v>
      </c>
      <c r="Z205" s="26">
        <f t="shared" si="18"/>
        <v>0</v>
      </c>
      <c r="AA205" s="26">
        <f t="shared" si="19"/>
        <v>0</v>
      </c>
      <c r="AB205" s="26" t="str">
        <f t="shared" si="20"/>
        <v/>
      </c>
      <c r="AC205" s="26" t="str">
        <f>IF(MATCH(AB205,AB206:$AB$300,0),"0",1)</f>
        <v>0</v>
      </c>
    </row>
    <row r="206" spans="2:29" x14ac:dyDescent="0.35">
      <c r="B206" s="219"/>
      <c r="C206" s="216" t="s">
        <v>397</v>
      </c>
      <c r="D206" s="216"/>
      <c r="E206" s="220"/>
      <c r="F206" s="220"/>
      <c r="G206" s="220"/>
      <c r="H206" s="220" t="str">
        <f t="shared" si="14"/>
        <v/>
      </c>
      <c r="I206" s="460"/>
      <c r="J206" s="460"/>
      <c r="K206" s="460"/>
      <c r="L206" s="460"/>
      <c r="M206" s="460"/>
      <c r="N206" s="220"/>
      <c r="O206" s="220"/>
      <c r="P206" s="220"/>
      <c r="Q206" s="220"/>
      <c r="R206" s="221"/>
      <c r="S206" s="221"/>
      <c r="T206" s="316">
        <f t="shared" si="15"/>
        <v>0</v>
      </c>
      <c r="U206" s="217">
        <f t="shared" si="16"/>
        <v>0</v>
      </c>
      <c r="X206" s="26" t="str">
        <f t="shared" si="17"/>
        <v/>
      </c>
      <c r="Y206" s="21" t="str">
        <f>IF(MATCH(X206,X207:$X$300,0),"Si",1)</f>
        <v>Si</v>
      </c>
      <c r="Z206" s="26">
        <f t="shared" si="18"/>
        <v>0</v>
      </c>
      <c r="AA206" s="26">
        <f t="shared" si="19"/>
        <v>0</v>
      </c>
      <c r="AB206" s="26" t="str">
        <f t="shared" si="20"/>
        <v/>
      </c>
      <c r="AC206" s="26" t="str">
        <f>IF(MATCH(AB206,AB207:$AB$300,0),"0",1)</f>
        <v>0</v>
      </c>
    </row>
    <row r="207" spans="2:29" x14ac:dyDescent="0.35">
      <c r="B207" s="219"/>
      <c r="C207" s="216" t="s">
        <v>398</v>
      </c>
      <c r="D207" s="216"/>
      <c r="E207" s="220"/>
      <c r="F207" s="220"/>
      <c r="G207" s="220"/>
      <c r="H207" s="220" t="str">
        <f t="shared" si="14"/>
        <v/>
      </c>
      <c r="I207" s="460"/>
      <c r="J207" s="460"/>
      <c r="K207" s="460"/>
      <c r="L207" s="460"/>
      <c r="M207" s="460"/>
      <c r="N207" s="220"/>
      <c r="O207" s="220"/>
      <c r="P207" s="220"/>
      <c r="Q207" s="220"/>
      <c r="R207" s="221"/>
      <c r="S207" s="221"/>
      <c r="T207" s="316">
        <f t="shared" si="15"/>
        <v>0</v>
      </c>
      <c r="U207" s="217">
        <f t="shared" si="16"/>
        <v>0</v>
      </c>
      <c r="X207" s="26" t="str">
        <f t="shared" si="17"/>
        <v/>
      </c>
      <c r="Y207" s="21" t="str">
        <f>IF(MATCH(X207,X208:$X$300,0),"Si",1)</f>
        <v>Si</v>
      </c>
      <c r="Z207" s="26">
        <f t="shared" si="18"/>
        <v>0</v>
      </c>
      <c r="AA207" s="26">
        <f t="shared" si="19"/>
        <v>0</v>
      </c>
      <c r="AB207" s="26" t="str">
        <f t="shared" si="20"/>
        <v/>
      </c>
      <c r="AC207" s="26" t="str">
        <f>IF(MATCH(AB207,AB208:$AB$300,0),"0",1)</f>
        <v>0</v>
      </c>
    </row>
    <row r="208" spans="2:29" x14ac:dyDescent="0.35">
      <c r="B208" s="219"/>
      <c r="C208" s="216" t="s">
        <v>399</v>
      </c>
      <c r="D208" s="216"/>
      <c r="E208" s="220"/>
      <c r="F208" s="220"/>
      <c r="G208" s="220"/>
      <c r="H208" s="220" t="str">
        <f t="shared" si="14"/>
        <v/>
      </c>
      <c r="I208" s="460"/>
      <c r="J208" s="460"/>
      <c r="K208" s="460"/>
      <c r="L208" s="460"/>
      <c r="M208" s="460"/>
      <c r="N208" s="220"/>
      <c r="O208" s="220"/>
      <c r="P208" s="220"/>
      <c r="Q208" s="220"/>
      <c r="R208" s="221"/>
      <c r="S208" s="221"/>
      <c r="T208" s="316">
        <f t="shared" si="15"/>
        <v>0</v>
      </c>
      <c r="U208" s="217">
        <f t="shared" si="16"/>
        <v>0</v>
      </c>
      <c r="X208" s="26" t="str">
        <f t="shared" si="17"/>
        <v/>
      </c>
      <c r="Y208" s="21" t="str">
        <f>IF(MATCH(X208,X209:$X$300,0),"Si",1)</f>
        <v>Si</v>
      </c>
      <c r="Z208" s="26">
        <f t="shared" si="18"/>
        <v>0</v>
      </c>
      <c r="AA208" s="26">
        <f t="shared" si="19"/>
        <v>0</v>
      </c>
      <c r="AB208" s="26" t="str">
        <f t="shared" si="20"/>
        <v/>
      </c>
      <c r="AC208" s="26" t="str">
        <f>IF(MATCH(AB208,AB209:$AB$300,0),"0",1)</f>
        <v>0</v>
      </c>
    </row>
    <row r="209" spans="2:29" x14ac:dyDescent="0.35">
      <c r="B209" s="219"/>
      <c r="C209" s="216" t="s">
        <v>400</v>
      </c>
      <c r="D209" s="216"/>
      <c r="E209" s="220"/>
      <c r="F209" s="220"/>
      <c r="G209" s="220"/>
      <c r="H209" s="220" t="str">
        <f t="shared" si="14"/>
        <v/>
      </c>
      <c r="I209" s="460"/>
      <c r="J209" s="460"/>
      <c r="K209" s="460"/>
      <c r="L209" s="460"/>
      <c r="M209" s="460"/>
      <c r="N209" s="220"/>
      <c r="O209" s="220"/>
      <c r="P209" s="220"/>
      <c r="Q209" s="220"/>
      <c r="R209" s="221"/>
      <c r="S209" s="221"/>
      <c r="T209" s="316">
        <f t="shared" si="15"/>
        <v>0</v>
      </c>
      <c r="U209" s="217">
        <f t="shared" si="16"/>
        <v>0</v>
      </c>
      <c r="X209" s="26" t="str">
        <f t="shared" si="17"/>
        <v/>
      </c>
      <c r="Y209" s="21" t="str">
        <f>IF(MATCH(X209,X210:$X$300,0),"Si",1)</f>
        <v>Si</v>
      </c>
      <c r="Z209" s="26">
        <f t="shared" si="18"/>
        <v>0</v>
      </c>
      <c r="AA209" s="26">
        <f t="shared" si="19"/>
        <v>0</v>
      </c>
      <c r="AB209" s="26" t="str">
        <f t="shared" si="20"/>
        <v/>
      </c>
      <c r="AC209" s="26" t="str">
        <f>IF(MATCH(AB209,AB210:$AB$300,0),"0",1)</f>
        <v>0</v>
      </c>
    </row>
    <row r="210" spans="2:29" x14ac:dyDescent="0.35">
      <c r="B210" s="219"/>
      <c r="C210" s="216" t="s">
        <v>401</v>
      </c>
      <c r="D210" s="216"/>
      <c r="E210" s="220"/>
      <c r="F210" s="220"/>
      <c r="G210" s="220"/>
      <c r="H210" s="220" t="str">
        <f t="shared" ref="H210:H273" si="21">IF(G210=0,"",IF(G210&lt;&gt;"Error","No",""))</f>
        <v/>
      </c>
      <c r="I210" s="460"/>
      <c r="J210" s="460"/>
      <c r="K210" s="460"/>
      <c r="L210" s="460"/>
      <c r="M210" s="460"/>
      <c r="N210" s="220"/>
      <c r="O210" s="220"/>
      <c r="P210" s="220"/>
      <c r="Q210" s="220"/>
      <c r="R210" s="221"/>
      <c r="S210" s="221"/>
      <c r="T210" s="316">
        <f t="shared" si="15"/>
        <v>0</v>
      </c>
      <c r="U210" s="217">
        <f t="shared" si="16"/>
        <v>0</v>
      </c>
      <c r="X210" s="26" t="str">
        <f t="shared" si="17"/>
        <v/>
      </c>
      <c r="Y210" s="21" t="str">
        <f>IF(MATCH(X210,X211:$X$300,0),"Si",1)</f>
        <v>Si</v>
      </c>
      <c r="Z210" s="26">
        <f t="shared" si="18"/>
        <v>0</v>
      </c>
      <c r="AA210" s="26">
        <f t="shared" si="19"/>
        <v>0</v>
      </c>
      <c r="AB210" s="26" t="str">
        <f t="shared" si="20"/>
        <v/>
      </c>
      <c r="AC210" s="26" t="str">
        <f>IF(MATCH(AB210,AB211:$AB$300,0),"0",1)</f>
        <v>0</v>
      </c>
    </row>
    <row r="211" spans="2:29" x14ac:dyDescent="0.35">
      <c r="B211" s="219"/>
      <c r="C211" s="216" t="s">
        <v>402</v>
      </c>
      <c r="D211" s="216"/>
      <c r="E211" s="220"/>
      <c r="F211" s="220"/>
      <c r="G211" s="220"/>
      <c r="H211" s="220" t="str">
        <f t="shared" si="21"/>
        <v/>
      </c>
      <c r="I211" s="460"/>
      <c r="J211" s="460"/>
      <c r="K211" s="460"/>
      <c r="L211" s="460"/>
      <c r="M211" s="460"/>
      <c r="N211" s="220"/>
      <c r="O211" s="220"/>
      <c r="P211" s="220"/>
      <c r="Q211" s="220"/>
      <c r="R211" s="221"/>
      <c r="S211" s="221"/>
      <c r="T211" s="316">
        <f t="shared" ref="T211:T274" si="22">IF(S211=0,0,IF(S211&lt;R211,"Error en fecha solución",IFERROR(AC211,NETWORKDAYS(R211,S211)-1)))</f>
        <v>0</v>
      </c>
      <c r="U211" s="217">
        <f t="shared" ref="U211:U274" si="23">IFERROR(T211*8,"Error")</f>
        <v>0</v>
      </c>
      <c r="X211" s="26" t="str">
        <f t="shared" ref="X211:X274" si="24">CONCATENATE(H211,O211,R211,S211)</f>
        <v/>
      </c>
      <c r="Y211" s="21" t="str">
        <f>IF(MATCH(X211,X212:$X$300,0),"Si",1)</f>
        <v>Si</v>
      </c>
      <c r="Z211" s="26">
        <f t="shared" ref="Z211:Z274" si="25">IF(S211=0,0,IF(S211&lt;R211,"Error en fecha solución",IF(Y211="Si",0,IFERROR(Y211,NETWORKDAYS(R211,S211)-1))))</f>
        <v>0</v>
      </c>
      <c r="AA211" s="26">
        <f t="shared" ref="AA211:AA274" si="26">IF(S211=0,0,IF(S211&lt;R211,"Error en fecha solución",IFERROR(Z211,NETWORKDAYS(R211,S211)-1)))</f>
        <v>0</v>
      </c>
      <c r="AB211" s="26" t="str">
        <f t="shared" ref="AB211:AB274" si="27">CONCATENATE(R211,S211)</f>
        <v/>
      </c>
      <c r="AC211" s="26" t="str">
        <f>IF(MATCH(AB211,AB212:$AB$300,0),"0",1)</f>
        <v>0</v>
      </c>
    </row>
    <row r="212" spans="2:29" x14ac:dyDescent="0.35">
      <c r="B212" s="219"/>
      <c r="C212" s="216" t="s">
        <v>403</v>
      </c>
      <c r="D212" s="216"/>
      <c r="E212" s="220"/>
      <c r="F212" s="220"/>
      <c r="G212" s="220"/>
      <c r="H212" s="220" t="str">
        <f t="shared" si="21"/>
        <v/>
      </c>
      <c r="I212" s="460"/>
      <c r="J212" s="460"/>
      <c r="K212" s="460"/>
      <c r="L212" s="460"/>
      <c r="M212" s="460"/>
      <c r="N212" s="220"/>
      <c r="O212" s="220"/>
      <c r="P212" s="220"/>
      <c r="Q212" s="220"/>
      <c r="R212" s="221"/>
      <c r="S212" s="221"/>
      <c r="T212" s="316">
        <f t="shared" si="22"/>
        <v>0</v>
      </c>
      <c r="U212" s="217">
        <f t="shared" si="23"/>
        <v>0</v>
      </c>
      <c r="X212" s="26" t="str">
        <f t="shared" si="24"/>
        <v/>
      </c>
      <c r="Y212" s="21" t="str">
        <f>IF(MATCH(X212,X213:$X$300,0),"Si",1)</f>
        <v>Si</v>
      </c>
      <c r="Z212" s="26">
        <f t="shared" si="25"/>
        <v>0</v>
      </c>
      <c r="AA212" s="26">
        <f t="shared" si="26"/>
        <v>0</v>
      </c>
      <c r="AB212" s="26" t="str">
        <f t="shared" si="27"/>
        <v/>
      </c>
      <c r="AC212" s="26" t="str">
        <f>IF(MATCH(AB212,AB213:$AB$300,0),"0",1)</f>
        <v>0</v>
      </c>
    </row>
    <row r="213" spans="2:29" x14ac:dyDescent="0.35">
      <c r="B213" s="219"/>
      <c r="C213" s="216" t="s">
        <v>404</v>
      </c>
      <c r="D213" s="216"/>
      <c r="E213" s="220"/>
      <c r="F213" s="220"/>
      <c r="G213" s="220"/>
      <c r="H213" s="220" t="str">
        <f t="shared" si="21"/>
        <v/>
      </c>
      <c r="I213" s="460"/>
      <c r="J213" s="460"/>
      <c r="K213" s="460"/>
      <c r="L213" s="460"/>
      <c r="M213" s="460"/>
      <c r="N213" s="220"/>
      <c r="O213" s="220"/>
      <c r="P213" s="220"/>
      <c r="Q213" s="220"/>
      <c r="R213" s="221"/>
      <c r="S213" s="221"/>
      <c r="T213" s="316">
        <f t="shared" si="22"/>
        <v>0</v>
      </c>
      <c r="U213" s="217">
        <f t="shared" si="23"/>
        <v>0</v>
      </c>
      <c r="X213" s="26" t="str">
        <f t="shared" si="24"/>
        <v/>
      </c>
      <c r="Y213" s="21" t="str">
        <f>IF(MATCH(X213,X214:$X$300,0),"Si",1)</f>
        <v>Si</v>
      </c>
      <c r="Z213" s="26">
        <f t="shared" si="25"/>
        <v>0</v>
      </c>
      <c r="AA213" s="26">
        <f t="shared" si="26"/>
        <v>0</v>
      </c>
      <c r="AB213" s="26" t="str">
        <f t="shared" si="27"/>
        <v/>
      </c>
      <c r="AC213" s="26" t="str">
        <f>IF(MATCH(AB213,AB214:$AB$300,0),"0",1)</f>
        <v>0</v>
      </c>
    </row>
    <row r="214" spans="2:29" x14ac:dyDescent="0.35">
      <c r="B214" s="219"/>
      <c r="C214" s="216" t="s">
        <v>405</v>
      </c>
      <c r="D214" s="216"/>
      <c r="E214" s="220"/>
      <c r="F214" s="220"/>
      <c r="G214" s="220"/>
      <c r="H214" s="220" t="str">
        <f t="shared" si="21"/>
        <v/>
      </c>
      <c r="I214" s="460"/>
      <c r="J214" s="460"/>
      <c r="K214" s="460"/>
      <c r="L214" s="460"/>
      <c r="M214" s="460"/>
      <c r="N214" s="220"/>
      <c r="O214" s="220"/>
      <c r="P214" s="220"/>
      <c r="Q214" s="220"/>
      <c r="R214" s="221"/>
      <c r="S214" s="221"/>
      <c r="T214" s="316">
        <f t="shared" si="22"/>
        <v>0</v>
      </c>
      <c r="U214" s="217">
        <f t="shared" si="23"/>
        <v>0</v>
      </c>
      <c r="X214" s="26" t="str">
        <f t="shared" si="24"/>
        <v/>
      </c>
      <c r="Y214" s="21" t="str">
        <f>IF(MATCH(X214,X215:$X$300,0),"Si",1)</f>
        <v>Si</v>
      </c>
      <c r="Z214" s="26">
        <f t="shared" si="25"/>
        <v>0</v>
      </c>
      <c r="AA214" s="26">
        <f t="shared" si="26"/>
        <v>0</v>
      </c>
      <c r="AB214" s="26" t="str">
        <f t="shared" si="27"/>
        <v/>
      </c>
      <c r="AC214" s="26" t="str">
        <f>IF(MATCH(AB214,AB215:$AB$300,0),"0",1)</f>
        <v>0</v>
      </c>
    </row>
    <row r="215" spans="2:29" x14ac:dyDescent="0.35">
      <c r="B215" s="219"/>
      <c r="C215" s="216" t="s">
        <v>406</v>
      </c>
      <c r="D215" s="216"/>
      <c r="E215" s="220"/>
      <c r="F215" s="220"/>
      <c r="G215" s="220"/>
      <c r="H215" s="220" t="str">
        <f t="shared" si="21"/>
        <v/>
      </c>
      <c r="I215" s="460"/>
      <c r="J215" s="460"/>
      <c r="K215" s="460"/>
      <c r="L215" s="460"/>
      <c r="M215" s="460"/>
      <c r="N215" s="220"/>
      <c r="O215" s="220"/>
      <c r="P215" s="220"/>
      <c r="Q215" s="220"/>
      <c r="R215" s="221"/>
      <c r="S215" s="221"/>
      <c r="T215" s="316">
        <f t="shared" si="22"/>
        <v>0</v>
      </c>
      <c r="U215" s="217">
        <f t="shared" si="23"/>
        <v>0</v>
      </c>
      <c r="X215" s="26" t="str">
        <f t="shared" si="24"/>
        <v/>
      </c>
      <c r="Y215" s="21" t="str">
        <f>IF(MATCH(X215,X216:$X$300,0),"Si",1)</f>
        <v>Si</v>
      </c>
      <c r="Z215" s="26">
        <f t="shared" si="25"/>
        <v>0</v>
      </c>
      <c r="AA215" s="26">
        <f t="shared" si="26"/>
        <v>0</v>
      </c>
      <c r="AB215" s="26" t="str">
        <f t="shared" si="27"/>
        <v/>
      </c>
      <c r="AC215" s="26" t="str">
        <f>IF(MATCH(AB215,AB216:$AB$300,0),"0",1)</f>
        <v>0</v>
      </c>
    </row>
    <row r="216" spans="2:29" x14ac:dyDescent="0.35">
      <c r="B216" s="219"/>
      <c r="C216" s="216" t="s">
        <v>407</v>
      </c>
      <c r="D216" s="216"/>
      <c r="E216" s="220"/>
      <c r="F216" s="220"/>
      <c r="G216" s="220"/>
      <c r="H216" s="220" t="str">
        <f t="shared" si="21"/>
        <v/>
      </c>
      <c r="I216" s="460"/>
      <c r="J216" s="460"/>
      <c r="K216" s="460"/>
      <c r="L216" s="460"/>
      <c r="M216" s="460"/>
      <c r="N216" s="220"/>
      <c r="O216" s="220"/>
      <c r="P216" s="220"/>
      <c r="Q216" s="220"/>
      <c r="R216" s="221"/>
      <c r="S216" s="221"/>
      <c r="T216" s="316">
        <f t="shared" si="22"/>
        <v>0</v>
      </c>
      <c r="U216" s="217">
        <f t="shared" si="23"/>
        <v>0</v>
      </c>
      <c r="X216" s="26" t="str">
        <f t="shared" si="24"/>
        <v/>
      </c>
      <c r="Y216" s="21" t="str">
        <f>IF(MATCH(X216,X217:$X$300,0),"Si",1)</f>
        <v>Si</v>
      </c>
      <c r="Z216" s="26">
        <f t="shared" si="25"/>
        <v>0</v>
      </c>
      <c r="AA216" s="26">
        <f t="shared" si="26"/>
        <v>0</v>
      </c>
      <c r="AB216" s="26" t="str">
        <f t="shared" si="27"/>
        <v/>
      </c>
      <c r="AC216" s="26" t="str">
        <f>IF(MATCH(AB216,AB217:$AB$300,0),"0",1)</f>
        <v>0</v>
      </c>
    </row>
    <row r="217" spans="2:29" x14ac:dyDescent="0.35">
      <c r="B217" s="219"/>
      <c r="C217" s="216" t="s">
        <v>408</v>
      </c>
      <c r="D217" s="216"/>
      <c r="E217" s="220"/>
      <c r="F217" s="220"/>
      <c r="G217" s="220"/>
      <c r="H217" s="220" t="str">
        <f t="shared" si="21"/>
        <v/>
      </c>
      <c r="I217" s="460"/>
      <c r="J217" s="460"/>
      <c r="K217" s="460"/>
      <c r="L217" s="460"/>
      <c r="M217" s="460"/>
      <c r="N217" s="220"/>
      <c r="O217" s="220"/>
      <c r="P217" s="220"/>
      <c r="Q217" s="220"/>
      <c r="R217" s="221"/>
      <c r="S217" s="221"/>
      <c r="T217" s="316">
        <f t="shared" si="22"/>
        <v>0</v>
      </c>
      <c r="U217" s="217">
        <f t="shared" si="23"/>
        <v>0</v>
      </c>
      <c r="X217" s="26" t="str">
        <f t="shared" si="24"/>
        <v/>
      </c>
      <c r="Y217" s="21" t="str">
        <f>IF(MATCH(X217,X218:$X$300,0),"Si",1)</f>
        <v>Si</v>
      </c>
      <c r="Z217" s="26">
        <f t="shared" si="25"/>
        <v>0</v>
      </c>
      <c r="AA217" s="26">
        <f t="shared" si="26"/>
        <v>0</v>
      </c>
      <c r="AB217" s="26" t="str">
        <f t="shared" si="27"/>
        <v/>
      </c>
      <c r="AC217" s="26" t="str">
        <f>IF(MATCH(AB217,AB218:$AB$300,0),"0",1)</f>
        <v>0</v>
      </c>
    </row>
    <row r="218" spans="2:29" x14ac:dyDescent="0.35">
      <c r="B218" s="219"/>
      <c r="C218" s="216" t="s">
        <v>409</v>
      </c>
      <c r="D218" s="216"/>
      <c r="E218" s="220"/>
      <c r="F218" s="220"/>
      <c r="G218" s="220"/>
      <c r="H218" s="220" t="str">
        <f t="shared" si="21"/>
        <v/>
      </c>
      <c r="I218" s="460"/>
      <c r="J218" s="460"/>
      <c r="K218" s="460"/>
      <c r="L218" s="460"/>
      <c r="M218" s="460"/>
      <c r="N218" s="220"/>
      <c r="O218" s="220"/>
      <c r="P218" s="220"/>
      <c r="Q218" s="220"/>
      <c r="R218" s="221"/>
      <c r="S218" s="221"/>
      <c r="T218" s="316">
        <f t="shared" si="22"/>
        <v>0</v>
      </c>
      <c r="U218" s="217">
        <f t="shared" si="23"/>
        <v>0</v>
      </c>
      <c r="X218" s="26" t="str">
        <f t="shared" si="24"/>
        <v/>
      </c>
      <c r="Y218" s="21" t="str">
        <f>IF(MATCH(X218,X219:$X$300,0),"Si",1)</f>
        <v>Si</v>
      </c>
      <c r="Z218" s="26">
        <f t="shared" si="25"/>
        <v>0</v>
      </c>
      <c r="AA218" s="26">
        <f t="shared" si="26"/>
        <v>0</v>
      </c>
      <c r="AB218" s="26" t="str">
        <f t="shared" si="27"/>
        <v/>
      </c>
      <c r="AC218" s="26" t="str">
        <f>IF(MATCH(AB218,AB219:$AB$300,0),"0",1)</f>
        <v>0</v>
      </c>
    </row>
    <row r="219" spans="2:29" x14ac:dyDescent="0.35">
      <c r="B219" s="219"/>
      <c r="C219" s="216" t="s">
        <v>410</v>
      </c>
      <c r="D219" s="216"/>
      <c r="E219" s="220"/>
      <c r="F219" s="220"/>
      <c r="G219" s="220"/>
      <c r="H219" s="220" t="str">
        <f t="shared" si="21"/>
        <v/>
      </c>
      <c r="I219" s="460"/>
      <c r="J219" s="460"/>
      <c r="K219" s="460"/>
      <c r="L219" s="460"/>
      <c r="M219" s="460"/>
      <c r="N219" s="220"/>
      <c r="O219" s="220"/>
      <c r="P219" s="220"/>
      <c r="Q219" s="220"/>
      <c r="R219" s="221"/>
      <c r="S219" s="221"/>
      <c r="T219" s="316">
        <f t="shared" si="22"/>
        <v>0</v>
      </c>
      <c r="U219" s="217">
        <f t="shared" si="23"/>
        <v>0</v>
      </c>
      <c r="X219" s="26" t="str">
        <f t="shared" si="24"/>
        <v/>
      </c>
      <c r="Y219" s="21" t="str">
        <f>IF(MATCH(X219,X220:$X$300,0),"Si",1)</f>
        <v>Si</v>
      </c>
      <c r="Z219" s="26">
        <f t="shared" si="25"/>
        <v>0</v>
      </c>
      <c r="AA219" s="26">
        <f t="shared" si="26"/>
        <v>0</v>
      </c>
      <c r="AB219" s="26" t="str">
        <f t="shared" si="27"/>
        <v/>
      </c>
      <c r="AC219" s="26" t="str">
        <f>IF(MATCH(AB219,AB220:$AB$300,0),"0",1)</f>
        <v>0</v>
      </c>
    </row>
    <row r="220" spans="2:29" x14ac:dyDescent="0.35">
      <c r="B220" s="219"/>
      <c r="C220" s="216" t="s">
        <v>411</v>
      </c>
      <c r="D220" s="216"/>
      <c r="E220" s="220"/>
      <c r="F220" s="220"/>
      <c r="G220" s="220"/>
      <c r="H220" s="220" t="str">
        <f t="shared" si="21"/>
        <v/>
      </c>
      <c r="I220" s="460"/>
      <c r="J220" s="460"/>
      <c r="K220" s="460"/>
      <c r="L220" s="460"/>
      <c r="M220" s="460"/>
      <c r="N220" s="220"/>
      <c r="O220" s="220"/>
      <c r="P220" s="220"/>
      <c r="Q220" s="220"/>
      <c r="R220" s="221"/>
      <c r="S220" s="221"/>
      <c r="T220" s="316">
        <f t="shared" si="22"/>
        <v>0</v>
      </c>
      <c r="U220" s="217">
        <f t="shared" si="23"/>
        <v>0</v>
      </c>
      <c r="X220" s="26" t="str">
        <f t="shared" si="24"/>
        <v/>
      </c>
      <c r="Y220" s="21" t="str">
        <f>IF(MATCH(X220,X221:$X$300,0),"Si",1)</f>
        <v>Si</v>
      </c>
      <c r="Z220" s="26">
        <f t="shared" si="25"/>
        <v>0</v>
      </c>
      <c r="AA220" s="26">
        <f t="shared" si="26"/>
        <v>0</v>
      </c>
      <c r="AB220" s="26" t="str">
        <f t="shared" si="27"/>
        <v/>
      </c>
      <c r="AC220" s="26" t="str">
        <f>IF(MATCH(AB220,AB221:$AB$300,0),"0",1)</f>
        <v>0</v>
      </c>
    </row>
    <row r="221" spans="2:29" x14ac:dyDescent="0.35">
      <c r="B221" s="219"/>
      <c r="C221" s="216" t="s">
        <v>412</v>
      </c>
      <c r="D221" s="216"/>
      <c r="E221" s="220"/>
      <c r="F221" s="220"/>
      <c r="G221" s="220"/>
      <c r="H221" s="220" t="str">
        <f t="shared" si="21"/>
        <v/>
      </c>
      <c r="I221" s="460"/>
      <c r="J221" s="460"/>
      <c r="K221" s="460"/>
      <c r="L221" s="460"/>
      <c r="M221" s="460"/>
      <c r="N221" s="220"/>
      <c r="O221" s="220"/>
      <c r="P221" s="220"/>
      <c r="Q221" s="220"/>
      <c r="R221" s="221"/>
      <c r="S221" s="221"/>
      <c r="T221" s="316">
        <f t="shared" si="22"/>
        <v>0</v>
      </c>
      <c r="U221" s="217">
        <f t="shared" si="23"/>
        <v>0</v>
      </c>
      <c r="X221" s="26" t="str">
        <f t="shared" si="24"/>
        <v/>
      </c>
      <c r="Y221" s="21" t="str">
        <f>IF(MATCH(X221,X222:$X$300,0),"Si",1)</f>
        <v>Si</v>
      </c>
      <c r="Z221" s="26">
        <f t="shared" si="25"/>
        <v>0</v>
      </c>
      <c r="AA221" s="26">
        <f t="shared" si="26"/>
        <v>0</v>
      </c>
      <c r="AB221" s="26" t="str">
        <f t="shared" si="27"/>
        <v/>
      </c>
      <c r="AC221" s="26" t="str">
        <f>IF(MATCH(AB221,AB222:$AB$300,0),"0",1)</f>
        <v>0</v>
      </c>
    </row>
    <row r="222" spans="2:29" x14ac:dyDescent="0.35">
      <c r="B222" s="219"/>
      <c r="C222" s="216" t="s">
        <v>413</v>
      </c>
      <c r="D222" s="216"/>
      <c r="E222" s="220"/>
      <c r="F222" s="220"/>
      <c r="G222" s="220"/>
      <c r="H222" s="220" t="str">
        <f t="shared" si="21"/>
        <v/>
      </c>
      <c r="I222" s="460"/>
      <c r="J222" s="460"/>
      <c r="K222" s="460"/>
      <c r="L222" s="460"/>
      <c r="M222" s="460"/>
      <c r="N222" s="220"/>
      <c r="O222" s="220"/>
      <c r="P222" s="220"/>
      <c r="Q222" s="220"/>
      <c r="R222" s="221"/>
      <c r="S222" s="221"/>
      <c r="T222" s="316">
        <f t="shared" si="22"/>
        <v>0</v>
      </c>
      <c r="U222" s="217">
        <f t="shared" si="23"/>
        <v>0</v>
      </c>
      <c r="X222" s="26" t="str">
        <f t="shared" si="24"/>
        <v/>
      </c>
      <c r="Y222" s="21" t="str">
        <f>IF(MATCH(X222,X223:$X$300,0),"Si",1)</f>
        <v>Si</v>
      </c>
      <c r="Z222" s="26">
        <f t="shared" si="25"/>
        <v>0</v>
      </c>
      <c r="AA222" s="26">
        <f t="shared" si="26"/>
        <v>0</v>
      </c>
      <c r="AB222" s="26" t="str">
        <f t="shared" si="27"/>
        <v/>
      </c>
      <c r="AC222" s="26" t="str">
        <f>IF(MATCH(AB222,AB223:$AB$300,0),"0",1)</f>
        <v>0</v>
      </c>
    </row>
    <row r="223" spans="2:29" x14ac:dyDescent="0.35">
      <c r="B223" s="219"/>
      <c r="C223" s="216" t="s">
        <v>414</v>
      </c>
      <c r="D223" s="216"/>
      <c r="E223" s="220"/>
      <c r="F223" s="220"/>
      <c r="G223" s="220"/>
      <c r="H223" s="220" t="str">
        <f t="shared" si="21"/>
        <v/>
      </c>
      <c r="I223" s="460"/>
      <c r="J223" s="460"/>
      <c r="K223" s="460"/>
      <c r="L223" s="460"/>
      <c r="M223" s="460"/>
      <c r="N223" s="220"/>
      <c r="O223" s="220"/>
      <c r="P223" s="220"/>
      <c r="Q223" s="220"/>
      <c r="R223" s="221"/>
      <c r="S223" s="221"/>
      <c r="T223" s="316">
        <f t="shared" si="22"/>
        <v>0</v>
      </c>
      <c r="U223" s="217">
        <f t="shared" si="23"/>
        <v>0</v>
      </c>
      <c r="X223" s="26" t="str">
        <f t="shared" si="24"/>
        <v/>
      </c>
      <c r="Y223" s="21" t="str">
        <f>IF(MATCH(X223,X224:$X$300,0),"Si",1)</f>
        <v>Si</v>
      </c>
      <c r="Z223" s="26">
        <f t="shared" si="25"/>
        <v>0</v>
      </c>
      <c r="AA223" s="26">
        <f t="shared" si="26"/>
        <v>0</v>
      </c>
      <c r="AB223" s="26" t="str">
        <f t="shared" si="27"/>
        <v/>
      </c>
      <c r="AC223" s="26" t="str">
        <f>IF(MATCH(AB223,AB224:$AB$300,0),"0",1)</f>
        <v>0</v>
      </c>
    </row>
    <row r="224" spans="2:29" x14ac:dyDescent="0.35">
      <c r="B224" s="219"/>
      <c r="C224" s="216" t="s">
        <v>415</v>
      </c>
      <c r="D224" s="216"/>
      <c r="E224" s="220"/>
      <c r="F224" s="220"/>
      <c r="G224" s="220"/>
      <c r="H224" s="220" t="str">
        <f t="shared" si="21"/>
        <v/>
      </c>
      <c r="I224" s="460"/>
      <c r="J224" s="460"/>
      <c r="K224" s="460"/>
      <c r="L224" s="460"/>
      <c r="M224" s="460"/>
      <c r="N224" s="220"/>
      <c r="O224" s="220"/>
      <c r="P224" s="220"/>
      <c r="Q224" s="220"/>
      <c r="R224" s="221"/>
      <c r="S224" s="221"/>
      <c r="T224" s="316">
        <f t="shared" si="22"/>
        <v>0</v>
      </c>
      <c r="U224" s="217">
        <f t="shared" si="23"/>
        <v>0</v>
      </c>
      <c r="X224" s="26" t="str">
        <f t="shared" si="24"/>
        <v/>
      </c>
      <c r="Y224" s="21" t="str">
        <f>IF(MATCH(X224,X225:$X$300,0),"Si",1)</f>
        <v>Si</v>
      </c>
      <c r="Z224" s="26">
        <f t="shared" si="25"/>
        <v>0</v>
      </c>
      <c r="AA224" s="26">
        <f t="shared" si="26"/>
        <v>0</v>
      </c>
      <c r="AB224" s="26" t="str">
        <f t="shared" si="27"/>
        <v/>
      </c>
      <c r="AC224" s="26" t="str">
        <f>IF(MATCH(AB224,AB225:$AB$300,0),"0",1)</f>
        <v>0</v>
      </c>
    </row>
    <row r="225" spans="2:29" x14ac:dyDescent="0.35">
      <c r="B225" s="219"/>
      <c r="C225" s="216" t="s">
        <v>416</v>
      </c>
      <c r="D225" s="216"/>
      <c r="E225" s="220"/>
      <c r="F225" s="220"/>
      <c r="G225" s="220"/>
      <c r="H225" s="220" t="str">
        <f t="shared" si="21"/>
        <v/>
      </c>
      <c r="I225" s="460"/>
      <c r="J225" s="460"/>
      <c r="K225" s="460"/>
      <c r="L225" s="460"/>
      <c r="M225" s="460"/>
      <c r="N225" s="220"/>
      <c r="O225" s="220"/>
      <c r="P225" s="220"/>
      <c r="Q225" s="220"/>
      <c r="R225" s="221"/>
      <c r="S225" s="221"/>
      <c r="T225" s="316">
        <f t="shared" si="22"/>
        <v>0</v>
      </c>
      <c r="U225" s="217">
        <f t="shared" si="23"/>
        <v>0</v>
      </c>
      <c r="X225" s="26" t="str">
        <f t="shared" si="24"/>
        <v/>
      </c>
      <c r="Y225" s="21" t="str">
        <f>IF(MATCH(X225,X226:$X$300,0),"Si",1)</f>
        <v>Si</v>
      </c>
      <c r="Z225" s="26">
        <f t="shared" si="25"/>
        <v>0</v>
      </c>
      <c r="AA225" s="26">
        <f t="shared" si="26"/>
        <v>0</v>
      </c>
      <c r="AB225" s="26" t="str">
        <f t="shared" si="27"/>
        <v/>
      </c>
      <c r="AC225" s="26" t="str">
        <f>IF(MATCH(AB225,AB226:$AB$300,0),"0",1)</f>
        <v>0</v>
      </c>
    </row>
    <row r="226" spans="2:29" x14ac:dyDescent="0.35">
      <c r="B226" s="219"/>
      <c r="C226" s="216" t="s">
        <v>417</v>
      </c>
      <c r="D226" s="216"/>
      <c r="E226" s="220"/>
      <c r="F226" s="220"/>
      <c r="G226" s="220"/>
      <c r="H226" s="220" t="str">
        <f t="shared" si="21"/>
        <v/>
      </c>
      <c r="I226" s="460"/>
      <c r="J226" s="460"/>
      <c r="K226" s="460"/>
      <c r="L226" s="460"/>
      <c r="M226" s="460"/>
      <c r="N226" s="220"/>
      <c r="O226" s="220"/>
      <c r="P226" s="220"/>
      <c r="Q226" s="220"/>
      <c r="R226" s="221"/>
      <c r="S226" s="221"/>
      <c r="T226" s="316">
        <f t="shared" si="22"/>
        <v>0</v>
      </c>
      <c r="U226" s="217">
        <f t="shared" si="23"/>
        <v>0</v>
      </c>
      <c r="X226" s="26" t="str">
        <f t="shared" si="24"/>
        <v/>
      </c>
      <c r="Y226" s="21" t="str">
        <f>IF(MATCH(X226,X227:$X$300,0),"Si",1)</f>
        <v>Si</v>
      </c>
      <c r="Z226" s="26">
        <f t="shared" si="25"/>
        <v>0</v>
      </c>
      <c r="AA226" s="26">
        <f t="shared" si="26"/>
        <v>0</v>
      </c>
      <c r="AB226" s="26" t="str">
        <f t="shared" si="27"/>
        <v/>
      </c>
      <c r="AC226" s="26" t="str">
        <f>IF(MATCH(AB226,AB227:$AB$300,0),"0",1)</f>
        <v>0</v>
      </c>
    </row>
    <row r="227" spans="2:29" x14ac:dyDescent="0.35">
      <c r="B227" s="219"/>
      <c r="C227" s="216" t="s">
        <v>418</v>
      </c>
      <c r="D227" s="216"/>
      <c r="E227" s="220"/>
      <c r="F227" s="220"/>
      <c r="G227" s="220"/>
      <c r="H227" s="220" t="str">
        <f t="shared" si="21"/>
        <v/>
      </c>
      <c r="I227" s="460"/>
      <c r="J227" s="460"/>
      <c r="K227" s="460"/>
      <c r="L227" s="460"/>
      <c r="M227" s="460"/>
      <c r="N227" s="220"/>
      <c r="O227" s="220"/>
      <c r="P227" s="220"/>
      <c r="Q227" s="220"/>
      <c r="R227" s="221"/>
      <c r="S227" s="221"/>
      <c r="T227" s="316">
        <f t="shared" si="22"/>
        <v>0</v>
      </c>
      <c r="U227" s="217">
        <f t="shared" si="23"/>
        <v>0</v>
      </c>
      <c r="X227" s="26" t="str">
        <f t="shared" si="24"/>
        <v/>
      </c>
      <c r="Y227" s="21" t="str">
        <f>IF(MATCH(X227,X228:$X$300,0),"Si",1)</f>
        <v>Si</v>
      </c>
      <c r="Z227" s="26">
        <f t="shared" si="25"/>
        <v>0</v>
      </c>
      <c r="AA227" s="26">
        <f t="shared" si="26"/>
        <v>0</v>
      </c>
      <c r="AB227" s="26" t="str">
        <f t="shared" si="27"/>
        <v/>
      </c>
      <c r="AC227" s="26" t="str">
        <f>IF(MATCH(AB227,AB228:$AB$300,0),"0",1)</f>
        <v>0</v>
      </c>
    </row>
    <row r="228" spans="2:29" x14ac:dyDescent="0.35">
      <c r="B228" s="219"/>
      <c r="C228" s="216" t="s">
        <v>419</v>
      </c>
      <c r="D228" s="216"/>
      <c r="E228" s="220"/>
      <c r="F228" s="220"/>
      <c r="G228" s="220"/>
      <c r="H228" s="220" t="str">
        <f t="shared" si="21"/>
        <v/>
      </c>
      <c r="I228" s="460"/>
      <c r="J228" s="460"/>
      <c r="K228" s="460"/>
      <c r="L228" s="460"/>
      <c r="M228" s="460"/>
      <c r="N228" s="220"/>
      <c r="O228" s="220"/>
      <c r="P228" s="220"/>
      <c r="Q228" s="220"/>
      <c r="R228" s="221"/>
      <c r="S228" s="221"/>
      <c r="T228" s="316">
        <f t="shared" si="22"/>
        <v>0</v>
      </c>
      <c r="U228" s="217">
        <f t="shared" si="23"/>
        <v>0</v>
      </c>
      <c r="X228" s="26" t="str">
        <f t="shared" si="24"/>
        <v/>
      </c>
      <c r="Y228" s="21" t="str">
        <f>IF(MATCH(X228,X229:$X$300,0),"Si",1)</f>
        <v>Si</v>
      </c>
      <c r="Z228" s="26">
        <f t="shared" si="25"/>
        <v>0</v>
      </c>
      <c r="AA228" s="26">
        <f t="shared" si="26"/>
        <v>0</v>
      </c>
      <c r="AB228" s="26" t="str">
        <f t="shared" si="27"/>
        <v/>
      </c>
      <c r="AC228" s="26" t="str">
        <f>IF(MATCH(AB228,AB229:$AB$300,0),"0",1)</f>
        <v>0</v>
      </c>
    </row>
    <row r="229" spans="2:29" x14ac:dyDescent="0.35">
      <c r="B229" s="219"/>
      <c r="C229" s="216" t="s">
        <v>420</v>
      </c>
      <c r="D229" s="216"/>
      <c r="E229" s="220"/>
      <c r="F229" s="220"/>
      <c r="G229" s="220"/>
      <c r="H229" s="220" t="str">
        <f t="shared" si="21"/>
        <v/>
      </c>
      <c r="I229" s="460"/>
      <c r="J229" s="460"/>
      <c r="K229" s="460"/>
      <c r="L229" s="460"/>
      <c r="M229" s="460"/>
      <c r="N229" s="220"/>
      <c r="O229" s="220"/>
      <c r="P229" s="220"/>
      <c r="Q229" s="220"/>
      <c r="R229" s="221"/>
      <c r="S229" s="221"/>
      <c r="T229" s="316">
        <f t="shared" si="22"/>
        <v>0</v>
      </c>
      <c r="U229" s="217">
        <f t="shared" si="23"/>
        <v>0</v>
      </c>
      <c r="X229" s="26" t="str">
        <f t="shared" si="24"/>
        <v/>
      </c>
      <c r="Y229" s="21" t="str">
        <f>IF(MATCH(X229,X230:$X$300,0),"Si",1)</f>
        <v>Si</v>
      </c>
      <c r="Z229" s="26">
        <f t="shared" si="25"/>
        <v>0</v>
      </c>
      <c r="AA229" s="26">
        <f t="shared" si="26"/>
        <v>0</v>
      </c>
      <c r="AB229" s="26" t="str">
        <f t="shared" si="27"/>
        <v/>
      </c>
      <c r="AC229" s="26" t="str">
        <f>IF(MATCH(AB229,AB230:$AB$300,0),"0",1)</f>
        <v>0</v>
      </c>
    </row>
    <row r="230" spans="2:29" x14ac:dyDescent="0.35">
      <c r="B230" s="219"/>
      <c r="C230" s="216" t="s">
        <v>421</v>
      </c>
      <c r="D230" s="216"/>
      <c r="E230" s="220"/>
      <c r="F230" s="220"/>
      <c r="G230" s="220"/>
      <c r="H230" s="220" t="str">
        <f t="shared" si="21"/>
        <v/>
      </c>
      <c r="I230" s="460"/>
      <c r="J230" s="460"/>
      <c r="K230" s="460"/>
      <c r="L230" s="460"/>
      <c r="M230" s="460"/>
      <c r="N230" s="220"/>
      <c r="O230" s="220"/>
      <c r="P230" s="220"/>
      <c r="Q230" s="220"/>
      <c r="R230" s="221"/>
      <c r="S230" s="221"/>
      <c r="T230" s="316">
        <f t="shared" si="22"/>
        <v>0</v>
      </c>
      <c r="U230" s="217">
        <f t="shared" si="23"/>
        <v>0</v>
      </c>
      <c r="X230" s="26" t="str">
        <f t="shared" si="24"/>
        <v/>
      </c>
      <c r="Y230" s="21" t="str">
        <f>IF(MATCH(X230,X231:$X$300,0),"Si",1)</f>
        <v>Si</v>
      </c>
      <c r="Z230" s="26">
        <f t="shared" si="25"/>
        <v>0</v>
      </c>
      <c r="AA230" s="26">
        <f t="shared" si="26"/>
        <v>0</v>
      </c>
      <c r="AB230" s="26" t="str">
        <f t="shared" si="27"/>
        <v/>
      </c>
      <c r="AC230" s="26" t="str">
        <f>IF(MATCH(AB230,AB231:$AB$300,0),"0",1)</f>
        <v>0</v>
      </c>
    </row>
    <row r="231" spans="2:29" x14ac:dyDescent="0.35">
      <c r="B231" s="219"/>
      <c r="C231" s="216" t="s">
        <v>422</v>
      </c>
      <c r="D231" s="216"/>
      <c r="E231" s="220"/>
      <c r="F231" s="220"/>
      <c r="G231" s="220"/>
      <c r="H231" s="220" t="str">
        <f t="shared" si="21"/>
        <v/>
      </c>
      <c r="I231" s="460"/>
      <c r="J231" s="460"/>
      <c r="K231" s="460"/>
      <c r="L231" s="460"/>
      <c r="M231" s="460"/>
      <c r="N231" s="220"/>
      <c r="O231" s="220"/>
      <c r="P231" s="220"/>
      <c r="Q231" s="220"/>
      <c r="R231" s="221"/>
      <c r="S231" s="221"/>
      <c r="T231" s="316">
        <f t="shared" si="22"/>
        <v>0</v>
      </c>
      <c r="U231" s="217">
        <f t="shared" si="23"/>
        <v>0</v>
      </c>
      <c r="X231" s="26" t="str">
        <f t="shared" si="24"/>
        <v/>
      </c>
      <c r="Y231" s="21" t="str">
        <f>IF(MATCH(X231,X232:$X$300,0),"Si",1)</f>
        <v>Si</v>
      </c>
      <c r="Z231" s="26">
        <f t="shared" si="25"/>
        <v>0</v>
      </c>
      <c r="AA231" s="26">
        <f t="shared" si="26"/>
        <v>0</v>
      </c>
      <c r="AB231" s="26" t="str">
        <f t="shared" si="27"/>
        <v/>
      </c>
      <c r="AC231" s="26" t="str">
        <f>IF(MATCH(AB231,AB232:$AB$300,0),"0",1)</f>
        <v>0</v>
      </c>
    </row>
    <row r="232" spans="2:29" x14ac:dyDescent="0.35">
      <c r="B232" s="219"/>
      <c r="C232" s="216" t="s">
        <v>423</v>
      </c>
      <c r="D232" s="216"/>
      <c r="E232" s="220"/>
      <c r="F232" s="220"/>
      <c r="G232" s="220"/>
      <c r="H232" s="220" t="str">
        <f t="shared" si="21"/>
        <v/>
      </c>
      <c r="I232" s="460"/>
      <c r="J232" s="460"/>
      <c r="K232" s="460"/>
      <c r="L232" s="460"/>
      <c r="M232" s="460"/>
      <c r="N232" s="220"/>
      <c r="O232" s="220"/>
      <c r="P232" s="220"/>
      <c r="Q232" s="220"/>
      <c r="R232" s="221"/>
      <c r="S232" s="221"/>
      <c r="T232" s="316">
        <f t="shared" si="22"/>
        <v>0</v>
      </c>
      <c r="U232" s="217">
        <f t="shared" si="23"/>
        <v>0</v>
      </c>
      <c r="X232" s="26" t="str">
        <f t="shared" si="24"/>
        <v/>
      </c>
      <c r="Y232" s="21" t="str">
        <f>IF(MATCH(X232,X233:$X$300,0),"Si",1)</f>
        <v>Si</v>
      </c>
      <c r="Z232" s="26">
        <f t="shared" si="25"/>
        <v>0</v>
      </c>
      <c r="AA232" s="26">
        <f t="shared" si="26"/>
        <v>0</v>
      </c>
      <c r="AB232" s="26" t="str">
        <f t="shared" si="27"/>
        <v/>
      </c>
      <c r="AC232" s="26" t="str">
        <f>IF(MATCH(AB232,AB233:$AB$300,0),"0",1)</f>
        <v>0</v>
      </c>
    </row>
    <row r="233" spans="2:29" x14ac:dyDescent="0.35">
      <c r="B233" s="219"/>
      <c r="C233" s="216" t="s">
        <v>424</v>
      </c>
      <c r="D233" s="216"/>
      <c r="E233" s="220"/>
      <c r="F233" s="220"/>
      <c r="G233" s="220"/>
      <c r="H233" s="220" t="str">
        <f t="shared" si="21"/>
        <v/>
      </c>
      <c r="I233" s="460"/>
      <c r="J233" s="460"/>
      <c r="K233" s="460"/>
      <c r="L233" s="460"/>
      <c r="M233" s="460"/>
      <c r="N233" s="220"/>
      <c r="O233" s="220"/>
      <c r="P233" s="220"/>
      <c r="Q233" s="220"/>
      <c r="R233" s="221"/>
      <c r="S233" s="221"/>
      <c r="T233" s="316">
        <f t="shared" si="22"/>
        <v>0</v>
      </c>
      <c r="U233" s="217">
        <f t="shared" si="23"/>
        <v>0</v>
      </c>
      <c r="X233" s="26" t="str">
        <f t="shared" si="24"/>
        <v/>
      </c>
      <c r="Y233" s="21" t="str">
        <f>IF(MATCH(X233,X234:$X$300,0),"Si",1)</f>
        <v>Si</v>
      </c>
      <c r="Z233" s="26">
        <f t="shared" si="25"/>
        <v>0</v>
      </c>
      <c r="AA233" s="26">
        <f t="shared" si="26"/>
        <v>0</v>
      </c>
      <c r="AB233" s="26" t="str">
        <f t="shared" si="27"/>
        <v/>
      </c>
      <c r="AC233" s="26" t="str">
        <f>IF(MATCH(AB233,AB234:$AB$300,0),"0",1)</f>
        <v>0</v>
      </c>
    </row>
    <row r="234" spans="2:29" x14ac:dyDescent="0.35">
      <c r="B234" s="219"/>
      <c r="C234" s="216" t="s">
        <v>425</v>
      </c>
      <c r="D234" s="216"/>
      <c r="E234" s="220"/>
      <c r="F234" s="220"/>
      <c r="G234" s="220"/>
      <c r="H234" s="220" t="str">
        <f t="shared" si="21"/>
        <v/>
      </c>
      <c r="I234" s="460"/>
      <c r="J234" s="460"/>
      <c r="K234" s="460"/>
      <c r="L234" s="460"/>
      <c r="M234" s="460"/>
      <c r="N234" s="220"/>
      <c r="O234" s="220"/>
      <c r="P234" s="220"/>
      <c r="Q234" s="220"/>
      <c r="R234" s="221"/>
      <c r="S234" s="221"/>
      <c r="T234" s="316">
        <f t="shared" si="22"/>
        <v>0</v>
      </c>
      <c r="U234" s="217">
        <f t="shared" si="23"/>
        <v>0</v>
      </c>
      <c r="X234" s="26" t="str">
        <f t="shared" si="24"/>
        <v/>
      </c>
      <c r="Y234" s="21" t="str">
        <f>IF(MATCH(X234,X235:$X$300,0),"Si",1)</f>
        <v>Si</v>
      </c>
      <c r="Z234" s="26">
        <f t="shared" si="25"/>
        <v>0</v>
      </c>
      <c r="AA234" s="26">
        <f t="shared" si="26"/>
        <v>0</v>
      </c>
      <c r="AB234" s="26" t="str">
        <f t="shared" si="27"/>
        <v/>
      </c>
      <c r="AC234" s="26" t="str">
        <f>IF(MATCH(AB234,AB235:$AB$300,0),"0",1)</f>
        <v>0</v>
      </c>
    </row>
    <row r="235" spans="2:29" x14ac:dyDescent="0.35">
      <c r="B235" s="219"/>
      <c r="C235" s="216" t="s">
        <v>426</v>
      </c>
      <c r="D235" s="216"/>
      <c r="E235" s="220"/>
      <c r="F235" s="220"/>
      <c r="G235" s="220"/>
      <c r="H235" s="220" t="str">
        <f t="shared" si="21"/>
        <v/>
      </c>
      <c r="I235" s="460"/>
      <c r="J235" s="460"/>
      <c r="K235" s="460"/>
      <c r="L235" s="460"/>
      <c r="M235" s="460"/>
      <c r="N235" s="220"/>
      <c r="O235" s="220"/>
      <c r="P235" s="220"/>
      <c r="Q235" s="220"/>
      <c r="R235" s="221"/>
      <c r="S235" s="221"/>
      <c r="T235" s="316">
        <f t="shared" si="22"/>
        <v>0</v>
      </c>
      <c r="U235" s="217">
        <f t="shared" si="23"/>
        <v>0</v>
      </c>
      <c r="X235" s="26" t="str">
        <f t="shared" si="24"/>
        <v/>
      </c>
      <c r="Y235" s="21" t="str">
        <f>IF(MATCH(X235,X236:$X$300,0),"Si",1)</f>
        <v>Si</v>
      </c>
      <c r="Z235" s="26">
        <f t="shared" si="25"/>
        <v>0</v>
      </c>
      <c r="AA235" s="26">
        <f t="shared" si="26"/>
        <v>0</v>
      </c>
      <c r="AB235" s="26" t="str">
        <f t="shared" si="27"/>
        <v/>
      </c>
      <c r="AC235" s="26" t="str">
        <f>IF(MATCH(AB235,AB236:$AB$300,0),"0",1)</f>
        <v>0</v>
      </c>
    </row>
    <row r="236" spans="2:29" x14ac:dyDescent="0.35">
      <c r="B236" s="219"/>
      <c r="C236" s="216" t="s">
        <v>427</v>
      </c>
      <c r="D236" s="216"/>
      <c r="E236" s="220"/>
      <c r="F236" s="220"/>
      <c r="G236" s="220"/>
      <c r="H236" s="220" t="str">
        <f t="shared" si="21"/>
        <v/>
      </c>
      <c r="I236" s="460"/>
      <c r="J236" s="460"/>
      <c r="K236" s="460"/>
      <c r="L236" s="460"/>
      <c r="M236" s="460"/>
      <c r="N236" s="220"/>
      <c r="O236" s="220"/>
      <c r="P236" s="220"/>
      <c r="Q236" s="220"/>
      <c r="R236" s="221"/>
      <c r="S236" s="221"/>
      <c r="T236" s="316">
        <f t="shared" si="22"/>
        <v>0</v>
      </c>
      <c r="U236" s="217">
        <f t="shared" si="23"/>
        <v>0</v>
      </c>
      <c r="X236" s="26" t="str">
        <f t="shared" si="24"/>
        <v/>
      </c>
      <c r="Y236" s="21" t="str">
        <f>IF(MATCH(X236,X237:$X$300,0),"Si",1)</f>
        <v>Si</v>
      </c>
      <c r="Z236" s="26">
        <f t="shared" si="25"/>
        <v>0</v>
      </c>
      <c r="AA236" s="26">
        <f t="shared" si="26"/>
        <v>0</v>
      </c>
      <c r="AB236" s="26" t="str">
        <f t="shared" si="27"/>
        <v/>
      </c>
      <c r="AC236" s="26" t="str">
        <f>IF(MATCH(AB236,AB237:$AB$300,0),"0",1)</f>
        <v>0</v>
      </c>
    </row>
    <row r="237" spans="2:29" x14ac:dyDescent="0.35">
      <c r="B237" s="219"/>
      <c r="C237" s="216" t="s">
        <v>428</v>
      </c>
      <c r="D237" s="216"/>
      <c r="E237" s="220"/>
      <c r="F237" s="220"/>
      <c r="G237" s="220"/>
      <c r="H237" s="220" t="str">
        <f t="shared" si="21"/>
        <v/>
      </c>
      <c r="I237" s="460"/>
      <c r="J237" s="460"/>
      <c r="K237" s="460"/>
      <c r="L237" s="460"/>
      <c r="M237" s="460"/>
      <c r="N237" s="220"/>
      <c r="O237" s="220"/>
      <c r="P237" s="220"/>
      <c r="Q237" s="220"/>
      <c r="R237" s="221"/>
      <c r="S237" s="221"/>
      <c r="T237" s="316">
        <f t="shared" si="22"/>
        <v>0</v>
      </c>
      <c r="U237" s="217">
        <f t="shared" si="23"/>
        <v>0</v>
      </c>
      <c r="X237" s="26" t="str">
        <f t="shared" si="24"/>
        <v/>
      </c>
      <c r="Y237" s="21" t="str">
        <f>IF(MATCH(X237,X238:$X$300,0),"Si",1)</f>
        <v>Si</v>
      </c>
      <c r="Z237" s="26">
        <f t="shared" si="25"/>
        <v>0</v>
      </c>
      <c r="AA237" s="26">
        <f t="shared" si="26"/>
        <v>0</v>
      </c>
      <c r="AB237" s="26" t="str">
        <f t="shared" si="27"/>
        <v/>
      </c>
      <c r="AC237" s="26" t="str">
        <f>IF(MATCH(AB237,AB238:$AB$300,0),"0",1)</f>
        <v>0</v>
      </c>
    </row>
    <row r="238" spans="2:29" x14ac:dyDescent="0.35">
      <c r="B238" s="219"/>
      <c r="C238" s="216" t="s">
        <v>429</v>
      </c>
      <c r="D238" s="216"/>
      <c r="E238" s="220"/>
      <c r="F238" s="220"/>
      <c r="G238" s="220"/>
      <c r="H238" s="220" t="str">
        <f t="shared" si="21"/>
        <v/>
      </c>
      <c r="I238" s="460"/>
      <c r="J238" s="460"/>
      <c r="K238" s="460"/>
      <c r="L238" s="460"/>
      <c r="M238" s="460"/>
      <c r="N238" s="220"/>
      <c r="O238" s="220"/>
      <c r="P238" s="220"/>
      <c r="Q238" s="220"/>
      <c r="R238" s="221"/>
      <c r="S238" s="221"/>
      <c r="T238" s="316">
        <f t="shared" si="22"/>
        <v>0</v>
      </c>
      <c r="U238" s="217">
        <f t="shared" si="23"/>
        <v>0</v>
      </c>
      <c r="X238" s="26" t="str">
        <f t="shared" si="24"/>
        <v/>
      </c>
      <c r="Y238" s="21" t="str">
        <f>IF(MATCH(X238,X239:$X$300,0),"Si",1)</f>
        <v>Si</v>
      </c>
      <c r="Z238" s="26">
        <f t="shared" si="25"/>
        <v>0</v>
      </c>
      <c r="AA238" s="26">
        <f t="shared" si="26"/>
        <v>0</v>
      </c>
      <c r="AB238" s="26" t="str">
        <f t="shared" si="27"/>
        <v/>
      </c>
      <c r="AC238" s="26" t="str">
        <f>IF(MATCH(AB238,AB239:$AB$300,0),"0",1)</f>
        <v>0</v>
      </c>
    </row>
    <row r="239" spans="2:29" x14ac:dyDescent="0.35">
      <c r="B239" s="219"/>
      <c r="C239" s="216" t="s">
        <v>430</v>
      </c>
      <c r="D239" s="216"/>
      <c r="E239" s="220"/>
      <c r="F239" s="220"/>
      <c r="G239" s="220"/>
      <c r="H239" s="220" t="str">
        <f t="shared" si="21"/>
        <v/>
      </c>
      <c r="I239" s="460"/>
      <c r="J239" s="460"/>
      <c r="K239" s="460"/>
      <c r="L239" s="460"/>
      <c r="M239" s="460"/>
      <c r="N239" s="220"/>
      <c r="O239" s="220"/>
      <c r="P239" s="220"/>
      <c r="Q239" s="220"/>
      <c r="R239" s="221"/>
      <c r="S239" s="221"/>
      <c r="T239" s="316">
        <f t="shared" si="22"/>
        <v>0</v>
      </c>
      <c r="U239" s="217">
        <f t="shared" si="23"/>
        <v>0</v>
      </c>
      <c r="X239" s="26" t="str">
        <f t="shared" si="24"/>
        <v/>
      </c>
      <c r="Y239" s="21" t="str">
        <f>IF(MATCH(X239,X240:$X$300,0),"Si",1)</f>
        <v>Si</v>
      </c>
      <c r="Z239" s="26">
        <f t="shared" si="25"/>
        <v>0</v>
      </c>
      <c r="AA239" s="26">
        <f t="shared" si="26"/>
        <v>0</v>
      </c>
      <c r="AB239" s="26" t="str">
        <f t="shared" si="27"/>
        <v/>
      </c>
      <c r="AC239" s="26" t="str">
        <f>IF(MATCH(AB239,AB240:$AB$300,0),"0",1)</f>
        <v>0</v>
      </c>
    </row>
    <row r="240" spans="2:29" x14ac:dyDescent="0.35">
      <c r="B240" s="219"/>
      <c r="C240" s="216" t="s">
        <v>431</v>
      </c>
      <c r="D240" s="216"/>
      <c r="E240" s="220"/>
      <c r="F240" s="220"/>
      <c r="G240" s="220"/>
      <c r="H240" s="220" t="str">
        <f t="shared" si="21"/>
        <v/>
      </c>
      <c r="I240" s="460"/>
      <c r="J240" s="460"/>
      <c r="K240" s="460"/>
      <c r="L240" s="460"/>
      <c r="M240" s="460"/>
      <c r="N240" s="220"/>
      <c r="O240" s="220"/>
      <c r="P240" s="220"/>
      <c r="Q240" s="220"/>
      <c r="R240" s="221"/>
      <c r="S240" s="221"/>
      <c r="T240" s="316">
        <f t="shared" si="22"/>
        <v>0</v>
      </c>
      <c r="U240" s="217">
        <f t="shared" si="23"/>
        <v>0</v>
      </c>
      <c r="X240" s="26" t="str">
        <f t="shared" si="24"/>
        <v/>
      </c>
      <c r="Y240" s="21" t="str">
        <f>IF(MATCH(X240,X241:$X$300,0),"Si",1)</f>
        <v>Si</v>
      </c>
      <c r="Z240" s="26">
        <f t="shared" si="25"/>
        <v>0</v>
      </c>
      <c r="AA240" s="26">
        <f t="shared" si="26"/>
        <v>0</v>
      </c>
      <c r="AB240" s="26" t="str">
        <f t="shared" si="27"/>
        <v/>
      </c>
      <c r="AC240" s="26" t="str">
        <f>IF(MATCH(AB240,AB241:$AB$300,0),"0",1)</f>
        <v>0</v>
      </c>
    </row>
    <row r="241" spans="2:29" x14ac:dyDescent="0.35">
      <c r="B241" s="219"/>
      <c r="C241" s="216" t="s">
        <v>432</v>
      </c>
      <c r="D241" s="216"/>
      <c r="E241" s="220"/>
      <c r="F241" s="220"/>
      <c r="G241" s="220"/>
      <c r="H241" s="220" t="str">
        <f t="shared" si="21"/>
        <v/>
      </c>
      <c r="I241" s="460"/>
      <c r="J241" s="460"/>
      <c r="K241" s="460"/>
      <c r="L241" s="460"/>
      <c r="M241" s="460"/>
      <c r="N241" s="220"/>
      <c r="O241" s="220"/>
      <c r="P241" s="220"/>
      <c r="Q241" s="220"/>
      <c r="R241" s="221"/>
      <c r="S241" s="221"/>
      <c r="T241" s="316">
        <f t="shared" si="22"/>
        <v>0</v>
      </c>
      <c r="U241" s="217">
        <f t="shared" si="23"/>
        <v>0</v>
      </c>
      <c r="X241" s="26" t="str">
        <f t="shared" si="24"/>
        <v/>
      </c>
      <c r="Y241" s="21" t="str">
        <f>IF(MATCH(X241,X242:$X$300,0),"Si",1)</f>
        <v>Si</v>
      </c>
      <c r="Z241" s="26">
        <f t="shared" si="25"/>
        <v>0</v>
      </c>
      <c r="AA241" s="26">
        <f t="shared" si="26"/>
        <v>0</v>
      </c>
      <c r="AB241" s="26" t="str">
        <f t="shared" si="27"/>
        <v/>
      </c>
      <c r="AC241" s="26" t="str">
        <f>IF(MATCH(AB241,AB242:$AB$300,0),"0",1)</f>
        <v>0</v>
      </c>
    </row>
    <row r="242" spans="2:29" x14ac:dyDescent="0.35">
      <c r="B242" s="219"/>
      <c r="C242" s="216" t="s">
        <v>433</v>
      </c>
      <c r="D242" s="216"/>
      <c r="E242" s="220"/>
      <c r="F242" s="220"/>
      <c r="G242" s="220"/>
      <c r="H242" s="220" t="str">
        <f t="shared" si="21"/>
        <v/>
      </c>
      <c r="I242" s="460"/>
      <c r="J242" s="460"/>
      <c r="K242" s="460"/>
      <c r="L242" s="460"/>
      <c r="M242" s="460"/>
      <c r="N242" s="220"/>
      <c r="O242" s="220"/>
      <c r="P242" s="220"/>
      <c r="Q242" s="220"/>
      <c r="R242" s="221"/>
      <c r="S242" s="221"/>
      <c r="T242" s="316">
        <f t="shared" si="22"/>
        <v>0</v>
      </c>
      <c r="U242" s="217">
        <f t="shared" si="23"/>
        <v>0</v>
      </c>
      <c r="X242" s="26" t="str">
        <f t="shared" si="24"/>
        <v/>
      </c>
      <c r="Y242" s="21" t="str">
        <f>IF(MATCH(X242,X243:$X$300,0),"Si",1)</f>
        <v>Si</v>
      </c>
      <c r="Z242" s="26">
        <f t="shared" si="25"/>
        <v>0</v>
      </c>
      <c r="AA242" s="26">
        <f t="shared" si="26"/>
        <v>0</v>
      </c>
      <c r="AB242" s="26" t="str">
        <f t="shared" si="27"/>
        <v/>
      </c>
      <c r="AC242" s="26" t="str">
        <f>IF(MATCH(AB242,AB243:$AB$300,0),"0",1)</f>
        <v>0</v>
      </c>
    </row>
    <row r="243" spans="2:29" x14ac:dyDescent="0.35">
      <c r="B243" s="219"/>
      <c r="C243" s="216" t="s">
        <v>434</v>
      </c>
      <c r="D243" s="216"/>
      <c r="E243" s="220"/>
      <c r="F243" s="220"/>
      <c r="G243" s="220"/>
      <c r="H243" s="220" t="str">
        <f t="shared" si="21"/>
        <v/>
      </c>
      <c r="I243" s="460"/>
      <c r="J243" s="460"/>
      <c r="K243" s="460"/>
      <c r="L243" s="460"/>
      <c r="M243" s="460"/>
      <c r="N243" s="220"/>
      <c r="O243" s="220"/>
      <c r="P243" s="220"/>
      <c r="Q243" s="220"/>
      <c r="R243" s="221"/>
      <c r="S243" s="221"/>
      <c r="T243" s="316">
        <f t="shared" si="22"/>
        <v>0</v>
      </c>
      <c r="U243" s="217">
        <f t="shared" si="23"/>
        <v>0</v>
      </c>
      <c r="X243" s="26" t="str">
        <f t="shared" si="24"/>
        <v/>
      </c>
      <c r="Y243" s="21" t="str">
        <f>IF(MATCH(X243,X244:$X$300,0),"Si",1)</f>
        <v>Si</v>
      </c>
      <c r="Z243" s="26">
        <f t="shared" si="25"/>
        <v>0</v>
      </c>
      <c r="AA243" s="26">
        <f t="shared" si="26"/>
        <v>0</v>
      </c>
      <c r="AB243" s="26" t="str">
        <f t="shared" si="27"/>
        <v/>
      </c>
      <c r="AC243" s="26" t="str">
        <f>IF(MATCH(AB243,AB244:$AB$300,0),"0",1)</f>
        <v>0</v>
      </c>
    </row>
    <row r="244" spans="2:29" x14ac:dyDescent="0.35">
      <c r="B244" s="219"/>
      <c r="C244" s="216" t="s">
        <v>435</v>
      </c>
      <c r="D244" s="216"/>
      <c r="E244" s="220"/>
      <c r="F244" s="220"/>
      <c r="G244" s="220"/>
      <c r="H244" s="220" t="str">
        <f t="shared" si="21"/>
        <v/>
      </c>
      <c r="I244" s="460"/>
      <c r="J244" s="460"/>
      <c r="K244" s="460"/>
      <c r="L244" s="460"/>
      <c r="M244" s="460"/>
      <c r="N244" s="220"/>
      <c r="O244" s="220"/>
      <c r="P244" s="220"/>
      <c r="Q244" s="220"/>
      <c r="R244" s="221"/>
      <c r="S244" s="221"/>
      <c r="T244" s="316">
        <f t="shared" si="22"/>
        <v>0</v>
      </c>
      <c r="U244" s="217">
        <f t="shared" si="23"/>
        <v>0</v>
      </c>
      <c r="X244" s="26" t="str">
        <f t="shared" si="24"/>
        <v/>
      </c>
      <c r="Y244" s="21" t="str">
        <f>IF(MATCH(X244,X245:$X$300,0),"Si",1)</f>
        <v>Si</v>
      </c>
      <c r="Z244" s="26">
        <f t="shared" si="25"/>
        <v>0</v>
      </c>
      <c r="AA244" s="26">
        <f t="shared" si="26"/>
        <v>0</v>
      </c>
      <c r="AB244" s="26" t="str">
        <f t="shared" si="27"/>
        <v/>
      </c>
      <c r="AC244" s="26" t="str">
        <f>IF(MATCH(AB244,AB245:$AB$300,0),"0",1)</f>
        <v>0</v>
      </c>
    </row>
    <row r="245" spans="2:29" x14ac:dyDescent="0.35">
      <c r="B245" s="219"/>
      <c r="C245" s="216" t="s">
        <v>436</v>
      </c>
      <c r="D245" s="216"/>
      <c r="E245" s="220"/>
      <c r="F245" s="220"/>
      <c r="G245" s="220"/>
      <c r="H245" s="220" t="str">
        <f t="shared" si="21"/>
        <v/>
      </c>
      <c r="I245" s="460"/>
      <c r="J245" s="460"/>
      <c r="K245" s="460"/>
      <c r="L245" s="460"/>
      <c r="M245" s="460"/>
      <c r="N245" s="220"/>
      <c r="O245" s="220"/>
      <c r="P245" s="220"/>
      <c r="Q245" s="220"/>
      <c r="R245" s="221"/>
      <c r="S245" s="221"/>
      <c r="T245" s="316">
        <f t="shared" si="22"/>
        <v>0</v>
      </c>
      <c r="U245" s="217">
        <f t="shared" si="23"/>
        <v>0</v>
      </c>
      <c r="X245" s="26" t="str">
        <f t="shared" si="24"/>
        <v/>
      </c>
      <c r="Y245" s="21" t="str">
        <f>IF(MATCH(X245,X246:$X$300,0),"Si",1)</f>
        <v>Si</v>
      </c>
      <c r="Z245" s="26">
        <f t="shared" si="25"/>
        <v>0</v>
      </c>
      <c r="AA245" s="26">
        <f t="shared" si="26"/>
        <v>0</v>
      </c>
      <c r="AB245" s="26" t="str">
        <f t="shared" si="27"/>
        <v/>
      </c>
      <c r="AC245" s="26" t="str">
        <f>IF(MATCH(AB245,AB246:$AB$300,0),"0",1)</f>
        <v>0</v>
      </c>
    </row>
    <row r="246" spans="2:29" x14ac:dyDescent="0.35">
      <c r="B246" s="219"/>
      <c r="C246" s="216" t="s">
        <v>437</v>
      </c>
      <c r="D246" s="216"/>
      <c r="E246" s="220"/>
      <c r="F246" s="220"/>
      <c r="G246" s="220"/>
      <c r="H246" s="220" t="str">
        <f t="shared" si="21"/>
        <v/>
      </c>
      <c r="I246" s="460"/>
      <c r="J246" s="460"/>
      <c r="K246" s="460"/>
      <c r="L246" s="460"/>
      <c r="M246" s="460"/>
      <c r="N246" s="220"/>
      <c r="O246" s="220"/>
      <c r="P246" s="220"/>
      <c r="Q246" s="220"/>
      <c r="R246" s="221"/>
      <c r="S246" s="221"/>
      <c r="T246" s="316">
        <f t="shared" si="22"/>
        <v>0</v>
      </c>
      <c r="U246" s="217">
        <f t="shared" si="23"/>
        <v>0</v>
      </c>
      <c r="X246" s="26" t="str">
        <f t="shared" si="24"/>
        <v/>
      </c>
      <c r="Y246" s="21" t="str">
        <f>IF(MATCH(X246,X247:$X$300,0),"Si",1)</f>
        <v>Si</v>
      </c>
      <c r="Z246" s="26">
        <f t="shared" si="25"/>
        <v>0</v>
      </c>
      <c r="AA246" s="26">
        <f t="shared" si="26"/>
        <v>0</v>
      </c>
      <c r="AB246" s="26" t="str">
        <f t="shared" si="27"/>
        <v/>
      </c>
      <c r="AC246" s="26" t="str">
        <f>IF(MATCH(AB246,AB247:$AB$300,0),"0",1)</f>
        <v>0</v>
      </c>
    </row>
    <row r="247" spans="2:29" x14ac:dyDescent="0.35">
      <c r="B247" s="219"/>
      <c r="C247" s="216" t="s">
        <v>438</v>
      </c>
      <c r="D247" s="216"/>
      <c r="E247" s="220"/>
      <c r="F247" s="220"/>
      <c r="G247" s="220"/>
      <c r="H247" s="220" t="str">
        <f t="shared" si="21"/>
        <v/>
      </c>
      <c r="I247" s="460"/>
      <c r="J247" s="460"/>
      <c r="K247" s="460"/>
      <c r="L247" s="460"/>
      <c r="M247" s="460"/>
      <c r="N247" s="220"/>
      <c r="O247" s="220"/>
      <c r="P247" s="220"/>
      <c r="Q247" s="220"/>
      <c r="R247" s="221"/>
      <c r="S247" s="221"/>
      <c r="T247" s="316">
        <f t="shared" si="22"/>
        <v>0</v>
      </c>
      <c r="U247" s="217">
        <f t="shared" si="23"/>
        <v>0</v>
      </c>
      <c r="X247" s="26" t="str">
        <f t="shared" si="24"/>
        <v/>
      </c>
      <c r="Y247" s="21" t="str">
        <f>IF(MATCH(X247,X248:$X$300,0),"Si",1)</f>
        <v>Si</v>
      </c>
      <c r="Z247" s="26">
        <f t="shared" si="25"/>
        <v>0</v>
      </c>
      <c r="AA247" s="26">
        <f t="shared" si="26"/>
        <v>0</v>
      </c>
      <c r="AB247" s="26" t="str">
        <f t="shared" si="27"/>
        <v/>
      </c>
      <c r="AC247" s="26" t="str">
        <f>IF(MATCH(AB247,AB248:$AB$300,0),"0",1)</f>
        <v>0</v>
      </c>
    </row>
    <row r="248" spans="2:29" x14ac:dyDescent="0.35">
      <c r="B248" s="219"/>
      <c r="C248" s="216" t="s">
        <v>439</v>
      </c>
      <c r="D248" s="216"/>
      <c r="E248" s="220"/>
      <c r="F248" s="220"/>
      <c r="G248" s="220"/>
      <c r="H248" s="220" t="str">
        <f t="shared" si="21"/>
        <v/>
      </c>
      <c r="I248" s="460"/>
      <c r="J248" s="460"/>
      <c r="K248" s="460"/>
      <c r="L248" s="460"/>
      <c r="M248" s="460"/>
      <c r="N248" s="220"/>
      <c r="O248" s="220"/>
      <c r="P248" s="220"/>
      <c r="Q248" s="220"/>
      <c r="R248" s="221"/>
      <c r="S248" s="221"/>
      <c r="T248" s="316">
        <f t="shared" si="22"/>
        <v>0</v>
      </c>
      <c r="U248" s="217">
        <f t="shared" si="23"/>
        <v>0</v>
      </c>
      <c r="X248" s="26" t="str">
        <f t="shared" si="24"/>
        <v/>
      </c>
      <c r="Y248" s="21" t="str">
        <f>IF(MATCH(X248,X249:$X$300,0),"Si",1)</f>
        <v>Si</v>
      </c>
      <c r="Z248" s="26">
        <f t="shared" si="25"/>
        <v>0</v>
      </c>
      <c r="AA248" s="26">
        <f t="shared" si="26"/>
        <v>0</v>
      </c>
      <c r="AB248" s="26" t="str">
        <f t="shared" si="27"/>
        <v/>
      </c>
      <c r="AC248" s="26" t="str">
        <f>IF(MATCH(AB248,AB249:$AB$300,0),"0",1)</f>
        <v>0</v>
      </c>
    </row>
    <row r="249" spans="2:29" x14ac:dyDescent="0.35">
      <c r="B249" s="219"/>
      <c r="C249" s="216" t="s">
        <v>440</v>
      </c>
      <c r="D249" s="216"/>
      <c r="E249" s="220"/>
      <c r="F249" s="220"/>
      <c r="G249" s="220"/>
      <c r="H249" s="220" t="str">
        <f t="shared" si="21"/>
        <v/>
      </c>
      <c r="I249" s="460"/>
      <c r="J249" s="460"/>
      <c r="K249" s="460"/>
      <c r="L249" s="460"/>
      <c r="M249" s="460"/>
      <c r="N249" s="220"/>
      <c r="O249" s="220"/>
      <c r="P249" s="220"/>
      <c r="Q249" s="220"/>
      <c r="R249" s="221"/>
      <c r="S249" s="221"/>
      <c r="T249" s="316">
        <f t="shared" si="22"/>
        <v>0</v>
      </c>
      <c r="U249" s="217">
        <f t="shared" si="23"/>
        <v>0</v>
      </c>
      <c r="X249" s="26" t="str">
        <f t="shared" si="24"/>
        <v/>
      </c>
      <c r="Y249" s="21" t="str">
        <f>IF(MATCH(X249,X250:$X$300,0),"Si",1)</f>
        <v>Si</v>
      </c>
      <c r="Z249" s="26">
        <f t="shared" si="25"/>
        <v>0</v>
      </c>
      <c r="AA249" s="26">
        <f t="shared" si="26"/>
        <v>0</v>
      </c>
      <c r="AB249" s="26" t="str">
        <f t="shared" si="27"/>
        <v/>
      </c>
      <c r="AC249" s="26" t="str">
        <f>IF(MATCH(AB249,AB250:$AB$300,0),"0",1)</f>
        <v>0</v>
      </c>
    </row>
    <row r="250" spans="2:29" x14ac:dyDescent="0.35">
      <c r="B250" s="219"/>
      <c r="C250" s="216" t="s">
        <v>441</v>
      </c>
      <c r="D250" s="216"/>
      <c r="E250" s="220"/>
      <c r="F250" s="220"/>
      <c r="G250" s="220"/>
      <c r="H250" s="220" t="str">
        <f t="shared" si="21"/>
        <v/>
      </c>
      <c r="I250" s="460"/>
      <c r="J250" s="460"/>
      <c r="K250" s="460"/>
      <c r="L250" s="460"/>
      <c r="M250" s="460"/>
      <c r="N250" s="220"/>
      <c r="O250" s="220"/>
      <c r="P250" s="220"/>
      <c r="Q250" s="220"/>
      <c r="R250" s="221"/>
      <c r="S250" s="221"/>
      <c r="T250" s="316">
        <f t="shared" si="22"/>
        <v>0</v>
      </c>
      <c r="U250" s="217">
        <f t="shared" si="23"/>
        <v>0</v>
      </c>
      <c r="X250" s="26" t="str">
        <f t="shared" si="24"/>
        <v/>
      </c>
      <c r="Y250" s="21" t="str">
        <f>IF(MATCH(X250,X251:$X$300,0),"Si",1)</f>
        <v>Si</v>
      </c>
      <c r="Z250" s="26">
        <f t="shared" si="25"/>
        <v>0</v>
      </c>
      <c r="AA250" s="26">
        <f t="shared" si="26"/>
        <v>0</v>
      </c>
      <c r="AB250" s="26" t="str">
        <f t="shared" si="27"/>
        <v/>
      </c>
      <c r="AC250" s="26" t="str">
        <f>IF(MATCH(AB250,AB251:$AB$300,0),"0",1)</f>
        <v>0</v>
      </c>
    </row>
    <row r="251" spans="2:29" x14ac:dyDescent="0.35">
      <c r="B251" s="219"/>
      <c r="C251" s="216" t="s">
        <v>442</v>
      </c>
      <c r="D251" s="216"/>
      <c r="E251" s="220"/>
      <c r="F251" s="220"/>
      <c r="G251" s="220"/>
      <c r="H251" s="220" t="str">
        <f t="shared" si="21"/>
        <v/>
      </c>
      <c r="I251" s="460"/>
      <c r="J251" s="460"/>
      <c r="K251" s="460"/>
      <c r="L251" s="460"/>
      <c r="M251" s="460"/>
      <c r="N251" s="220"/>
      <c r="O251" s="220"/>
      <c r="P251" s="220"/>
      <c r="Q251" s="220"/>
      <c r="R251" s="221"/>
      <c r="S251" s="221"/>
      <c r="T251" s="316">
        <f t="shared" si="22"/>
        <v>0</v>
      </c>
      <c r="U251" s="217">
        <f t="shared" si="23"/>
        <v>0</v>
      </c>
      <c r="X251" s="26" t="str">
        <f t="shared" si="24"/>
        <v/>
      </c>
      <c r="Y251" s="21" t="str">
        <f>IF(MATCH(X251,X252:$X$300,0),"Si",1)</f>
        <v>Si</v>
      </c>
      <c r="Z251" s="26">
        <f t="shared" si="25"/>
        <v>0</v>
      </c>
      <c r="AA251" s="26">
        <f t="shared" si="26"/>
        <v>0</v>
      </c>
      <c r="AB251" s="26" t="str">
        <f t="shared" si="27"/>
        <v/>
      </c>
      <c r="AC251" s="26" t="str">
        <f>IF(MATCH(AB251,AB252:$AB$300,0),"0",1)</f>
        <v>0</v>
      </c>
    </row>
    <row r="252" spans="2:29" x14ac:dyDescent="0.35">
      <c r="B252" s="219"/>
      <c r="C252" s="216" t="s">
        <v>443</v>
      </c>
      <c r="D252" s="216"/>
      <c r="E252" s="220"/>
      <c r="F252" s="220"/>
      <c r="G252" s="220"/>
      <c r="H252" s="220" t="str">
        <f t="shared" si="21"/>
        <v/>
      </c>
      <c r="I252" s="460"/>
      <c r="J252" s="460"/>
      <c r="K252" s="460"/>
      <c r="L252" s="460"/>
      <c r="M252" s="460"/>
      <c r="N252" s="220"/>
      <c r="O252" s="220"/>
      <c r="P252" s="220"/>
      <c r="Q252" s="220"/>
      <c r="R252" s="221"/>
      <c r="S252" s="221"/>
      <c r="T252" s="316">
        <f t="shared" si="22"/>
        <v>0</v>
      </c>
      <c r="U252" s="217">
        <f t="shared" si="23"/>
        <v>0</v>
      </c>
      <c r="X252" s="26" t="str">
        <f t="shared" si="24"/>
        <v/>
      </c>
      <c r="Y252" s="21" t="str">
        <f>IF(MATCH(X252,X253:$X$300,0),"Si",1)</f>
        <v>Si</v>
      </c>
      <c r="Z252" s="26">
        <f t="shared" si="25"/>
        <v>0</v>
      </c>
      <c r="AA252" s="26">
        <f t="shared" si="26"/>
        <v>0</v>
      </c>
      <c r="AB252" s="26" t="str">
        <f t="shared" si="27"/>
        <v/>
      </c>
      <c r="AC252" s="26" t="str">
        <f>IF(MATCH(AB252,AB253:$AB$300,0),"0",1)</f>
        <v>0</v>
      </c>
    </row>
    <row r="253" spans="2:29" x14ac:dyDescent="0.35">
      <c r="B253" s="219"/>
      <c r="C253" s="216" t="s">
        <v>444</v>
      </c>
      <c r="D253" s="216"/>
      <c r="E253" s="220"/>
      <c r="F253" s="220"/>
      <c r="G253" s="220"/>
      <c r="H253" s="220" t="str">
        <f t="shared" si="21"/>
        <v/>
      </c>
      <c r="I253" s="460"/>
      <c r="J253" s="460"/>
      <c r="K253" s="460"/>
      <c r="L253" s="460"/>
      <c r="M253" s="460"/>
      <c r="N253" s="220"/>
      <c r="O253" s="220"/>
      <c r="P253" s="220"/>
      <c r="Q253" s="220"/>
      <c r="R253" s="221"/>
      <c r="S253" s="221"/>
      <c r="T253" s="316">
        <f t="shared" si="22"/>
        <v>0</v>
      </c>
      <c r="U253" s="217">
        <f t="shared" si="23"/>
        <v>0</v>
      </c>
      <c r="X253" s="26" t="str">
        <f t="shared" si="24"/>
        <v/>
      </c>
      <c r="Y253" s="21" t="str">
        <f>IF(MATCH(X253,X254:$X$300,0),"Si",1)</f>
        <v>Si</v>
      </c>
      <c r="Z253" s="26">
        <f t="shared" si="25"/>
        <v>0</v>
      </c>
      <c r="AA253" s="26">
        <f t="shared" si="26"/>
        <v>0</v>
      </c>
      <c r="AB253" s="26" t="str">
        <f t="shared" si="27"/>
        <v/>
      </c>
      <c r="AC253" s="26" t="str">
        <f>IF(MATCH(AB253,AB254:$AB$300,0),"0",1)</f>
        <v>0</v>
      </c>
    </row>
    <row r="254" spans="2:29" x14ac:dyDescent="0.35">
      <c r="B254" s="219"/>
      <c r="C254" s="216" t="s">
        <v>445</v>
      </c>
      <c r="D254" s="216"/>
      <c r="E254" s="220"/>
      <c r="F254" s="220"/>
      <c r="G254" s="220"/>
      <c r="H254" s="220" t="str">
        <f t="shared" si="21"/>
        <v/>
      </c>
      <c r="I254" s="460"/>
      <c r="J254" s="460"/>
      <c r="K254" s="460"/>
      <c r="L254" s="460"/>
      <c r="M254" s="460"/>
      <c r="N254" s="220"/>
      <c r="O254" s="220"/>
      <c r="P254" s="220"/>
      <c r="Q254" s="220"/>
      <c r="R254" s="221"/>
      <c r="S254" s="221"/>
      <c r="T254" s="316">
        <f t="shared" si="22"/>
        <v>0</v>
      </c>
      <c r="U254" s="217">
        <f t="shared" si="23"/>
        <v>0</v>
      </c>
      <c r="X254" s="26" t="str">
        <f t="shared" si="24"/>
        <v/>
      </c>
      <c r="Y254" s="21" t="str">
        <f>IF(MATCH(X254,X255:$X$300,0),"Si",1)</f>
        <v>Si</v>
      </c>
      <c r="Z254" s="26">
        <f t="shared" si="25"/>
        <v>0</v>
      </c>
      <c r="AA254" s="26">
        <f t="shared" si="26"/>
        <v>0</v>
      </c>
      <c r="AB254" s="26" t="str">
        <f t="shared" si="27"/>
        <v/>
      </c>
      <c r="AC254" s="26" t="str">
        <f>IF(MATCH(AB254,AB255:$AB$300,0),"0",1)</f>
        <v>0</v>
      </c>
    </row>
    <row r="255" spans="2:29" x14ac:dyDescent="0.35">
      <c r="B255" s="219"/>
      <c r="C255" s="216" t="s">
        <v>446</v>
      </c>
      <c r="D255" s="216"/>
      <c r="E255" s="220"/>
      <c r="F255" s="220"/>
      <c r="G255" s="220"/>
      <c r="H255" s="220" t="str">
        <f t="shared" si="21"/>
        <v/>
      </c>
      <c r="I255" s="460"/>
      <c r="J255" s="460"/>
      <c r="K255" s="460"/>
      <c r="L255" s="460"/>
      <c r="M255" s="460"/>
      <c r="N255" s="220"/>
      <c r="O255" s="220"/>
      <c r="P255" s="220"/>
      <c r="Q255" s="220"/>
      <c r="R255" s="221"/>
      <c r="S255" s="221"/>
      <c r="T255" s="316">
        <f t="shared" si="22"/>
        <v>0</v>
      </c>
      <c r="U255" s="217">
        <f t="shared" si="23"/>
        <v>0</v>
      </c>
      <c r="X255" s="26" t="str">
        <f t="shared" si="24"/>
        <v/>
      </c>
      <c r="Y255" s="21" t="str">
        <f>IF(MATCH(X255,X256:$X$300,0),"Si",1)</f>
        <v>Si</v>
      </c>
      <c r="Z255" s="26">
        <f t="shared" si="25"/>
        <v>0</v>
      </c>
      <c r="AA255" s="26">
        <f t="shared" si="26"/>
        <v>0</v>
      </c>
      <c r="AB255" s="26" t="str">
        <f t="shared" si="27"/>
        <v/>
      </c>
      <c r="AC255" s="26" t="str">
        <f>IF(MATCH(AB255,AB256:$AB$300,0),"0",1)</f>
        <v>0</v>
      </c>
    </row>
    <row r="256" spans="2:29" x14ac:dyDescent="0.35">
      <c r="B256" s="219"/>
      <c r="C256" s="216" t="s">
        <v>447</v>
      </c>
      <c r="D256" s="216"/>
      <c r="E256" s="220"/>
      <c r="F256" s="220"/>
      <c r="G256" s="220"/>
      <c r="H256" s="220" t="str">
        <f t="shared" si="21"/>
        <v/>
      </c>
      <c r="I256" s="460"/>
      <c r="J256" s="460"/>
      <c r="K256" s="460"/>
      <c r="L256" s="460"/>
      <c r="M256" s="460"/>
      <c r="N256" s="220"/>
      <c r="O256" s="220"/>
      <c r="P256" s="220"/>
      <c r="Q256" s="220"/>
      <c r="R256" s="221"/>
      <c r="S256" s="221"/>
      <c r="T256" s="316">
        <f t="shared" si="22"/>
        <v>0</v>
      </c>
      <c r="U256" s="217">
        <f t="shared" si="23"/>
        <v>0</v>
      </c>
      <c r="X256" s="26" t="str">
        <f t="shared" si="24"/>
        <v/>
      </c>
      <c r="Y256" s="21" t="str">
        <f>IF(MATCH(X256,X257:$X$300,0),"Si",1)</f>
        <v>Si</v>
      </c>
      <c r="Z256" s="26">
        <f t="shared" si="25"/>
        <v>0</v>
      </c>
      <c r="AA256" s="26">
        <f t="shared" si="26"/>
        <v>0</v>
      </c>
      <c r="AB256" s="26" t="str">
        <f t="shared" si="27"/>
        <v/>
      </c>
      <c r="AC256" s="26" t="str">
        <f>IF(MATCH(AB256,AB257:$AB$300,0),"0",1)</f>
        <v>0</v>
      </c>
    </row>
    <row r="257" spans="2:29" x14ac:dyDescent="0.35">
      <c r="B257" s="219"/>
      <c r="C257" s="216" t="s">
        <v>448</v>
      </c>
      <c r="D257" s="216"/>
      <c r="E257" s="220"/>
      <c r="F257" s="220"/>
      <c r="G257" s="220"/>
      <c r="H257" s="220" t="str">
        <f t="shared" si="21"/>
        <v/>
      </c>
      <c r="I257" s="460"/>
      <c r="J257" s="460"/>
      <c r="K257" s="460"/>
      <c r="L257" s="460"/>
      <c r="M257" s="460"/>
      <c r="N257" s="220"/>
      <c r="O257" s="220"/>
      <c r="P257" s="220"/>
      <c r="Q257" s="220"/>
      <c r="R257" s="221"/>
      <c r="S257" s="221"/>
      <c r="T257" s="316">
        <f t="shared" si="22"/>
        <v>0</v>
      </c>
      <c r="U257" s="217">
        <f t="shared" si="23"/>
        <v>0</v>
      </c>
      <c r="X257" s="26" t="str">
        <f t="shared" si="24"/>
        <v/>
      </c>
      <c r="Y257" s="21" t="str">
        <f>IF(MATCH(X257,X258:$X$300,0),"Si",1)</f>
        <v>Si</v>
      </c>
      <c r="Z257" s="26">
        <f t="shared" si="25"/>
        <v>0</v>
      </c>
      <c r="AA257" s="26">
        <f t="shared" si="26"/>
        <v>0</v>
      </c>
      <c r="AB257" s="26" t="str">
        <f t="shared" si="27"/>
        <v/>
      </c>
      <c r="AC257" s="26" t="str">
        <f>IF(MATCH(AB257,AB258:$AB$300,0),"0",1)</f>
        <v>0</v>
      </c>
    </row>
    <row r="258" spans="2:29" x14ac:dyDescent="0.35">
      <c r="B258" s="219"/>
      <c r="C258" s="216" t="s">
        <v>449</v>
      </c>
      <c r="D258" s="216"/>
      <c r="E258" s="220"/>
      <c r="F258" s="220"/>
      <c r="G258" s="220"/>
      <c r="H258" s="220" t="str">
        <f t="shared" si="21"/>
        <v/>
      </c>
      <c r="I258" s="460"/>
      <c r="J258" s="460"/>
      <c r="K258" s="460"/>
      <c r="L258" s="460"/>
      <c r="M258" s="460"/>
      <c r="N258" s="220"/>
      <c r="O258" s="220"/>
      <c r="P258" s="220"/>
      <c r="Q258" s="220"/>
      <c r="R258" s="221"/>
      <c r="S258" s="221"/>
      <c r="T258" s="316">
        <f t="shared" si="22"/>
        <v>0</v>
      </c>
      <c r="U258" s="217">
        <f t="shared" si="23"/>
        <v>0</v>
      </c>
      <c r="X258" s="26" t="str">
        <f t="shared" si="24"/>
        <v/>
      </c>
      <c r="Y258" s="21" t="str">
        <f>IF(MATCH(X258,X259:$X$300,0),"Si",1)</f>
        <v>Si</v>
      </c>
      <c r="Z258" s="26">
        <f t="shared" si="25"/>
        <v>0</v>
      </c>
      <c r="AA258" s="26">
        <f t="shared" si="26"/>
        <v>0</v>
      </c>
      <c r="AB258" s="26" t="str">
        <f t="shared" si="27"/>
        <v/>
      </c>
      <c r="AC258" s="26" t="str">
        <f>IF(MATCH(AB258,AB259:$AB$300,0),"0",1)</f>
        <v>0</v>
      </c>
    </row>
    <row r="259" spans="2:29" x14ac:dyDescent="0.35">
      <c r="B259" s="219"/>
      <c r="C259" s="216" t="s">
        <v>450</v>
      </c>
      <c r="D259" s="216"/>
      <c r="E259" s="220"/>
      <c r="F259" s="220"/>
      <c r="G259" s="220"/>
      <c r="H259" s="220" t="str">
        <f t="shared" si="21"/>
        <v/>
      </c>
      <c r="I259" s="460"/>
      <c r="J259" s="460"/>
      <c r="K259" s="460"/>
      <c r="L259" s="460"/>
      <c r="M259" s="460"/>
      <c r="N259" s="220"/>
      <c r="O259" s="220"/>
      <c r="P259" s="220"/>
      <c r="Q259" s="220"/>
      <c r="R259" s="221"/>
      <c r="S259" s="221"/>
      <c r="T259" s="316">
        <f t="shared" si="22"/>
        <v>0</v>
      </c>
      <c r="U259" s="217">
        <f t="shared" si="23"/>
        <v>0</v>
      </c>
      <c r="X259" s="26" t="str">
        <f t="shared" si="24"/>
        <v/>
      </c>
      <c r="Y259" s="21" t="str">
        <f>IF(MATCH(X259,X260:$X$300,0),"Si",1)</f>
        <v>Si</v>
      </c>
      <c r="Z259" s="26">
        <f t="shared" si="25"/>
        <v>0</v>
      </c>
      <c r="AA259" s="26">
        <f t="shared" si="26"/>
        <v>0</v>
      </c>
      <c r="AB259" s="26" t="str">
        <f t="shared" si="27"/>
        <v/>
      </c>
      <c r="AC259" s="26" t="str">
        <f>IF(MATCH(AB259,AB260:$AB$300,0),"0",1)</f>
        <v>0</v>
      </c>
    </row>
    <row r="260" spans="2:29" x14ac:dyDescent="0.35">
      <c r="B260" s="219"/>
      <c r="C260" s="216" t="s">
        <v>451</v>
      </c>
      <c r="D260" s="216"/>
      <c r="E260" s="220"/>
      <c r="F260" s="220"/>
      <c r="G260" s="220"/>
      <c r="H260" s="220" t="str">
        <f t="shared" si="21"/>
        <v/>
      </c>
      <c r="I260" s="460"/>
      <c r="J260" s="460"/>
      <c r="K260" s="460"/>
      <c r="L260" s="460"/>
      <c r="M260" s="460"/>
      <c r="N260" s="220"/>
      <c r="O260" s="220"/>
      <c r="P260" s="220"/>
      <c r="Q260" s="220"/>
      <c r="R260" s="221"/>
      <c r="S260" s="221"/>
      <c r="T260" s="316">
        <f t="shared" si="22"/>
        <v>0</v>
      </c>
      <c r="U260" s="217">
        <f t="shared" si="23"/>
        <v>0</v>
      </c>
      <c r="X260" s="26" t="str">
        <f t="shared" si="24"/>
        <v/>
      </c>
      <c r="Y260" s="21" t="str">
        <f>IF(MATCH(X260,X261:$X$300,0),"Si",1)</f>
        <v>Si</v>
      </c>
      <c r="Z260" s="26">
        <f t="shared" si="25"/>
        <v>0</v>
      </c>
      <c r="AA260" s="26">
        <f t="shared" si="26"/>
        <v>0</v>
      </c>
      <c r="AB260" s="26" t="str">
        <f t="shared" si="27"/>
        <v/>
      </c>
      <c r="AC260" s="26" t="str">
        <f>IF(MATCH(AB260,AB261:$AB$300,0),"0",1)</f>
        <v>0</v>
      </c>
    </row>
    <row r="261" spans="2:29" x14ac:dyDescent="0.35">
      <c r="B261" s="219"/>
      <c r="C261" s="216" t="s">
        <v>452</v>
      </c>
      <c r="D261" s="216"/>
      <c r="E261" s="220"/>
      <c r="F261" s="220"/>
      <c r="G261" s="220"/>
      <c r="H261" s="220" t="str">
        <f t="shared" si="21"/>
        <v/>
      </c>
      <c r="I261" s="460"/>
      <c r="J261" s="460"/>
      <c r="K261" s="460"/>
      <c r="L261" s="460"/>
      <c r="M261" s="460"/>
      <c r="N261" s="220"/>
      <c r="O261" s="220"/>
      <c r="P261" s="220"/>
      <c r="Q261" s="220"/>
      <c r="R261" s="221"/>
      <c r="S261" s="221"/>
      <c r="T261" s="316">
        <f t="shared" si="22"/>
        <v>0</v>
      </c>
      <c r="U261" s="217">
        <f t="shared" si="23"/>
        <v>0</v>
      </c>
      <c r="X261" s="26" t="str">
        <f t="shared" si="24"/>
        <v/>
      </c>
      <c r="Y261" s="21" t="str">
        <f>IF(MATCH(X261,X262:$X$300,0),"Si",1)</f>
        <v>Si</v>
      </c>
      <c r="Z261" s="26">
        <f t="shared" si="25"/>
        <v>0</v>
      </c>
      <c r="AA261" s="26">
        <f t="shared" si="26"/>
        <v>0</v>
      </c>
      <c r="AB261" s="26" t="str">
        <f t="shared" si="27"/>
        <v/>
      </c>
      <c r="AC261" s="26" t="str">
        <f>IF(MATCH(AB261,AB262:$AB$300,0),"0",1)</f>
        <v>0</v>
      </c>
    </row>
    <row r="262" spans="2:29" x14ac:dyDescent="0.35">
      <c r="B262" s="219"/>
      <c r="C262" s="216" t="s">
        <v>453</v>
      </c>
      <c r="D262" s="216"/>
      <c r="E262" s="220"/>
      <c r="F262" s="220"/>
      <c r="G262" s="220"/>
      <c r="H262" s="220" t="str">
        <f t="shared" si="21"/>
        <v/>
      </c>
      <c r="I262" s="460"/>
      <c r="J262" s="460"/>
      <c r="K262" s="460"/>
      <c r="L262" s="460"/>
      <c r="M262" s="460"/>
      <c r="N262" s="220"/>
      <c r="O262" s="220"/>
      <c r="P262" s="220"/>
      <c r="Q262" s="220"/>
      <c r="R262" s="221"/>
      <c r="S262" s="221"/>
      <c r="T262" s="316">
        <f t="shared" si="22"/>
        <v>0</v>
      </c>
      <c r="U262" s="217">
        <f t="shared" si="23"/>
        <v>0</v>
      </c>
      <c r="X262" s="26" t="str">
        <f t="shared" si="24"/>
        <v/>
      </c>
      <c r="Y262" s="21" t="str">
        <f>IF(MATCH(X262,X263:$X$300,0),"Si",1)</f>
        <v>Si</v>
      </c>
      <c r="Z262" s="26">
        <f t="shared" si="25"/>
        <v>0</v>
      </c>
      <c r="AA262" s="26">
        <f t="shared" si="26"/>
        <v>0</v>
      </c>
      <c r="AB262" s="26" t="str">
        <f t="shared" si="27"/>
        <v/>
      </c>
      <c r="AC262" s="26" t="str">
        <f>IF(MATCH(AB262,AB263:$AB$300,0),"0",1)</f>
        <v>0</v>
      </c>
    </row>
    <row r="263" spans="2:29" x14ac:dyDescent="0.35">
      <c r="B263" s="219"/>
      <c r="C263" s="216" t="s">
        <v>454</v>
      </c>
      <c r="D263" s="216"/>
      <c r="E263" s="220"/>
      <c r="F263" s="220"/>
      <c r="G263" s="220"/>
      <c r="H263" s="220" t="str">
        <f t="shared" si="21"/>
        <v/>
      </c>
      <c r="I263" s="460"/>
      <c r="J263" s="460"/>
      <c r="K263" s="460"/>
      <c r="L263" s="460"/>
      <c r="M263" s="460"/>
      <c r="N263" s="220"/>
      <c r="O263" s="220"/>
      <c r="P263" s="220"/>
      <c r="Q263" s="220"/>
      <c r="R263" s="221"/>
      <c r="S263" s="221"/>
      <c r="T263" s="316">
        <f t="shared" si="22"/>
        <v>0</v>
      </c>
      <c r="U263" s="217">
        <f t="shared" si="23"/>
        <v>0</v>
      </c>
      <c r="X263" s="26" t="str">
        <f t="shared" si="24"/>
        <v/>
      </c>
      <c r="Y263" s="21" t="str">
        <f>IF(MATCH(X263,X264:$X$300,0),"Si",1)</f>
        <v>Si</v>
      </c>
      <c r="Z263" s="26">
        <f t="shared" si="25"/>
        <v>0</v>
      </c>
      <c r="AA263" s="26">
        <f t="shared" si="26"/>
        <v>0</v>
      </c>
      <c r="AB263" s="26" t="str">
        <f t="shared" si="27"/>
        <v/>
      </c>
      <c r="AC263" s="26" t="str">
        <f>IF(MATCH(AB263,AB264:$AB$300,0),"0",1)</f>
        <v>0</v>
      </c>
    </row>
    <row r="264" spans="2:29" x14ac:dyDescent="0.35">
      <c r="B264" s="219"/>
      <c r="C264" s="216" t="s">
        <v>455</v>
      </c>
      <c r="D264" s="216"/>
      <c r="E264" s="220"/>
      <c r="F264" s="220"/>
      <c r="G264" s="220"/>
      <c r="H264" s="220" t="str">
        <f t="shared" si="21"/>
        <v/>
      </c>
      <c r="I264" s="460"/>
      <c r="J264" s="460"/>
      <c r="K264" s="460"/>
      <c r="L264" s="460"/>
      <c r="M264" s="460"/>
      <c r="N264" s="220"/>
      <c r="O264" s="220"/>
      <c r="P264" s="220"/>
      <c r="Q264" s="220"/>
      <c r="R264" s="221"/>
      <c r="S264" s="221"/>
      <c r="T264" s="316">
        <f t="shared" si="22"/>
        <v>0</v>
      </c>
      <c r="U264" s="217">
        <f t="shared" si="23"/>
        <v>0</v>
      </c>
      <c r="X264" s="26" t="str">
        <f t="shared" si="24"/>
        <v/>
      </c>
      <c r="Y264" s="21" t="str">
        <f>IF(MATCH(X264,X265:$X$300,0),"Si",1)</f>
        <v>Si</v>
      </c>
      <c r="Z264" s="26">
        <f t="shared" si="25"/>
        <v>0</v>
      </c>
      <c r="AA264" s="26">
        <f t="shared" si="26"/>
        <v>0</v>
      </c>
      <c r="AB264" s="26" t="str">
        <f t="shared" si="27"/>
        <v/>
      </c>
      <c r="AC264" s="26" t="str">
        <f>IF(MATCH(AB264,AB265:$AB$300,0),"0",1)</f>
        <v>0</v>
      </c>
    </row>
    <row r="265" spans="2:29" x14ac:dyDescent="0.35">
      <c r="B265" s="219"/>
      <c r="C265" s="216" t="s">
        <v>456</v>
      </c>
      <c r="D265" s="216"/>
      <c r="E265" s="220"/>
      <c r="F265" s="220"/>
      <c r="G265" s="220"/>
      <c r="H265" s="220" t="str">
        <f t="shared" si="21"/>
        <v/>
      </c>
      <c r="I265" s="460"/>
      <c r="J265" s="460"/>
      <c r="K265" s="460"/>
      <c r="L265" s="460"/>
      <c r="M265" s="460"/>
      <c r="N265" s="220"/>
      <c r="O265" s="220"/>
      <c r="P265" s="220"/>
      <c r="Q265" s="220"/>
      <c r="R265" s="221"/>
      <c r="S265" s="221"/>
      <c r="T265" s="316">
        <f t="shared" si="22"/>
        <v>0</v>
      </c>
      <c r="U265" s="217">
        <f t="shared" si="23"/>
        <v>0</v>
      </c>
      <c r="X265" s="26" t="str">
        <f t="shared" si="24"/>
        <v/>
      </c>
      <c r="Y265" s="21" t="str">
        <f>IF(MATCH(X265,X266:$X$300,0),"Si",1)</f>
        <v>Si</v>
      </c>
      <c r="Z265" s="26">
        <f t="shared" si="25"/>
        <v>0</v>
      </c>
      <c r="AA265" s="26">
        <f t="shared" si="26"/>
        <v>0</v>
      </c>
      <c r="AB265" s="26" t="str">
        <f t="shared" si="27"/>
        <v/>
      </c>
      <c r="AC265" s="26" t="str">
        <f>IF(MATCH(AB265,AB266:$AB$300,0),"0",1)</f>
        <v>0</v>
      </c>
    </row>
    <row r="266" spans="2:29" x14ac:dyDescent="0.35">
      <c r="B266" s="219"/>
      <c r="C266" s="216" t="s">
        <v>457</v>
      </c>
      <c r="D266" s="216"/>
      <c r="E266" s="220"/>
      <c r="F266" s="220"/>
      <c r="G266" s="220"/>
      <c r="H266" s="220" t="str">
        <f t="shared" si="21"/>
        <v/>
      </c>
      <c r="I266" s="460"/>
      <c r="J266" s="460"/>
      <c r="K266" s="460"/>
      <c r="L266" s="460"/>
      <c r="M266" s="460"/>
      <c r="N266" s="220"/>
      <c r="O266" s="220"/>
      <c r="P266" s="220"/>
      <c r="Q266" s="220"/>
      <c r="R266" s="221"/>
      <c r="S266" s="221"/>
      <c r="T266" s="316">
        <f t="shared" si="22"/>
        <v>0</v>
      </c>
      <c r="U266" s="217">
        <f t="shared" si="23"/>
        <v>0</v>
      </c>
      <c r="X266" s="26" t="str">
        <f t="shared" si="24"/>
        <v/>
      </c>
      <c r="Y266" s="21" t="str">
        <f>IF(MATCH(X266,X267:$X$300,0),"Si",1)</f>
        <v>Si</v>
      </c>
      <c r="Z266" s="26">
        <f t="shared" si="25"/>
        <v>0</v>
      </c>
      <c r="AA266" s="26">
        <f t="shared" si="26"/>
        <v>0</v>
      </c>
      <c r="AB266" s="26" t="str">
        <f t="shared" si="27"/>
        <v/>
      </c>
      <c r="AC266" s="26" t="str">
        <f>IF(MATCH(AB266,AB267:$AB$300,0),"0",1)</f>
        <v>0</v>
      </c>
    </row>
    <row r="267" spans="2:29" x14ac:dyDescent="0.35">
      <c r="B267" s="219"/>
      <c r="C267" s="216" t="s">
        <v>458</v>
      </c>
      <c r="D267" s="216"/>
      <c r="E267" s="220"/>
      <c r="F267" s="220"/>
      <c r="G267" s="220"/>
      <c r="H267" s="220" t="str">
        <f t="shared" si="21"/>
        <v/>
      </c>
      <c r="I267" s="460"/>
      <c r="J267" s="460"/>
      <c r="K267" s="460"/>
      <c r="L267" s="460"/>
      <c r="M267" s="460"/>
      <c r="N267" s="220"/>
      <c r="O267" s="220"/>
      <c r="P267" s="220"/>
      <c r="Q267" s="220"/>
      <c r="R267" s="221"/>
      <c r="S267" s="221"/>
      <c r="T267" s="316">
        <f t="shared" si="22"/>
        <v>0</v>
      </c>
      <c r="U267" s="217">
        <f t="shared" si="23"/>
        <v>0</v>
      </c>
      <c r="X267" s="26" t="str">
        <f t="shared" si="24"/>
        <v/>
      </c>
      <c r="Y267" s="21" t="str">
        <f>IF(MATCH(X267,X268:$X$300,0),"Si",1)</f>
        <v>Si</v>
      </c>
      <c r="Z267" s="26">
        <f t="shared" si="25"/>
        <v>0</v>
      </c>
      <c r="AA267" s="26">
        <f t="shared" si="26"/>
        <v>0</v>
      </c>
      <c r="AB267" s="26" t="str">
        <f t="shared" si="27"/>
        <v/>
      </c>
      <c r="AC267" s="26" t="str">
        <f>IF(MATCH(AB267,AB268:$AB$300,0),"0",1)</f>
        <v>0</v>
      </c>
    </row>
    <row r="268" spans="2:29" x14ac:dyDescent="0.35">
      <c r="B268" s="219"/>
      <c r="C268" s="216" t="s">
        <v>459</v>
      </c>
      <c r="D268" s="216"/>
      <c r="E268" s="220"/>
      <c r="F268" s="220"/>
      <c r="G268" s="220"/>
      <c r="H268" s="220" t="str">
        <f t="shared" si="21"/>
        <v/>
      </c>
      <c r="I268" s="460"/>
      <c r="J268" s="460"/>
      <c r="K268" s="460"/>
      <c r="L268" s="460"/>
      <c r="M268" s="460"/>
      <c r="N268" s="220"/>
      <c r="O268" s="220"/>
      <c r="P268" s="220"/>
      <c r="Q268" s="220"/>
      <c r="R268" s="221"/>
      <c r="S268" s="221"/>
      <c r="T268" s="316">
        <f t="shared" si="22"/>
        <v>0</v>
      </c>
      <c r="U268" s="217">
        <f t="shared" si="23"/>
        <v>0</v>
      </c>
      <c r="X268" s="26" t="str">
        <f t="shared" si="24"/>
        <v/>
      </c>
      <c r="Y268" s="21" t="str">
        <f>IF(MATCH(X268,X269:$X$300,0),"Si",1)</f>
        <v>Si</v>
      </c>
      <c r="Z268" s="26">
        <f t="shared" si="25"/>
        <v>0</v>
      </c>
      <c r="AA268" s="26">
        <f t="shared" si="26"/>
        <v>0</v>
      </c>
      <c r="AB268" s="26" t="str">
        <f t="shared" si="27"/>
        <v/>
      </c>
      <c r="AC268" s="26" t="str">
        <f>IF(MATCH(AB268,AB269:$AB$300,0),"0",1)</f>
        <v>0</v>
      </c>
    </row>
    <row r="269" spans="2:29" x14ac:dyDescent="0.35">
      <c r="B269" s="219"/>
      <c r="C269" s="216" t="s">
        <v>460</v>
      </c>
      <c r="D269" s="216"/>
      <c r="E269" s="220"/>
      <c r="F269" s="220"/>
      <c r="G269" s="220"/>
      <c r="H269" s="220" t="str">
        <f t="shared" si="21"/>
        <v/>
      </c>
      <c r="I269" s="460"/>
      <c r="J269" s="460"/>
      <c r="K269" s="460"/>
      <c r="L269" s="460"/>
      <c r="M269" s="460"/>
      <c r="N269" s="220"/>
      <c r="O269" s="220"/>
      <c r="P269" s="220"/>
      <c r="Q269" s="220"/>
      <c r="R269" s="221"/>
      <c r="S269" s="221"/>
      <c r="T269" s="316">
        <f t="shared" si="22"/>
        <v>0</v>
      </c>
      <c r="U269" s="217">
        <f t="shared" si="23"/>
        <v>0</v>
      </c>
      <c r="X269" s="26" t="str">
        <f t="shared" si="24"/>
        <v/>
      </c>
      <c r="Y269" s="21" t="str">
        <f>IF(MATCH(X269,X270:$X$300,0),"Si",1)</f>
        <v>Si</v>
      </c>
      <c r="Z269" s="26">
        <f t="shared" si="25"/>
        <v>0</v>
      </c>
      <c r="AA269" s="26">
        <f t="shared" si="26"/>
        <v>0</v>
      </c>
      <c r="AB269" s="26" t="str">
        <f t="shared" si="27"/>
        <v/>
      </c>
      <c r="AC269" s="26" t="str">
        <f>IF(MATCH(AB269,AB270:$AB$300,0),"0",1)</f>
        <v>0</v>
      </c>
    </row>
    <row r="270" spans="2:29" x14ac:dyDescent="0.35">
      <c r="B270" s="219"/>
      <c r="C270" s="216" t="s">
        <v>461</v>
      </c>
      <c r="D270" s="216"/>
      <c r="E270" s="220"/>
      <c r="F270" s="220"/>
      <c r="G270" s="220"/>
      <c r="H270" s="220" t="str">
        <f t="shared" si="21"/>
        <v/>
      </c>
      <c r="I270" s="460"/>
      <c r="J270" s="460"/>
      <c r="K270" s="460"/>
      <c r="L270" s="460"/>
      <c r="M270" s="460"/>
      <c r="N270" s="220"/>
      <c r="O270" s="220"/>
      <c r="P270" s="220"/>
      <c r="Q270" s="220"/>
      <c r="R270" s="221"/>
      <c r="S270" s="221"/>
      <c r="T270" s="316">
        <f t="shared" si="22"/>
        <v>0</v>
      </c>
      <c r="U270" s="217">
        <f t="shared" si="23"/>
        <v>0</v>
      </c>
      <c r="X270" s="26" t="str">
        <f t="shared" si="24"/>
        <v/>
      </c>
      <c r="Y270" s="21" t="str">
        <f>IF(MATCH(X270,X271:$X$300,0),"Si",1)</f>
        <v>Si</v>
      </c>
      <c r="Z270" s="26">
        <f t="shared" si="25"/>
        <v>0</v>
      </c>
      <c r="AA270" s="26">
        <f t="shared" si="26"/>
        <v>0</v>
      </c>
      <c r="AB270" s="26" t="str">
        <f t="shared" si="27"/>
        <v/>
      </c>
      <c r="AC270" s="26" t="str">
        <f>IF(MATCH(AB270,AB271:$AB$300,0),"0",1)</f>
        <v>0</v>
      </c>
    </row>
    <row r="271" spans="2:29" x14ac:dyDescent="0.35">
      <c r="B271" s="219"/>
      <c r="C271" s="216" t="s">
        <v>462</v>
      </c>
      <c r="D271" s="216"/>
      <c r="E271" s="220"/>
      <c r="F271" s="220"/>
      <c r="G271" s="220"/>
      <c r="H271" s="220" t="str">
        <f t="shared" si="21"/>
        <v/>
      </c>
      <c r="I271" s="460"/>
      <c r="J271" s="460"/>
      <c r="K271" s="460"/>
      <c r="L271" s="460"/>
      <c r="M271" s="460"/>
      <c r="N271" s="220"/>
      <c r="O271" s="220"/>
      <c r="P271" s="220"/>
      <c r="Q271" s="220"/>
      <c r="R271" s="221"/>
      <c r="S271" s="221"/>
      <c r="T271" s="316">
        <f t="shared" si="22"/>
        <v>0</v>
      </c>
      <c r="U271" s="217">
        <f t="shared" si="23"/>
        <v>0</v>
      </c>
      <c r="X271" s="26" t="str">
        <f t="shared" si="24"/>
        <v/>
      </c>
      <c r="Y271" s="21" t="str">
        <f>IF(MATCH(X271,X272:$X$300,0),"Si",1)</f>
        <v>Si</v>
      </c>
      <c r="Z271" s="26">
        <f t="shared" si="25"/>
        <v>0</v>
      </c>
      <c r="AA271" s="26">
        <f t="shared" si="26"/>
        <v>0</v>
      </c>
      <c r="AB271" s="26" t="str">
        <f t="shared" si="27"/>
        <v/>
      </c>
      <c r="AC271" s="26" t="str">
        <f>IF(MATCH(AB271,AB272:$AB$300,0),"0",1)</f>
        <v>0</v>
      </c>
    </row>
    <row r="272" spans="2:29" x14ac:dyDescent="0.35">
      <c r="B272" s="219"/>
      <c r="C272" s="216" t="s">
        <v>463</v>
      </c>
      <c r="D272" s="216"/>
      <c r="E272" s="220"/>
      <c r="F272" s="220"/>
      <c r="G272" s="220"/>
      <c r="H272" s="220" t="str">
        <f t="shared" si="21"/>
        <v/>
      </c>
      <c r="I272" s="460"/>
      <c r="J272" s="460"/>
      <c r="K272" s="460"/>
      <c r="L272" s="460"/>
      <c r="M272" s="460"/>
      <c r="N272" s="220"/>
      <c r="O272" s="220"/>
      <c r="P272" s="220"/>
      <c r="Q272" s="220"/>
      <c r="R272" s="221"/>
      <c r="S272" s="221"/>
      <c r="T272" s="316">
        <f t="shared" si="22"/>
        <v>0</v>
      </c>
      <c r="U272" s="217">
        <f t="shared" si="23"/>
        <v>0</v>
      </c>
      <c r="X272" s="26" t="str">
        <f t="shared" si="24"/>
        <v/>
      </c>
      <c r="Y272" s="21" t="str">
        <f>IF(MATCH(X272,X273:$X$300,0),"Si",1)</f>
        <v>Si</v>
      </c>
      <c r="Z272" s="26">
        <f t="shared" si="25"/>
        <v>0</v>
      </c>
      <c r="AA272" s="26">
        <f t="shared" si="26"/>
        <v>0</v>
      </c>
      <c r="AB272" s="26" t="str">
        <f t="shared" si="27"/>
        <v/>
      </c>
      <c r="AC272" s="26" t="str">
        <f>IF(MATCH(AB272,AB273:$AB$300,0),"0",1)</f>
        <v>0</v>
      </c>
    </row>
    <row r="273" spans="2:29" x14ac:dyDescent="0.35">
      <c r="B273" s="219"/>
      <c r="C273" s="216" t="s">
        <v>464</v>
      </c>
      <c r="D273" s="216"/>
      <c r="E273" s="220"/>
      <c r="F273" s="220"/>
      <c r="G273" s="220"/>
      <c r="H273" s="220" t="str">
        <f t="shared" si="21"/>
        <v/>
      </c>
      <c r="I273" s="460"/>
      <c r="J273" s="460"/>
      <c r="K273" s="460"/>
      <c r="L273" s="460"/>
      <c r="M273" s="460"/>
      <c r="N273" s="220"/>
      <c r="O273" s="220"/>
      <c r="P273" s="220"/>
      <c r="Q273" s="220"/>
      <c r="R273" s="221"/>
      <c r="S273" s="221"/>
      <c r="T273" s="316">
        <f t="shared" si="22"/>
        <v>0</v>
      </c>
      <c r="U273" s="217">
        <f t="shared" si="23"/>
        <v>0</v>
      </c>
      <c r="X273" s="26" t="str">
        <f t="shared" si="24"/>
        <v/>
      </c>
      <c r="Y273" s="21" t="str">
        <f>IF(MATCH(X273,X274:$X$300,0),"Si",1)</f>
        <v>Si</v>
      </c>
      <c r="Z273" s="26">
        <f t="shared" si="25"/>
        <v>0</v>
      </c>
      <c r="AA273" s="26">
        <f t="shared" si="26"/>
        <v>0</v>
      </c>
      <c r="AB273" s="26" t="str">
        <f t="shared" si="27"/>
        <v/>
      </c>
      <c r="AC273" s="26" t="str">
        <f>IF(MATCH(AB273,AB274:$AB$300,0),"0",1)</f>
        <v>0</v>
      </c>
    </row>
    <row r="274" spans="2:29" x14ac:dyDescent="0.35">
      <c r="B274" s="219"/>
      <c r="C274" s="216" t="s">
        <v>465</v>
      </c>
      <c r="D274" s="216"/>
      <c r="E274" s="220"/>
      <c r="F274" s="220"/>
      <c r="G274" s="220"/>
      <c r="H274" s="220" t="str">
        <f t="shared" ref="H274:H337" si="28">IF(G274=0,"",IF(G274&lt;&gt;"Error","No",""))</f>
        <v/>
      </c>
      <c r="I274" s="460"/>
      <c r="J274" s="460"/>
      <c r="K274" s="460"/>
      <c r="L274" s="460"/>
      <c r="M274" s="460"/>
      <c r="N274" s="220"/>
      <c r="O274" s="220"/>
      <c r="P274" s="220"/>
      <c r="Q274" s="220"/>
      <c r="R274" s="221"/>
      <c r="S274" s="221"/>
      <c r="T274" s="316">
        <f t="shared" si="22"/>
        <v>0</v>
      </c>
      <c r="U274" s="217">
        <f t="shared" si="23"/>
        <v>0</v>
      </c>
      <c r="X274" s="26" t="str">
        <f t="shared" si="24"/>
        <v/>
      </c>
      <c r="Y274" s="21" t="str">
        <f>IF(MATCH(X274,X275:$X$300,0),"Si",1)</f>
        <v>Si</v>
      </c>
      <c r="Z274" s="26">
        <f t="shared" si="25"/>
        <v>0</v>
      </c>
      <c r="AA274" s="26">
        <f t="shared" si="26"/>
        <v>0</v>
      </c>
      <c r="AB274" s="26" t="str">
        <f t="shared" si="27"/>
        <v/>
      </c>
      <c r="AC274" s="26" t="str">
        <f>IF(MATCH(AB274,AB275:$AB$300,0),"0",1)</f>
        <v>0</v>
      </c>
    </row>
    <row r="275" spans="2:29" x14ac:dyDescent="0.35">
      <c r="B275" s="219"/>
      <c r="C275" s="216" t="s">
        <v>466</v>
      </c>
      <c r="D275" s="216"/>
      <c r="E275" s="220"/>
      <c r="F275" s="220"/>
      <c r="G275" s="220"/>
      <c r="H275" s="220" t="str">
        <f t="shared" si="28"/>
        <v/>
      </c>
      <c r="I275" s="460"/>
      <c r="J275" s="460"/>
      <c r="K275" s="460"/>
      <c r="L275" s="460"/>
      <c r="M275" s="460"/>
      <c r="N275" s="220"/>
      <c r="O275" s="220"/>
      <c r="P275" s="220"/>
      <c r="Q275" s="220"/>
      <c r="R275" s="221"/>
      <c r="S275" s="221"/>
      <c r="T275" s="316">
        <f t="shared" ref="T275:T338" si="29">IF(S275=0,0,IF(S275&lt;R275,"Error en fecha solución",IFERROR(AC275,NETWORKDAYS(R275,S275)-1)))</f>
        <v>0</v>
      </c>
      <c r="U275" s="217">
        <f t="shared" ref="U275:U338" si="30">IFERROR(T275*8,"Error")</f>
        <v>0</v>
      </c>
      <c r="X275" s="26" t="str">
        <f t="shared" ref="X275:X338" si="31">CONCATENATE(H275,O275,R275,S275)</f>
        <v/>
      </c>
      <c r="Y275" s="21" t="str">
        <f>IF(MATCH(X275,X276:$X$300,0),"Si",1)</f>
        <v>Si</v>
      </c>
      <c r="Z275" s="26">
        <f t="shared" ref="Z275:Z338" si="32">IF(S275=0,0,IF(S275&lt;R275,"Error en fecha solución",IF(Y275="Si",0,IFERROR(Y275,NETWORKDAYS(R275,S275)-1))))</f>
        <v>0</v>
      </c>
      <c r="AA275" s="26">
        <f t="shared" ref="AA275:AA338" si="33">IF(S275=0,0,IF(S275&lt;R275,"Error en fecha solución",IFERROR(Z275,NETWORKDAYS(R275,S275)-1)))</f>
        <v>0</v>
      </c>
      <c r="AB275" s="26" t="str">
        <f t="shared" ref="AB275:AB338" si="34">CONCATENATE(R275,S275)</f>
        <v/>
      </c>
      <c r="AC275" s="26" t="str">
        <f>IF(MATCH(AB275,AB276:$AB$300,0),"0",1)</f>
        <v>0</v>
      </c>
    </row>
    <row r="276" spans="2:29" x14ac:dyDescent="0.35">
      <c r="B276" s="219"/>
      <c r="C276" s="216" t="s">
        <v>467</v>
      </c>
      <c r="D276" s="216"/>
      <c r="E276" s="220"/>
      <c r="F276" s="220"/>
      <c r="G276" s="220"/>
      <c r="H276" s="220" t="str">
        <f t="shared" si="28"/>
        <v/>
      </c>
      <c r="I276" s="460"/>
      <c r="J276" s="460"/>
      <c r="K276" s="460"/>
      <c r="L276" s="460"/>
      <c r="M276" s="460"/>
      <c r="N276" s="220"/>
      <c r="O276" s="220"/>
      <c r="P276" s="220"/>
      <c r="Q276" s="220"/>
      <c r="R276" s="221"/>
      <c r="S276" s="221"/>
      <c r="T276" s="316">
        <f t="shared" si="29"/>
        <v>0</v>
      </c>
      <c r="U276" s="217">
        <f t="shared" si="30"/>
        <v>0</v>
      </c>
      <c r="X276" s="26" t="str">
        <f t="shared" si="31"/>
        <v/>
      </c>
      <c r="Y276" s="21" t="str">
        <f>IF(MATCH(X276,X277:$X$300,0),"Si",1)</f>
        <v>Si</v>
      </c>
      <c r="Z276" s="26">
        <f t="shared" si="32"/>
        <v>0</v>
      </c>
      <c r="AA276" s="26">
        <f t="shared" si="33"/>
        <v>0</v>
      </c>
      <c r="AB276" s="26" t="str">
        <f t="shared" si="34"/>
        <v/>
      </c>
      <c r="AC276" s="26" t="str">
        <f>IF(MATCH(AB276,AB277:$AB$300,0),"0",1)</f>
        <v>0</v>
      </c>
    </row>
    <row r="277" spans="2:29" x14ac:dyDescent="0.35">
      <c r="B277" s="219"/>
      <c r="C277" s="216" t="s">
        <v>468</v>
      </c>
      <c r="D277" s="216"/>
      <c r="E277" s="220"/>
      <c r="F277" s="220"/>
      <c r="G277" s="220"/>
      <c r="H277" s="220" t="str">
        <f t="shared" si="28"/>
        <v/>
      </c>
      <c r="I277" s="460"/>
      <c r="J277" s="460"/>
      <c r="K277" s="460"/>
      <c r="L277" s="460"/>
      <c r="M277" s="460"/>
      <c r="N277" s="220"/>
      <c r="O277" s="220"/>
      <c r="P277" s="220"/>
      <c r="Q277" s="220"/>
      <c r="R277" s="221"/>
      <c r="S277" s="221"/>
      <c r="T277" s="316">
        <f t="shared" si="29"/>
        <v>0</v>
      </c>
      <c r="U277" s="217">
        <f t="shared" si="30"/>
        <v>0</v>
      </c>
      <c r="X277" s="26" t="str">
        <f t="shared" si="31"/>
        <v/>
      </c>
      <c r="Y277" s="21" t="str">
        <f>IF(MATCH(X277,X278:$X$300,0),"Si",1)</f>
        <v>Si</v>
      </c>
      <c r="Z277" s="26">
        <f t="shared" si="32"/>
        <v>0</v>
      </c>
      <c r="AA277" s="26">
        <f t="shared" si="33"/>
        <v>0</v>
      </c>
      <c r="AB277" s="26" t="str">
        <f t="shared" si="34"/>
        <v/>
      </c>
      <c r="AC277" s="26" t="str">
        <f>IF(MATCH(AB277,AB278:$AB$300,0),"0",1)</f>
        <v>0</v>
      </c>
    </row>
    <row r="278" spans="2:29" x14ac:dyDescent="0.35">
      <c r="B278" s="219"/>
      <c r="C278" s="216" t="s">
        <v>469</v>
      </c>
      <c r="D278" s="216"/>
      <c r="E278" s="220"/>
      <c r="F278" s="220"/>
      <c r="G278" s="220"/>
      <c r="H278" s="220" t="str">
        <f t="shared" si="28"/>
        <v/>
      </c>
      <c r="I278" s="460"/>
      <c r="J278" s="460"/>
      <c r="K278" s="460"/>
      <c r="L278" s="460"/>
      <c r="M278" s="460"/>
      <c r="N278" s="220"/>
      <c r="O278" s="220"/>
      <c r="P278" s="220"/>
      <c r="Q278" s="220"/>
      <c r="R278" s="221"/>
      <c r="S278" s="221"/>
      <c r="T278" s="316">
        <f t="shared" si="29"/>
        <v>0</v>
      </c>
      <c r="U278" s="217">
        <f t="shared" si="30"/>
        <v>0</v>
      </c>
      <c r="X278" s="26" t="str">
        <f t="shared" si="31"/>
        <v/>
      </c>
      <c r="Y278" s="21" t="str">
        <f>IF(MATCH(X278,X279:$X$300,0),"Si",1)</f>
        <v>Si</v>
      </c>
      <c r="Z278" s="26">
        <f t="shared" si="32"/>
        <v>0</v>
      </c>
      <c r="AA278" s="26">
        <f t="shared" si="33"/>
        <v>0</v>
      </c>
      <c r="AB278" s="26" t="str">
        <f t="shared" si="34"/>
        <v/>
      </c>
      <c r="AC278" s="26" t="str">
        <f>IF(MATCH(AB278,AB279:$AB$300,0),"0",1)</f>
        <v>0</v>
      </c>
    </row>
    <row r="279" spans="2:29" x14ac:dyDescent="0.35">
      <c r="B279" s="219"/>
      <c r="C279" s="216" t="s">
        <v>470</v>
      </c>
      <c r="D279" s="216"/>
      <c r="E279" s="220"/>
      <c r="F279" s="220"/>
      <c r="G279" s="220"/>
      <c r="H279" s="220" t="str">
        <f t="shared" si="28"/>
        <v/>
      </c>
      <c r="I279" s="460"/>
      <c r="J279" s="460"/>
      <c r="K279" s="460"/>
      <c r="L279" s="460"/>
      <c r="M279" s="460"/>
      <c r="N279" s="220"/>
      <c r="O279" s="220"/>
      <c r="P279" s="220"/>
      <c r="Q279" s="220"/>
      <c r="R279" s="221"/>
      <c r="S279" s="221"/>
      <c r="T279" s="316">
        <f t="shared" si="29"/>
        <v>0</v>
      </c>
      <c r="U279" s="217">
        <f t="shared" si="30"/>
        <v>0</v>
      </c>
      <c r="X279" s="26" t="str">
        <f t="shared" si="31"/>
        <v/>
      </c>
      <c r="Y279" s="21" t="str">
        <f>IF(MATCH(X279,X280:$X$300,0),"Si",1)</f>
        <v>Si</v>
      </c>
      <c r="Z279" s="26">
        <f t="shared" si="32"/>
        <v>0</v>
      </c>
      <c r="AA279" s="26">
        <f t="shared" si="33"/>
        <v>0</v>
      </c>
      <c r="AB279" s="26" t="str">
        <f t="shared" si="34"/>
        <v/>
      </c>
      <c r="AC279" s="26" t="str">
        <f>IF(MATCH(AB279,AB280:$AB$300,0),"0",1)</f>
        <v>0</v>
      </c>
    </row>
    <row r="280" spans="2:29" x14ac:dyDescent="0.35">
      <c r="B280" s="219"/>
      <c r="C280" s="216" t="s">
        <v>471</v>
      </c>
      <c r="D280" s="216"/>
      <c r="E280" s="220"/>
      <c r="F280" s="220"/>
      <c r="G280" s="220"/>
      <c r="H280" s="220" t="str">
        <f t="shared" si="28"/>
        <v/>
      </c>
      <c r="I280" s="460"/>
      <c r="J280" s="460"/>
      <c r="K280" s="460"/>
      <c r="L280" s="460"/>
      <c r="M280" s="460"/>
      <c r="N280" s="220"/>
      <c r="O280" s="220"/>
      <c r="P280" s="220"/>
      <c r="Q280" s="220"/>
      <c r="R280" s="221"/>
      <c r="S280" s="221"/>
      <c r="T280" s="316">
        <f t="shared" si="29"/>
        <v>0</v>
      </c>
      <c r="U280" s="217">
        <f t="shared" si="30"/>
        <v>0</v>
      </c>
      <c r="X280" s="26" t="str">
        <f t="shared" si="31"/>
        <v/>
      </c>
      <c r="Y280" s="21" t="str">
        <f>IF(MATCH(X280,X281:$X$300,0),"Si",1)</f>
        <v>Si</v>
      </c>
      <c r="Z280" s="26">
        <f t="shared" si="32"/>
        <v>0</v>
      </c>
      <c r="AA280" s="26">
        <f t="shared" si="33"/>
        <v>0</v>
      </c>
      <c r="AB280" s="26" t="str">
        <f t="shared" si="34"/>
        <v/>
      </c>
      <c r="AC280" s="26" t="str">
        <f>IF(MATCH(AB280,AB281:$AB$300,0),"0",1)</f>
        <v>0</v>
      </c>
    </row>
    <row r="281" spans="2:29" x14ac:dyDescent="0.35">
      <c r="B281" s="219"/>
      <c r="C281" s="216" t="s">
        <v>472</v>
      </c>
      <c r="D281" s="216"/>
      <c r="E281" s="220"/>
      <c r="F281" s="220"/>
      <c r="G281" s="220"/>
      <c r="H281" s="220" t="str">
        <f t="shared" si="28"/>
        <v/>
      </c>
      <c r="I281" s="460"/>
      <c r="J281" s="460"/>
      <c r="K281" s="460"/>
      <c r="L281" s="460"/>
      <c r="M281" s="460"/>
      <c r="N281" s="220"/>
      <c r="O281" s="220"/>
      <c r="P281" s="220"/>
      <c r="Q281" s="220"/>
      <c r="R281" s="221"/>
      <c r="S281" s="221"/>
      <c r="T281" s="316">
        <f t="shared" si="29"/>
        <v>0</v>
      </c>
      <c r="U281" s="217">
        <f t="shared" si="30"/>
        <v>0</v>
      </c>
      <c r="X281" s="26" t="str">
        <f t="shared" si="31"/>
        <v/>
      </c>
      <c r="Y281" s="21" t="str">
        <f>IF(MATCH(X281,X282:$X$300,0),"Si",1)</f>
        <v>Si</v>
      </c>
      <c r="Z281" s="26">
        <f t="shared" si="32"/>
        <v>0</v>
      </c>
      <c r="AA281" s="26">
        <f t="shared" si="33"/>
        <v>0</v>
      </c>
      <c r="AB281" s="26" t="str">
        <f t="shared" si="34"/>
        <v/>
      </c>
      <c r="AC281" s="26" t="str">
        <f>IF(MATCH(AB281,AB282:$AB$300,0),"0",1)</f>
        <v>0</v>
      </c>
    </row>
    <row r="282" spans="2:29" x14ac:dyDescent="0.35">
      <c r="B282" s="219"/>
      <c r="C282" s="216" t="s">
        <v>473</v>
      </c>
      <c r="D282" s="216"/>
      <c r="E282" s="220"/>
      <c r="F282" s="220"/>
      <c r="G282" s="220"/>
      <c r="H282" s="220" t="str">
        <f t="shared" si="28"/>
        <v/>
      </c>
      <c r="I282" s="460"/>
      <c r="J282" s="460"/>
      <c r="K282" s="460"/>
      <c r="L282" s="460"/>
      <c r="M282" s="460"/>
      <c r="N282" s="220"/>
      <c r="O282" s="220"/>
      <c r="P282" s="220"/>
      <c r="Q282" s="220"/>
      <c r="R282" s="221"/>
      <c r="S282" s="221"/>
      <c r="T282" s="316">
        <f t="shared" si="29"/>
        <v>0</v>
      </c>
      <c r="U282" s="217">
        <f t="shared" si="30"/>
        <v>0</v>
      </c>
      <c r="X282" s="26" t="str">
        <f t="shared" si="31"/>
        <v/>
      </c>
      <c r="Y282" s="21" t="str">
        <f>IF(MATCH(X282,X283:$X$300,0),"Si",1)</f>
        <v>Si</v>
      </c>
      <c r="Z282" s="26">
        <f t="shared" si="32"/>
        <v>0</v>
      </c>
      <c r="AA282" s="26">
        <f t="shared" si="33"/>
        <v>0</v>
      </c>
      <c r="AB282" s="26" t="str">
        <f t="shared" si="34"/>
        <v/>
      </c>
      <c r="AC282" s="26" t="str">
        <f>IF(MATCH(AB282,AB283:$AB$300,0),"0",1)</f>
        <v>0</v>
      </c>
    </row>
    <row r="283" spans="2:29" x14ac:dyDescent="0.35">
      <c r="B283" s="219"/>
      <c r="C283" s="216" t="s">
        <v>474</v>
      </c>
      <c r="D283" s="216"/>
      <c r="E283" s="220"/>
      <c r="F283" s="220"/>
      <c r="G283" s="220"/>
      <c r="H283" s="220" t="str">
        <f t="shared" si="28"/>
        <v/>
      </c>
      <c r="I283" s="460"/>
      <c r="J283" s="460"/>
      <c r="K283" s="460"/>
      <c r="L283" s="460"/>
      <c r="M283" s="460"/>
      <c r="N283" s="220"/>
      <c r="O283" s="220"/>
      <c r="P283" s="220"/>
      <c r="Q283" s="220"/>
      <c r="R283" s="221"/>
      <c r="S283" s="221"/>
      <c r="T283" s="316">
        <f t="shared" si="29"/>
        <v>0</v>
      </c>
      <c r="U283" s="217">
        <f t="shared" si="30"/>
        <v>0</v>
      </c>
      <c r="X283" s="26" t="str">
        <f t="shared" si="31"/>
        <v/>
      </c>
      <c r="Y283" s="21" t="str">
        <f>IF(MATCH(X283,X284:$X$300,0),"Si",1)</f>
        <v>Si</v>
      </c>
      <c r="Z283" s="26">
        <f t="shared" si="32"/>
        <v>0</v>
      </c>
      <c r="AA283" s="26">
        <f t="shared" si="33"/>
        <v>0</v>
      </c>
      <c r="AB283" s="26" t="str">
        <f t="shared" si="34"/>
        <v/>
      </c>
      <c r="AC283" s="26" t="str">
        <f>IF(MATCH(AB283,AB284:$AB$300,0),"0",1)</f>
        <v>0</v>
      </c>
    </row>
    <row r="284" spans="2:29" x14ac:dyDescent="0.35">
      <c r="B284" s="219"/>
      <c r="C284" s="216" t="s">
        <v>475</v>
      </c>
      <c r="D284" s="216"/>
      <c r="E284" s="220"/>
      <c r="F284" s="220"/>
      <c r="G284" s="220"/>
      <c r="H284" s="220" t="str">
        <f t="shared" si="28"/>
        <v/>
      </c>
      <c r="I284" s="460"/>
      <c r="J284" s="460"/>
      <c r="K284" s="460"/>
      <c r="L284" s="460"/>
      <c r="M284" s="460"/>
      <c r="N284" s="220"/>
      <c r="O284" s="220"/>
      <c r="P284" s="220"/>
      <c r="Q284" s="220"/>
      <c r="R284" s="221"/>
      <c r="S284" s="221"/>
      <c r="T284" s="316">
        <f t="shared" si="29"/>
        <v>0</v>
      </c>
      <c r="U284" s="217">
        <f t="shared" si="30"/>
        <v>0</v>
      </c>
      <c r="X284" s="26" t="str">
        <f t="shared" si="31"/>
        <v/>
      </c>
      <c r="Y284" s="21" t="str">
        <f>IF(MATCH(X284,X285:$X$300,0),"Si",1)</f>
        <v>Si</v>
      </c>
      <c r="Z284" s="26">
        <f t="shared" si="32"/>
        <v>0</v>
      </c>
      <c r="AA284" s="26">
        <f t="shared" si="33"/>
        <v>0</v>
      </c>
      <c r="AB284" s="26" t="str">
        <f t="shared" si="34"/>
        <v/>
      </c>
      <c r="AC284" s="26" t="str">
        <f>IF(MATCH(AB284,AB285:$AB$300,0),"0",1)</f>
        <v>0</v>
      </c>
    </row>
    <row r="285" spans="2:29" x14ac:dyDescent="0.35">
      <c r="B285" s="219"/>
      <c r="C285" s="216" t="s">
        <v>476</v>
      </c>
      <c r="D285" s="216"/>
      <c r="E285" s="220"/>
      <c r="F285" s="220"/>
      <c r="G285" s="220"/>
      <c r="H285" s="220" t="str">
        <f t="shared" si="28"/>
        <v/>
      </c>
      <c r="I285" s="460"/>
      <c r="J285" s="460"/>
      <c r="K285" s="460"/>
      <c r="L285" s="460"/>
      <c r="M285" s="460"/>
      <c r="N285" s="220"/>
      <c r="O285" s="220"/>
      <c r="P285" s="220"/>
      <c r="Q285" s="220"/>
      <c r="R285" s="221"/>
      <c r="S285" s="221"/>
      <c r="T285" s="316">
        <f t="shared" si="29"/>
        <v>0</v>
      </c>
      <c r="U285" s="217">
        <f t="shared" si="30"/>
        <v>0</v>
      </c>
      <c r="X285" s="26" t="str">
        <f t="shared" si="31"/>
        <v/>
      </c>
      <c r="Y285" s="21" t="str">
        <f>IF(MATCH(X285,X286:$X$300,0),"Si",1)</f>
        <v>Si</v>
      </c>
      <c r="Z285" s="26">
        <f t="shared" si="32"/>
        <v>0</v>
      </c>
      <c r="AA285" s="26">
        <f t="shared" si="33"/>
        <v>0</v>
      </c>
      <c r="AB285" s="26" t="str">
        <f t="shared" si="34"/>
        <v/>
      </c>
      <c r="AC285" s="26" t="str">
        <f>IF(MATCH(AB285,AB286:$AB$300,0),"0",1)</f>
        <v>0</v>
      </c>
    </row>
    <row r="286" spans="2:29" x14ac:dyDescent="0.35">
      <c r="B286" s="219"/>
      <c r="C286" s="216" t="s">
        <v>477</v>
      </c>
      <c r="D286" s="216"/>
      <c r="E286" s="220"/>
      <c r="F286" s="220"/>
      <c r="G286" s="220"/>
      <c r="H286" s="220" t="str">
        <f t="shared" si="28"/>
        <v/>
      </c>
      <c r="I286" s="460"/>
      <c r="J286" s="460"/>
      <c r="K286" s="460"/>
      <c r="L286" s="460"/>
      <c r="M286" s="460"/>
      <c r="N286" s="220"/>
      <c r="O286" s="220"/>
      <c r="P286" s="220"/>
      <c r="Q286" s="220"/>
      <c r="R286" s="221"/>
      <c r="S286" s="221"/>
      <c r="T286" s="316">
        <f t="shared" si="29"/>
        <v>0</v>
      </c>
      <c r="U286" s="217">
        <f t="shared" si="30"/>
        <v>0</v>
      </c>
      <c r="X286" s="26" t="str">
        <f t="shared" si="31"/>
        <v/>
      </c>
      <c r="Y286" s="21" t="str">
        <f>IF(MATCH(X286,X287:$X$300,0),"Si",1)</f>
        <v>Si</v>
      </c>
      <c r="Z286" s="26">
        <f t="shared" si="32"/>
        <v>0</v>
      </c>
      <c r="AA286" s="26">
        <f t="shared" si="33"/>
        <v>0</v>
      </c>
      <c r="AB286" s="26" t="str">
        <f t="shared" si="34"/>
        <v/>
      </c>
      <c r="AC286" s="26" t="str">
        <f>IF(MATCH(AB286,AB287:$AB$300,0),"0",1)</f>
        <v>0</v>
      </c>
    </row>
    <row r="287" spans="2:29" x14ac:dyDescent="0.35">
      <c r="B287" s="219"/>
      <c r="C287" s="216" t="s">
        <v>478</v>
      </c>
      <c r="D287" s="216"/>
      <c r="E287" s="220"/>
      <c r="F287" s="220"/>
      <c r="G287" s="220"/>
      <c r="H287" s="220" t="str">
        <f t="shared" si="28"/>
        <v/>
      </c>
      <c r="I287" s="460"/>
      <c r="J287" s="460"/>
      <c r="K287" s="460"/>
      <c r="L287" s="460"/>
      <c r="M287" s="460"/>
      <c r="N287" s="220"/>
      <c r="O287" s="220"/>
      <c r="P287" s="220"/>
      <c r="Q287" s="220"/>
      <c r="R287" s="221"/>
      <c r="S287" s="221"/>
      <c r="T287" s="316">
        <f t="shared" si="29"/>
        <v>0</v>
      </c>
      <c r="U287" s="217">
        <f t="shared" si="30"/>
        <v>0</v>
      </c>
      <c r="X287" s="26" t="str">
        <f t="shared" si="31"/>
        <v/>
      </c>
      <c r="Y287" s="21" t="str">
        <f>IF(MATCH(X287,X288:$X$300,0),"Si",1)</f>
        <v>Si</v>
      </c>
      <c r="Z287" s="26">
        <f t="shared" si="32"/>
        <v>0</v>
      </c>
      <c r="AA287" s="26">
        <f t="shared" si="33"/>
        <v>0</v>
      </c>
      <c r="AB287" s="26" t="str">
        <f t="shared" si="34"/>
        <v/>
      </c>
      <c r="AC287" s="26" t="str">
        <f>IF(MATCH(AB287,AB288:$AB$300,0),"0",1)</f>
        <v>0</v>
      </c>
    </row>
    <row r="288" spans="2:29" x14ac:dyDescent="0.35">
      <c r="B288" s="219"/>
      <c r="C288" s="216" t="s">
        <v>479</v>
      </c>
      <c r="D288" s="216"/>
      <c r="E288" s="220"/>
      <c r="F288" s="220"/>
      <c r="G288" s="220"/>
      <c r="H288" s="220" t="str">
        <f t="shared" si="28"/>
        <v/>
      </c>
      <c r="I288" s="460"/>
      <c r="J288" s="460"/>
      <c r="K288" s="460"/>
      <c r="L288" s="460"/>
      <c r="M288" s="460"/>
      <c r="N288" s="220"/>
      <c r="O288" s="220"/>
      <c r="P288" s="220"/>
      <c r="Q288" s="220"/>
      <c r="R288" s="221"/>
      <c r="S288" s="221"/>
      <c r="T288" s="316">
        <f t="shared" si="29"/>
        <v>0</v>
      </c>
      <c r="U288" s="217">
        <f t="shared" si="30"/>
        <v>0</v>
      </c>
      <c r="X288" s="26" t="str">
        <f t="shared" si="31"/>
        <v/>
      </c>
      <c r="Y288" s="21" t="str">
        <f>IF(MATCH(X288,X289:$X$300,0),"Si",1)</f>
        <v>Si</v>
      </c>
      <c r="Z288" s="26">
        <f t="shared" si="32"/>
        <v>0</v>
      </c>
      <c r="AA288" s="26">
        <f t="shared" si="33"/>
        <v>0</v>
      </c>
      <c r="AB288" s="26" t="str">
        <f t="shared" si="34"/>
        <v/>
      </c>
      <c r="AC288" s="26" t="str">
        <f>IF(MATCH(AB288,AB289:$AB$300,0),"0",1)</f>
        <v>0</v>
      </c>
    </row>
    <row r="289" spans="2:29" x14ac:dyDescent="0.35">
      <c r="B289" s="219"/>
      <c r="C289" s="216" t="s">
        <v>480</v>
      </c>
      <c r="D289" s="216"/>
      <c r="E289" s="220"/>
      <c r="F289" s="220"/>
      <c r="G289" s="220"/>
      <c r="H289" s="220" t="str">
        <f t="shared" si="28"/>
        <v/>
      </c>
      <c r="I289" s="460"/>
      <c r="J289" s="460"/>
      <c r="K289" s="460"/>
      <c r="L289" s="460"/>
      <c r="M289" s="460"/>
      <c r="N289" s="220"/>
      <c r="O289" s="220"/>
      <c r="P289" s="220"/>
      <c r="Q289" s="220"/>
      <c r="R289" s="221"/>
      <c r="S289" s="221"/>
      <c r="T289" s="316">
        <f t="shared" si="29"/>
        <v>0</v>
      </c>
      <c r="U289" s="217">
        <f t="shared" si="30"/>
        <v>0</v>
      </c>
      <c r="X289" s="26" t="str">
        <f t="shared" si="31"/>
        <v/>
      </c>
      <c r="Y289" s="21" t="str">
        <f>IF(MATCH(X289,X290:$X$300,0),"Si",1)</f>
        <v>Si</v>
      </c>
      <c r="Z289" s="26">
        <f t="shared" si="32"/>
        <v>0</v>
      </c>
      <c r="AA289" s="26">
        <f t="shared" si="33"/>
        <v>0</v>
      </c>
      <c r="AB289" s="26" t="str">
        <f t="shared" si="34"/>
        <v/>
      </c>
      <c r="AC289" s="26" t="str">
        <f>IF(MATCH(AB289,AB290:$AB$300,0),"0",1)</f>
        <v>0</v>
      </c>
    </row>
    <row r="290" spans="2:29" x14ac:dyDescent="0.35">
      <c r="B290" s="219"/>
      <c r="C290" s="216" t="s">
        <v>481</v>
      </c>
      <c r="D290" s="216"/>
      <c r="E290" s="220"/>
      <c r="F290" s="220"/>
      <c r="G290" s="220"/>
      <c r="H290" s="220" t="str">
        <f t="shared" si="28"/>
        <v/>
      </c>
      <c r="I290" s="460"/>
      <c r="J290" s="460"/>
      <c r="K290" s="460"/>
      <c r="L290" s="460"/>
      <c r="M290" s="460"/>
      <c r="N290" s="220"/>
      <c r="O290" s="220"/>
      <c r="P290" s="220"/>
      <c r="Q290" s="220"/>
      <c r="R290" s="221"/>
      <c r="S290" s="221"/>
      <c r="T290" s="316">
        <f t="shared" si="29"/>
        <v>0</v>
      </c>
      <c r="U290" s="217">
        <f t="shared" si="30"/>
        <v>0</v>
      </c>
      <c r="X290" s="26" t="str">
        <f t="shared" si="31"/>
        <v/>
      </c>
      <c r="Y290" s="21" t="str">
        <f>IF(MATCH(X290,X291:$X$300,0),"Si",1)</f>
        <v>Si</v>
      </c>
      <c r="Z290" s="26">
        <f t="shared" si="32"/>
        <v>0</v>
      </c>
      <c r="AA290" s="26">
        <f t="shared" si="33"/>
        <v>0</v>
      </c>
      <c r="AB290" s="26" t="str">
        <f t="shared" si="34"/>
        <v/>
      </c>
      <c r="AC290" s="26" t="str">
        <f>IF(MATCH(AB290,AB291:$AB$300,0),"0",1)</f>
        <v>0</v>
      </c>
    </row>
    <row r="291" spans="2:29" x14ac:dyDescent="0.35">
      <c r="B291" s="219"/>
      <c r="C291" s="216" t="s">
        <v>482</v>
      </c>
      <c r="D291" s="216"/>
      <c r="E291" s="220"/>
      <c r="F291" s="220"/>
      <c r="G291" s="220"/>
      <c r="H291" s="220" t="str">
        <f t="shared" si="28"/>
        <v/>
      </c>
      <c r="I291" s="460"/>
      <c r="J291" s="460"/>
      <c r="K291" s="460"/>
      <c r="L291" s="460"/>
      <c r="M291" s="460"/>
      <c r="N291" s="220"/>
      <c r="O291" s="220"/>
      <c r="P291" s="220"/>
      <c r="Q291" s="220"/>
      <c r="R291" s="221"/>
      <c r="S291" s="221"/>
      <c r="T291" s="316">
        <f t="shared" si="29"/>
        <v>0</v>
      </c>
      <c r="U291" s="217">
        <f t="shared" si="30"/>
        <v>0</v>
      </c>
      <c r="X291" s="26" t="str">
        <f t="shared" si="31"/>
        <v/>
      </c>
      <c r="Y291" s="21" t="str">
        <f>IF(MATCH(X291,X292:$X$300,0),"Si",1)</f>
        <v>Si</v>
      </c>
      <c r="Z291" s="26">
        <f t="shared" si="32"/>
        <v>0</v>
      </c>
      <c r="AA291" s="26">
        <f t="shared" si="33"/>
        <v>0</v>
      </c>
      <c r="AB291" s="26" t="str">
        <f t="shared" si="34"/>
        <v/>
      </c>
      <c r="AC291" s="26" t="str">
        <f>IF(MATCH(AB291,AB292:$AB$300,0),"0",1)</f>
        <v>0</v>
      </c>
    </row>
    <row r="292" spans="2:29" x14ac:dyDescent="0.35">
      <c r="B292" s="219"/>
      <c r="C292" s="216" t="s">
        <v>483</v>
      </c>
      <c r="D292" s="216"/>
      <c r="E292" s="220"/>
      <c r="F292" s="220"/>
      <c r="G292" s="220"/>
      <c r="H292" s="220" t="str">
        <f t="shared" si="28"/>
        <v/>
      </c>
      <c r="I292" s="460"/>
      <c r="J292" s="460"/>
      <c r="K292" s="460"/>
      <c r="L292" s="460"/>
      <c r="M292" s="460"/>
      <c r="N292" s="220"/>
      <c r="O292" s="220"/>
      <c r="P292" s="220"/>
      <c r="Q292" s="220"/>
      <c r="R292" s="221"/>
      <c r="S292" s="221"/>
      <c r="T292" s="316">
        <f t="shared" si="29"/>
        <v>0</v>
      </c>
      <c r="U292" s="217">
        <f t="shared" si="30"/>
        <v>0</v>
      </c>
      <c r="X292" s="26" t="str">
        <f t="shared" si="31"/>
        <v/>
      </c>
      <c r="Y292" s="21" t="str">
        <f>IF(MATCH(X292,X293:$X$300,0),"Si",1)</f>
        <v>Si</v>
      </c>
      <c r="Z292" s="26">
        <f t="shared" si="32"/>
        <v>0</v>
      </c>
      <c r="AA292" s="26">
        <f t="shared" si="33"/>
        <v>0</v>
      </c>
      <c r="AB292" s="26" t="str">
        <f t="shared" si="34"/>
        <v/>
      </c>
      <c r="AC292" s="26" t="str">
        <f>IF(MATCH(AB292,AB293:$AB$300,0),"0",1)</f>
        <v>0</v>
      </c>
    </row>
    <row r="293" spans="2:29" x14ac:dyDescent="0.35">
      <c r="B293" s="219"/>
      <c r="C293" s="216" t="s">
        <v>484</v>
      </c>
      <c r="D293" s="216"/>
      <c r="E293" s="220"/>
      <c r="F293" s="220"/>
      <c r="G293" s="220"/>
      <c r="H293" s="220" t="str">
        <f t="shared" si="28"/>
        <v/>
      </c>
      <c r="I293" s="460"/>
      <c r="J293" s="460"/>
      <c r="K293" s="460"/>
      <c r="L293" s="460"/>
      <c r="M293" s="460"/>
      <c r="N293" s="220"/>
      <c r="O293" s="220"/>
      <c r="P293" s="220"/>
      <c r="Q293" s="220"/>
      <c r="R293" s="221"/>
      <c r="S293" s="221"/>
      <c r="T293" s="316">
        <f t="shared" si="29"/>
        <v>0</v>
      </c>
      <c r="U293" s="217">
        <f t="shared" si="30"/>
        <v>0</v>
      </c>
      <c r="X293" s="26" t="str">
        <f t="shared" si="31"/>
        <v/>
      </c>
      <c r="Y293" s="21" t="str">
        <f>IF(MATCH(X293,X294:$X$300,0),"Si",1)</f>
        <v>Si</v>
      </c>
      <c r="Z293" s="26">
        <f t="shared" si="32"/>
        <v>0</v>
      </c>
      <c r="AA293" s="26">
        <f t="shared" si="33"/>
        <v>0</v>
      </c>
      <c r="AB293" s="26" t="str">
        <f t="shared" si="34"/>
        <v/>
      </c>
      <c r="AC293" s="26" t="str">
        <f>IF(MATCH(AB293,AB294:$AB$300,0),"0",1)</f>
        <v>0</v>
      </c>
    </row>
    <row r="294" spans="2:29" x14ac:dyDescent="0.35">
      <c r="B294" s="219"/>
      <c r="C294" s="216" t="s">
        <v>485</v>
      </c>
      <c r="D294" s="216"/>
      <c r="E294" s="220"/>
      <c r="F294" s="220"/>
      <c r="G294" s="220"/>
      <c r="H294" s="220" t="str">
        <f t="shared" si="28"/>
        <v/>
      </c>
      <c r="I294" s="460"/>
      <c r="J294" s="460"/>
      <c r="K294" s="460"/>
      <c r="L294" s="460"/>
      <c r="M294" s="460"/>
      <c r="N294" s="220"/>
      <c r="O294" s="220"/>
      <c r="P294" s="220"/>
      <c r="Q294" s="220"/>
      <c r="R294" s="221"/>
      <c r="S294" s="221"/>
      <c r="T294" s="316">
        <f t="shared" si="29"/>
        <v>0</v>
      </c>
      <c r="U294" s="217">
        <f t="shared" si="30"/>
        <v>0</v>
      </c>
      <c r="X294" s="26" t="str">
        <f t="shared" si="31"/>
        <v/>
      </c>
      <c r="Y294" s="21" t="str">
        <f>IF(MATCH(X294,X295:$X$300,0),"Si",1)</f>
        <v>Si</v>
      </c>
      <c r="Z294" s="26">
        <f t="shared" si="32"/>
        <v>0</v>
      </c>
      <c r="AA294" s="26">
        <f t="shared" si="33"/>
        <v>0</v>
      </c>
      <c r="AB294" s="26" t="str">
        <f t="shared" si="34"/>
        <v/>
      </c>
      <c r="AC294" s="26" t="str">
        <f>IF(MATCH(AB294,AB295:$AB$300,0),"0",1)</f>
        <v>0</v>
      </c>
    </row>
    <row r="295" spans="2:29" x14ac:dyDescent="0.35">
      <c r="B295" s="219"/>
      <c r="C295" s="216" t="s">
        <v>486</v>
      </c>
      <c r="D295" s="216"/>
      <c r="E295" s="220"/>
      <c r="F295" s="220"/>
      <c r="G295" s="220"/>
      <c r="H295" s="220" t="str">
        <f t="shared" si="28"/>
        <v/>
      </c>
      <c r="I295" s="460"/>
      <c r="J295" s="460"/>
      <c r="K295" s="460"/>
      <c r="L295" s="460"/>
      <c r="M295" s="460"/>
      <c r="N295" s="220"/>
      <c r="O295" s="220"/>
      <c r="P295" s="220"/>
      <c r="Q295" s="220"/>
      <c r="R295" s="221"/>
      <c r="S295" s="221"/>
      <c r="T295" s="316">
        <f t="shared" si="29"/>
        <v>0</v>
      </c>
      <c r="U295" s="217">
        <f t="shared" si="30"/>
        <v>0</v>
      </c>
      <c r="X295" s="26" t="str">
        <f t="shared" si="31"/>
        <v/>
      </c>
      <c r="Y295" s="21" t="str">
        <f>IF(MATCH(X295,X296:$X$300,0),"Si",1)</f>
        <v>Si</v>
      </c>
      <c r="Z295" s="26">
        <f t="shared" si="32"/>
        <v>0</v>
      </c>
      <c r="AA295" s="26">
        <f t="shared" si="33"/>
        <v>0</v>
      </c>
      <c r="AB295" s="26" t="str">
        <f t="shared" si="34"/>
        <v/>
      </c>
      <c r="AC295" s="26" t="str">
        <f>IF(MATCH(AB295,AB296:$AB$300,0),"0",1)</f>
        <v>0</v>
      </c>
    </row>
    <row r="296" spans="2:29" x14ac:dyDescent="0.35">
      <c r="B296" s="219"/>
      <c r="C296" s="216" t="s">
        <v>487</v>
      </c>
      <c r="D296" s="216"/>
      <c r="E296" s="220"/>
      <c r="F296" s="220"/>
      <c r="G296" s="220"/>
      <c r="H296" s="220" t="str">
        <f t="shared" si="28"/>
        <v/>
      </c>
      <c r="I296" s="460"/>
      <c r="J296" s="460"/>
      <c r="K296" s="460"/>
      <c r="L296" s="460"/>
      <c r="M296" s="460"/>
      <c r="N296" s="220"/>
      <c r="O296" s="220"/>
      <c r="P296" s="220"/>
      <c r="Q296" s="220"/>
      <c r="R296" s="221"/>
      <c r="S296" s="221"/>
      <c r="T296" s="316">
        <f t="shared" si="29"/>
        <v>0</v>
      </c>
      <c r="U296" s="217">
        <f t="shared" si="30"/>
        <v>0</v>
      </c>
      <c r="X296" s="26" t="str">
        <f t="shared" si="31"/>
        <v/>
      </c>
      <c r="Y296" s="21" t="str">
        <f>IF(MATCH(X296,X297:$X$300,0),"Si",1)</f>
        <v>Si</v>
      </c>
      <c r="Z296" s="26">
        <f t="shared" si="32"/>
        <v>0</v>
      </c>
      <c r="AA296" s="26">
        <f t="shared" si="33"/>
        <v>0</v>
      </c>
      <c r="AB296" s="26" t="str">
        <f t="shared" si="34"/>
        <v/>
      </c>
      <c r="AC296" s="26" t="str">
        <f>IF(MATCH(AB296,AB297:$AB$300,0),"0",1)</f>
        <v>0</v>
      </c>
    </row>
    <row r="297" spans="2:29" x14ac:dyDescent="0.35">
      <c r="B297" s="219"/>
      <c r="C297" s="216" t="s">
        <v>488</v>
      </c>
      <c r="D297" s="216"/>
      <c r="E297" s="220"/>
      <c r="F297" s="220"/>
      <c r="G297" s="220"/>
      <c r="H297" s="220" t="str">
        <f t="shared" si="28"/>
        <v/>
      </c>
      <c r="I297" s="460"/>
      <c r="J297" s="460"/>
      <c r="K297" s="460"/>
      <c r="L297" s="460"/>
      <c r="M297" s="460"/>
      <c r="N297" s="220"/>
      <c r="O297" s="220"/>
      <c r="P297" s="220"/>
      <c r="Q297" s="220"/>
      <c r="R297" s="221"/>
      <c r="S297" s="221"/>
      <c r="T297" s="316">
        <f t="shared" si="29"/>
        <v>0</v>
      </c>
      <c r="U297" s="217">
        <f t="shared" si="30"/>
        <v>0</v>
      </c>
      <c r="X297" s="26" t="str">
        <f t="shared" si="31"/>
        <v/>
      </c>
      <c r="Y297" s="21" t="str">
        <f>IF(MATCH(X297,X298:$X$300,0),"Si",1)</f>
        <v>Si</v>
      </c>
      <c r="Z297" s="26">
        <f t="shared" si="32"/>
        <v>0</v>
      </c>
      <c r="AA297" s="26">
        <f t="shared" si="33"/>
        <v>0</v>
      </c>
      <c r="AB297" s="26" t="str">
        <f t="shared" si="34"/>
        <v/>
      </c>
      <c r="AC297" s="26" t="str">
        <f>IF(MATCH(AB297,AB298:$AB$300,0),"0",1)</f>
        <v>0</v>
      </c>
    </row>
    <row r="298" spans="2:29" x14ac:dyDescent="0.35">
      <c r="B298" s="219"/>
      <c r="C298" s="216" t="s">
        <v>489</v>
      </c>
      <c r="D298" s="216"/>
      <c r="E298" s="220"/>
      <c r="F298" s="220"/>
      <c r="G298" s="220"/>
      <c r="H298" s="220" t="str">
        <f t="shared" si="28"/>
        <v/>
      </c>
      <c r="I298" s="460"/>
      <c r="J298" s="460"/>
      <c r="K298" s="460"/>
      <c r="L298" s="460"/>
      <c r="M298" s="460"/>
      <c r="N298" s="220"/>
      <c r="O298" s="220"/>
      <c r="P298" s="220"/>
      <c r="Q298" s="220"/>
      <c r="R298" s="221"/>
      <c r="S298" s="221"/>
      <c r="T298" s="316">
        <f t="shared" si="29"/>
        <v>0</v>
      </c>
      <c r="U298" s="217">
        <f t="shared" si="30"/>
        <v>0</v>
      </c>
      <c r="X298" s="26" t="str">
        <f t="shared" si="31"/>
        <v/>
      </c>
      <c r="Y298" s="21" t="str">
        <f>IF(MATCH(X298,X299:$X$300,0),"Si",1)</f>
        <v>Si</v>
      </c>
      <c r="Z298" s="26">
        <f t="shared" si="32"/>
        <v>0</v>
      </c>
      <c r="AA298" s="26">
        <f t="shared" si="33"/>
        <v>0</v>
      </c>
      <c r="AB298" s="26" t="str">
        <f t="shared" si="34"/>
        <v/>
      </c>
      <c r="AC298" s="26" t="str">
        <f>IF(MATCH(AB298,AB299:$AB$300,0),"0",1)</f>
        <v>0</v>
      </c>
    </row>
    <row r="299" spans="2:29" x14ac:dyDescent="0.35">
      <c r="B299" s="219"/>
      <c r="C299" s="216" t="s">
        <v>490</v>
      </c>
      <c r="D299" s="216"/>
      <c r="E299" s="220"/>
      <c r="F299" s="220"/>
      <c r="G299" s="220"/>
      <c r="H299" s="220" t="str">
        <f t="shared" si="28"/>
        <v/>
      </c>
      <c r="I299" s="460"/>
      <c r="J299" s="460"/>
      <c r="K299" s="460"/>
      <c r="L299" s="460"/>
      <c r="M299" s="460"/>
      <c r="N299" s="220"/>
      <c r="O299" s="220"/>
      <c r="P299" s="220"/>
      <c r="Q299" s="220"/>
      <c r="R299" s="221"/>
      <c r="S299" s="221"/>
      <c r="T299" s="316">
        <f t="shared" si="29"/>
        <v>0</v>
      </c>
      <c r="U299" s="217">
        <f t="shared" si="30"/>
        <v>0</v>
      </c>
      <c r="X299" s="26" t="str">
        <f t="shared" si="31"/>
        <v/>
      </c>
      <c r="Y299" s="21" t="str">
        <f>IF(MATCH(X299,X300:$X$300,0),"Si",1)</f>
        <v>Si</v>
      </c>
      <c r="Z299" s="26">
        <f t="shared" si="32"/>
        <v>0</v>
      </c>
      <c r="AA299" s="26">
        <f t="shared" si="33"/>
        <v>0</v>
      </c>
      <c r="AB299" s="26" t="str">
        <f t="shared" si="34"/>
        <v/>
      </c>
      <c r="AC299" s="26" t="str">
        <f>IF(MATCH(AB299,AB300:$AB$300,0),"0",1)</f>
        <v>0</v>
      </c>
    </row>
    <row r="300" spans="2:29" x14ac:dyDescent="0.35">
      <c r="B300" s="219"/>
      <c r="C300" s="216" t="s">
        <v>491</v>
      </c>
      <c r="D300" s="216"/>
      <c r="E300" s="220"/>
      <c r="F300" s="220"/>
      <c r="G300" s="220"/>
      <c r="H300" s="220" t="str">
        <f t="shared" si="28"/>
        <v/>
      </c>
      <c r="I300" s="460"/>
      <c r="J300" s="460"/>
      <c r="K300" s="460"/>
      <c r="L300" s="460"/>
      <c r="M300" s="460"/>
      <c r="N300" s="220"/>
      <c r="O300" s="220"/>
      <c r="P300" s="220"/>
      <c r="Q300" s="220"/>
      <c r="R300" s="221"/>
      <c r="S300" s="221"/>
      <c r="T300" s="316">
        <f t="shared" si="29"/>
        <v>0</v>
      </c>
      <c r="U300" s="217">
        <f t="shared" si="30"/>
        <v>0</v>
      </c>
      <c r="X300" s="26" t="str">
        <f t="shared" si="31"/>
        <v/>
      </c>
      <c r="Y300" s="21" t="str">
        <f>IF(MATCH(X300,X$300:$X301,0),"Si",1)</f>
        <v>Si</v>
      </c>
      <c r="Z300" s="26">
        <f t="shared" si="32"/>
        <v>0</v>
      </c>
      <c r="AA300" s="26">
        <f t="shared" si="33"/>
        <v>0</v>
      </c>
      <c r="AB300" s="26" t="str">
        <f t="shared" si="34"/>
        <v/>
      </c>
      <c r="AC300" s="26" t="str">
        <f>IF(MATCH(AB300,AB$300:$AB301,0),"0",1)</f>
        <v>0</v>
      </c>
    </row>
    <row r="301" spans="2:29" x14ac:dyDescent="0.35">
      <c r="B301" s="219"/>
      <c r="C301" s="216" t="s">
        <v>492</v>
      </c>
      <c r="D301" s="216"/>
      <c r="E301" s="220"/>
      <c r="F301" s="220"/>
      <c r="G301" s="220"/>
      <c r="H301" s="220" t="str">
        <f t="shared" si="28"/>
        <v/>
      </c>
      <c r="I301" s="460"/>
      <c r="J301" s="460"/>
      <c r="K301" s="460"/>
      <c r="L301" s="460"/>
      <c r="M301" s="460"/>
      <c r="N301" s="220"/>
      <c r="O301" s="220"/>
      <c r="P301" s="220"/>
      <c r="Q301" s="220"/>
      <c r="R301" s="221"/>
      <c r="S301" s="221"/>
      <c r="T301" s="316">
        <f t="shared" si="29"/>
        <v>0</v>
      </c>
      <c r="U301" s="217">
        <f t="shared" si="30"/>
        <v>0</v>
      </c>
      <c r="X301" s="26" t="str">
        <f t="shared" si="31"/>
        <v/>
      </c>
      <c r="Y301" s="21" t="str">
        <f>IF(MATCH(X301,X$300:$X302,0),"Si",1)</f>
        <v>Si</v>
      </c>
      <c r="Z301" s="26">
        <f t="shared" si="32"/>
        <v>0</v>
      </c>
      <c r="AA301" s="26">
        <f t="shared" si="33"/>
        <v>0</v>
      </c>
      <c r="AB301" s="26" t="str">
        <f t="shared" si="34"/>
        <v/>
      </c>
      <c r="AC301" s="26" t="str">
        <f>IF(MATCH(AB301,AB$300:$AB302,0),"0",1)</f>
        <v>0</v>
      </c>
    </row>
    <row r="302" spans="2:29" x14ac:dyDescent="0.35">
      <c r="B302" s="219"/>
      <c r="C302" s="216" t="s">
        <v>493</v>
      </c>
      <c r="D302" s="216"/>
      <c r="E302" s="220"/>
      <c r="F302" s="220"/>
      <c r="G302" s="220"/>
      <c r="H302" s="220" t="str">
        <f t="shared" si="28"/>
        <v/>
      </c>
      <c r="I302" s="460"/>
      <c r="J302" s="460"/>
      <c r="K302" s="460"/>
      <c r="L302" s="460"/>
      <c r="M302" s="460"/>
      <c r="N302" s="220"/>
      <c r="O302" s="220"/>
      <c r="P302" s="220"/>
      <c r="Q302" s="220"/>
      <c r="R302" s="221"/>
      <c r="S302" s="221"/>
      <c r="T302" s="316">
        <f t="shared" si="29"/>
        <v>0</v>
      </c>
      <c r="U302" s="217">
        <f t="shared" si="30"/>
        <v>0</v>
      </c>
      <c r="X302" s="26" t="str">
        <f t="shared" si="31"/>
        <v/>
      </c>
      <c r="Y302" s="21" t="str">
        <f>IF(MATCH(X302,X$300:$X303,0),"Si",1)</f>
        <v>Si</v>
      </c>
      <c r="Z302" s="26">
        <f t="shared" si="32"/>
        <v>0</v>
      </c>
      <c r="AA302" s="26">
        <f t="shared" si="33"/>
        <v>0</v>
      </c>
      <c r="AB302" s="26" t="str">
        <f t="shared" si="34"/>
        <v/>
      </c>
      <c r="AC302" s="26" t="str">
        <f>IF(MATCH(AB302,AB$300:$AB303,0),"0",1)</f>
        <v>0</v>
      </c>
    </row>
    <row r="303" spans="2:29" x14ac:dyDescent="0.35">
      <c r="B303" s="219"/>
      <c r="C303" s="216" t="s">
        <v>494</v>
      </c>
      <c r="D303" s="216"/>
      <c r="E303" s="220"/>
      <c r="F303" s="220"/>
      <c r="G303" s="220"/>
      <c r="H303" s="220" t="str">
        <f t="shared" si="28"/>
        <v/>
      </c>
      <c r="I303" s="460"/>
      <c r="J303" s="460"/>
      <c r="K303" s="460"/>
      <c r="L303" s="460"/>
      <c r="M303" s="460"/>
      <c r="N303" s="220"/>
      <c r="O303" s="220"/>
      <c r="P303" s="220"/>
      <c r="Q303" s="220"/>
      <c r="R303" s="221"/>
      <c r="S303" s="221"/>
      <c r="T303" s="316">
        <f t="shared" si="29"/>
        <v>0</v>
      </c>
      <c r="U303" s="217">
        <f t="shared" si="30"/>
        <v>0</v>
      </c>
      <c r="X303" s="26" t="str">
        <f t="shared" si="31"/>
        <v/>
      </c>
      <c r="Y303" s="21" t="str">
        <f>IF(MATCH(X303,X$300:$X304,0),"Si",1)</f>
        <v>Si</v>
      </c>
      <c r="Z303" s="26">
        <f t="shared" si="32"/>
        <v>0</v>
      </c>
      <c r="AA303" s="26">
        <f t="shared" si="33"/>
        <v>0</v>
      </c>
      <c r="AB303" s="26" t="str">
        <f t="shared" si="34"/>
        <v/>
      </c>
      <c r="AC303" s="26" t="str">
        <f>IF(MATCH(AB303,AB$300:$AB304,0),"0",1)</f>
        <v>0</v>
      </c>
    </row>
    <row r="304" spans="2:29" x14ac:dyDescent="0.35">
      <c r="B304" s="219"/>
      <c r="C304" s="216" t="s">
        <v>495</v>
      </c>
      <c r="D304" s="216"/>
      <c r="E304" s="220"/>
      <c r="F304" s="220"/>
      <c r="G304" s="220"/>
      <c r="H304" s="220" t="str">
        <f t="shared" si="28"/>
        <v/>
      </c>
      <c r="I304" s="460"/>
      <c r="J304" s="460"/>
      <c r="K304" s="460"/>
      <c r="L304" s="460"/>
      <c r="M304" s="460"/>
      <c r="N304" s="220"/>
      <c r="O304" s="220"/>
      <c r="P304" s="220"/>
      <c r="Q304" s="220"/>
      <c r="R304" s="221"/>
      <c r="S304" s="221"/>
      <c r="T304" s="316">
        <f t="shared" si="29"/>
        <v>0</v>
      </c>
      <c r="U304" s="217">
        <f t="shared" si="30"/>
        <v>0</v>
      </c>
      <c r="X304" s="26" t="str">
        <f t="shared" si="31"/>
        <v/>
      </c>
      <c r="Y304" s="21" t="str">
        <f>IF(MATCH(X304,X$300:$X305,0),"Si",1)</f>
        <v>Si</v>
      </c>
      <c r="Z304" s="26">
        <f t="shared" si="32"/>
        <v>0</v>
      </c>
      <c r="AA304" s="26">
        <f t="shared" si="33"/>
        <v>0</v>
      </c>
      <c r="AB304" s="26" t="str">
        <f t="shared" si="34"/>
        <v/>
      </c>
      <c r="AC304" s="26" t="str">
        <f>IF(MATCH(AB304,AB$300:$AB305,0),"0",1)</f>
        <v>0</v>
      </c>
    </row>
    <row r="305" spans="2:29" x14ac:dyDescent="0.35">
      <c r="B305" s="219"/>
      <c r="C305" s="216" t="s">
        <v>496</v>
      </c>
      <c r="D305" s="216"/>
      <c r="E305" s="220"/>
      <c r="F305" s="220"/>
      <c r="G305" s="220"/>
      <c r="H305" s="220" t="str">
        <f t="shared" si="28"/>
        <v/>
      </c>
      <c r="I305" s="460"/>
      <c r="J305" s="460"/>
      <c r="K305" s="460"/>
      <c r="L305" s="460"/>
      <c r="M305" s="460"/>
      <c r="N305" s="220"/>
      <c r="O305" s="220"/>
      <c r="P305" s="220"/>
      <c r="Q305" s="220"/>
      <c r="R305" s="221"/>
      <c r="S305" s="221"/>
      <c r="T305" s="316">
        <f t="shared" si="29"/>
        <v>0</v>
      </c>
      <c r="U305" s="217">
        <f t="shared" si="30"/>
        <v>0</v>
      </c>
      <c r="X305" s="26" t="str">
        <f t="shared" si="31"/>
        <v/>
      </c>
      <c r="Y305" s="21" t="str">
        <f>IF(MATCH(X305,X$300:$X306,0),"Si",1)</f>
        <v>Si</v>
      </c>
      <c r="Z305" s="26">
        <f t="shared" si="32"/>
        <v>0</v>
      </c>
      <c r="AA305" s="26">
        <f t="shared" si="33"/>
        <v>0</v>
      </c>
      <c r="AB305" s="26" t="str">
        <f t="shared" si="34"/>
        <v/>
      </c>
      <c r="AC305" s="26" t="str">
        <f>IF(MATCH(AB305,AB$300:$AB306,0),"0",1)</f>
        <v>0</v>
      </c>
    </row>
    <row r="306" spans="2:29" x14ac:dyDescent="0.35">
      <c r="B306" s="219"/>
      <c r="C306" s="216" t="s">
        <v>497</v>
      </c>
      <c r="D306" s="216"/>
      <c r="E306" s="220"/>
      <c r="F306" s="220"/>
      <c r="G306" s="220"/>
      <c r="H306" s="220" t="str">
        <f t="shared" si="28"/>
        <v/>
      </c>
      <c r="I306" s="460"/>
      <c r="J306" s="460"/>
      <c r="K306" s="460"/>
      <c r="L306" s="460"/>
      <c r="M306" s="460"/>
      <c r="N306" s="220"/>
      <c r="O306" s="220"/>
      <c r="P306" s="220"/>
      <c r="Q306" s="220"/>
      <c r="R306" s="221"/>
      <c r="S306" s="221"/>
      <c r="T306" s="316">
        <f t="shared" si="29"/>
        <v>0</v>
      </c>
      <c r="U306" s="217">
        <f t="shared" si="30"/>
        <v>0</v>
      </c>
      <c r="X306" s="26" t="str">
        <f t="shared" si="31"/>
        <v/>
      </c>
      <c r="Y306" s="21" t="str">
        <f>IF(MATCH(X306,X$300:$X307,0),"Si",1)</f>
        <v>Si</v>
      </c>
      <c r="Z306" s="26">
        <f t="shared" si="32"/>
        <v>0</v>
      </c>
      <c r="AA306" s="26">
        <f t="shared" si="33"/>
        <v>0</v>
      </c>
      <c r="AB306" s="26" t="str">
        <f t="shared" si="34"/>
        <v/>
      </c>
      <c r="AC306" s="26" t="str">
        <f>IF(MATCH(AB306,AB$300:$AB307,0),"0",1)</f>
        <v>0</v>
      </c>
    </row>
    <row r="307" spans="2:29" x14ac:dyDescent="0.35">
      <c r="B307" s="219"/>
      <c r="C307" s="216" t="s">
        <v>498</v>
      </c>
      <c r="D307" s="216"/>
      <c r="E307" s="220"/>
      <c r="F307" s="220"/>
      <c r="G307" s="220"/>
      <c r="H307" s="220" t="str">
        <f t="shared" si="28"/>
        <v/>
      </c>
      <c r="I307" s="460"/>
      <c r="J307" s="460"/>
      <c r="K307" s="460"/>
      <c r="L307" s="460"/>
      <c r="M307" s="460"/>
      <c r="N307" s="220"/>
      <c r="O307" s="220"/>
      <c r="P307" s="220"/>
      <c r="Q307" s="220"/>
      <c r="R307" s="221"/>
      <c r="S307" s="221"/>
      <c r="T307" s="316">
        <f t="shared" si="29"/>
        <v>0</v>
      </c>
      <c r="U307" s="217">
        <f t="shared" si="30"/>
        <v>0</v>
      </c>
      <c r="X307" s="26" t="str">
        <f t="shared" si="31"/>
        <v/>
      </c>
      <c r="Y307" s="21" t="str">
        <f>IF(MATCH(X307,X$300:$X308,0),"Si",1)</f>
        <v>Si</v>
      </c>
      <c r="Z307" s="26">
        <f t="shared" si="32"/>
        <v>0</v>
      </c>
      <c r="AA307" s="26">
        <f t="shared" si="33"/>
        <v>0</v>
      </c>
      <c r="AB307" s="26" t="str">
        <f t="shared" si="34"/>
        <v/>
      </c>
      <c r="AC307" s="26" t="str">
        <f>IF(MATCH(AB307,AB$300:$AB308,0),"0",1)</f>
        <v>0</v>
      </c>
    </row>
    <row r="308" spans="2:29" x14ac:dyDescent="0.35">
      <c r="B308" s="219"/>
      <c r="C308" s="216" t="s">
        <v>499</v>
      </c>
      <c r="D308" s="216"/>
      <c r="E308" s="220"/>
      <c r="F308" s="220"/>
      <c r="G308" s="220"/>
      <c r="H308" s="220" t="str">
        <f t="shared" si="28"/>
        <v/>
      </c>
      <c r="I308" s="460"/>
      <c r="J308" s="460"/>
      <c r="K308" s="460"/>
      <c r="L308" s="460"/>
      <c r="M308" s="460"/>
      <c r="N308" s="220"/>
      <c r="O308" s="220"/>
      <c r="P308" s="220"/>
      <c r="Q308" s="220"/>
      <c r="R308" s="221"/>
      <c r="S308" s="221"/>
      <c r="T308" s="316">
        <f t="shared" si="29"/>
        <v>0</v>
      </c>
      <c r="U308" s="217">
        <f t="shared" si="30"/>
        <v>0</v>
      </c>
      <c r="X308" s="26" t="str">
        <f t="shared" si="31"/>
        <v/>
      </c>
      <c r="Y308" s="21" t="str">
        <f>IF(MATCH(X308,X$300:$X309,0),"Si",1)</f>
        <v>Si</v>
      </c>
      <c r="Z308" s="26">
        <f t="shared" si="32"/>
        <v>0</v>
      </c>
      <c r="AA308" s="26">
        <f t="shared" si="33"/>
        <v>0</v>
      </c>
      <c r="AB308" s="26" t="str">
        <f t="shared" si="34"/>
        <v/>
      </c>
      <c r="AC308" s="26" t="str">
        <f>IF(MATCH(AB308,AB$300:$AB309,0),"0",1)</f>
        <v>0</v>
      </c>
    </row>
    <row r="309" spans="2:29" x14ac:dyDescent="0.35">
      <c r="B309" s="219"/>
      <c r="C309" s="216" t="s">
        <v>500</v>
      </c>
      <c r="D309" s="216"/>
      <c r="E309" s="220"/>
      <c r="F309" s="220"/>
      <c r="G309" s="220"/>
      <c r="H309" s="220" t="str">
        <f t="shared" si="28"/>
        <v/>
      </c>
      <c r="I309" s="460"/>
      <c r="J309" s="460"/>
      <c r="K309" s="460"/>
      <c r="L309" s="460"/>
      <c r="M309" s="460"/>
      <c r="N309" s="220"/>
      <c r="O309" s="220"/>
      <c r="P309" s="220"/>
      <c r="Q309" s="220"/>
      <c r="R309" s="221"/>
      <c r="S309" s="221"/>
      <c r="T309" s="316">
        <f t="shared" si="29"/>
        <v>0</v>
      </c>
      <c r="U309" s="217">
        <f t="shared" si="30"/>
        <v>0</v>
      </c>
      <c r="X309" s="26" t="str">
        <f t="shared" si="31"/>
        <v/>
      </c>
      <c r="Y309" s="21" t="str">
        <f>IF(MATCH(X309,X$300:$X310,0),"Si",1)</f>
        <v>Si</v>
      </c>
      <c r="Z309" s="26">
        <f t="shared" si="32"/>
        <v>0</v>
      </c>
      <c r="AA309" s="26">
        <f t="shared" si="33"/>
        <v>0</v>
      </c>
      <c r="AB309" s="26" t="str">
        <f t="shared" si="34"/>
        <v/>
      </c>
      <c r="AC309" s="26" t="str">
        <f>IF(MATCH(AB309,AB$300:$AB310,0),"0",1)</f>
        <v>0</v>
      </c>
    </row>
    <row r="310" spans="2:29" x14ac:dyDescent="0.35">
      <c r="B310" s="219"/>
      <c r="C310" s="216" t="s">
        <v>501</v>
      </c>
      <c r="D310" s="216"/>
      <c r="E310" s="220"/>
      <c r="F310" s="220"/>
      <c r="G310" s="220"/>
      <c r="H310" s="220" t="str">
        <f t="shared" si="28"/>
        <v/>
      </c>
      <c r="I310" s="460"/>
      <c r="J310" s="460"/>
      <c r="K310" s="460"/>
      <c r="L310" s="460"/>
      <c r="M310" s="460"/>
      <c r="N310" s="220"/>
      <c r="O310" s="220"/>
      <c r="P310" s="220"/>
      <c r="Q310" s="220"/>
      <c r="R310" s="221"/>
      <c r="S310" s="221"/>
      <c r="T310" s="316">
        <f t="shared" si="29"/>
        <v>0</v>
      </c>
      <c r="U310" s="217">
        <f t="shared" si="30"/>
        <v>0</v>
      </c>
      <c r="X310" s="26" t="str">
        <f t="shared" si="31"/>
        <v/>
      </c>
      <c r="Y310" s="21" t="str">
        <f>IF(MATCH(X310,X$300:$X311,0),"Si",1)</f>
        <v>Si</v>
      </c>
      <c r="Z310" s="26">
        <f t="shared" si="32"/>
        <v>0</v>
      </c>
      <c r="AA310" s="26">
        <f t="shared" si="33"/>
        <v>0</v>
      </c>
      <c r="AB310" s="26" t="str">
        <f t="shared" si="34"/>
        <v/>
      </c>
      <c r="AC310" s="26" t="str">
        <f>IF(MATCH(AB310,AB$300:$AB311,0),"0",1)</f>
        <v>0</v>
      </c>
    </row>
    <row r="311" spans="2:29" x14ac:dyDescent="0.35">
      <c r="B311" s="219"/>
      <c r="C311" s="216" t="s">
        <v>502</v>
      </c>
      <c r="D311" s="216"/>
      <c r="E311" s="220"/>
      <c r="F311" s="220"/>
      <c r="G311" s="220"/>
      <c r="H311" s="220" t="str">
        <f t="shared" si="28"/>
        <v/>
      </c>
      <c r="I311" s="460"/>
      <c r="J311" s="460"/>
      <c r="K311" s="460"/>
      <c r="L311" s="460"/>
      <c r="M311" s="460"/>
      <c r="N311" s="220"/>
      <c r="O311" s="220"/>
      <c r="P311" s="220"/>
      <c r="Q311" s="220"/>
      <c r="R311" s="221"/>
      <c r="S311" s="221"/>
      <c r="T311" s="316">
        <f t="shared" si="29"/>
        <v>0</v>
      </c>
      <c r="U311" s="217">
        <f t="shared" si="30"/>
        <v>0</v>
      </c>
      <c r="X311" s="26" t="str">
        <f t="shared" si="31"/>
        <v/>
      </c>
      <c r="Y311" s="21" t="str">
        <f>IF(MATCH(X311,X$300:$X312,0),"Si",1)</f>
        <v>Si</v>
      </c>
      <c r="Z311" s="26">
        <f t="shared" si="32"/>
        <v>0</v>
      </c>
      <c r="AA311" s="26">
        <f t="shared" si="33"/>
        <v>0</v>
      </c>
      <c r="AB311" s="26" t="str">
        <f t="shared" si="34"/>
        <v/>
      </c>
      <c r="AC311" s="26" t="str">
        <f>IF(MATCH(AB311,AB$300:$AB312,0),"0",1)</f>
        <v>0</v>
      </c>
    </row>
    <row r="312" spans="2:29" x14ac:dyDescent="0.35">
      <c r="B312" s="219"/>
      <c r="C312" s="216" t="s">
        <v>503</v>
      </c>
      <c r="D312" s="216"/>
      <c r="E312" s="220"/>
      <c r="F312" s="220"/>
      <c r="G312" s="220"/>
      <c r="H312" s="220" t="str">
        <f t="shared" si="28"/>
        <v/>
      </c>
      <c r="I312" s="460"/>
      <c r="J312" s="460"/>
      <c r="K312" s="460"/>
      <c r="L312" s="460"/>
      <c r="M312" s="460"/>
      <c r="N312" s="220"/>
      <c r="O312" s="220"/>
      <c r="P312" s="220"/>
      <c r="Q312" s="220"/>
      <c r="R312" s="221"/>
      <c r="S312" s="221"/>
      <c r="T312" s="316">
        <f t="shared" si="29"/>
        <v>0</v>
      </c>
      <c r="U312" s="217">
        <f t="shared" si="30"/>
        <v>0</v>
      </c>
      <c r="X312" s="26" t="str">
        <f t="shared" si="31"/>
        <v/>
      </c>
      <c r="Y312" s="21" t="str">
        <f>IF(MATCH(X312,X$300:$X313,0),"Si",1)</f>
        <v>Si</v>
      </c>
      <c r="Z312" s="26">
        <f t="shared" si="32"/>
        <v>0</v>
      </c>
      <c r="AA312" s="26">
        <f t="shared" si="33"/>
        <v>0</v>
      </c>
      <c r="AB312" s="26" t="str">
        <f t="shared" si="34"/>
        <v/>
      </c>
      <c r="AC312" s="26" t="str">
        <f>IF(MATCH(AB312,AB$300:$AB313,0),"0",1)</f>
        <v>0</v>
      </c>
    </row>
    <row r="313" spans="2:29" x14ac:dyDescent="0.35">
      <c r="B313" s="219"/>
      <c r="C313" s="216" t="s">
        <v>504</v>
      </c>
      <c r="D313" s="216"/>
      <c r="E313" s="220"/>
      <c r="F313" s="220"/>
      <c r="G313" s="220"/>
      <c r="H313" s="220" t="str">
        <f t="shared" si="28"/>
        <v/>
      </c>
      <c r="I313" s="460"/>
      <c r="J313" s="460"/>
      <c r="K313" s="460"/>
      <c r="L313" s="460"/>
      <c r="M313" s="460"/>
      <c r="N313" s="220"/>
      <c r="O313" s="220"/>
      <c r="P313" s="220"/>
      <c r="Q313" s="220"/>
      <c r="R313" s="221"/>
      <c r="S313" s="221"/>
      <c r="T313" s="316">
        <f t="shared" si="29"/>
        <v>0</v>
      </c>
      <c r="U313" s="217">
        <f t="shared" si="30"/>
        <v>0</v>
      </c>
      <c r="X313" s="26" t="str">
        <f t="shared" si="31"/>
        <v/>
      </c>
      <c r="Y313" s="21" t="str">
        <f>IF(MATCH(X313,X$300:$X314,0),"Si",1)</f>
        <v>Si</v>
      </c>
      <c r="Z313" s="26">
        <f t="shared" si="32"/>
        <v>0</v>
      </c>
      <c r="AA313" s="26">
        <f t="shared" si="33"/>
        <v>0</v>
      </c>
      <c r="AB313" s="26" t="str">
        <f t="shared" si="34"/>
        <v/>
      </c>
      <c r="AC313" s="26" t="str">
        <f>IF(MATCH(AB313,AB$300:$AB314,0),"0",1)</f>
        <v>0</v>
      </c>
    </row>
    <row r="314" spans="2:29" x14ac:dyDescent="0.35">
      <c r="B314" s="219"/>
      <c r="C314" s="216" t="s">
        <v>505</v>
      </c>
      <c r="D314" s="216"/>
      <c r="E314" s="220"/>
      <c r="F314" s="220"/>
      <c r="G314" s="220"/>
      <c r="H314" s="220" t="str">
        <f t="shared" si="28"/>
        <v/>
      </c>
      <c r="I314" s="460"/>
      <c r="J314" s="460"/>
      <c r="K314" s="460"/>
      <c r="L314" s="460"/>
      <c r="M314" s="460"/>
      <c r="N314" s="220"/>
      <c r="O314" s="220"/>
      <c r="P314" s="220"/>
      <c r="Q314" s="220"/>
      <c r="R314" s="221"/>
      <c r="S314" s="221"/>
      <c r="T314" s="316">
        <f t="shared" si="29"/>
        <v>0</v>
      </c>
      <c r="U314" s="217">
        <f t="shared" si="30"/>
        <v>0</v>
      </c>
      <c r="X314" s="26" t="str">
        <f t="shared" si="31"/>
        <v/>
      </c>
      <c r="Y314" s="21" t="str">
        <f>IF(MATCH(X314,X$300:$X315,0),"Si",1)</f>
        <v>Si</v>
      </c>
      <c r="Z314" s="26">
        <f t="shared" si="32"/>
        <v>0</v>
      </c>
      <c r="AA314" s="26">
        <f t="shared" si="33"/>
        <v>0</v>
      </c>
      <c r="AB314" s="26" t="str">
        <f t="shared" si="34"/>
        <v/>
      </c>
      <c r="AC314" s="26" t="str">
        <f>IF(MATCH(AB314,AB$300:$AB315,0),"0",1)</f>
        <v>0</v>
      </c>
    </row>
    <row r="315" spans="2:29" x14ac:dyDescent="0.35">
      <c r="B315" s="219"/>
      <c r="C315" s="216" t="s">
        <v>506</v>
      </c>
      <c r="D315" s="216"/>
      <c r="E315" s="220"/>
      <c r="F315" s="220"/>
      <c r="G315" s="220"/>
      <c r="H315" s="220" t="str">
        <f t="shared" si="28"/>
        <v/>
      </c>
      <c r="I315" s="460"/>
      <c r="J315" s="460"/>
      <c r="K315" s="460"/>
      <c r="L315" s="460"/>
      <c r="M315" s="460"/>
      <c r="N315" s="220"/>
      <c r="O315" s="220"/>
      <c r="P315" s="220"/>
      <c r="Q315" s="220"/>
      <c r="R315" s="221"/>
      <c r="S315" s="221"/>
      <c r="T315" s="316">
        <f t="shared" si="29"/>
        <v>0</v>
      </c>
      <c r="U315" s="217">
        <f t="shared" si="30"/>
        <v>0</v>
      </c>
      <c r="X315" s="26" t="str">
        <f t="shared" si="31"/>
        <v/>
      </c>
      <c r="Y315" s="21" t="str">
        <f>IF(MATCH(X315,X$300:$X316,0),"Si",1)</f>
        <v>Si</v>
      </c>
      <c r="Z315" s="26">
        <f t="shared" si="32"/>
        <v>0</v>
      </c>
      <c r="AA315" s="26">
        <f t="shared" si="33"/>
        <v>0</v>
      </c>
      <c r="AB315" s="26" t="str">
        <f t="shared" si="34"/>
        <v/>
      </c>
      <c r="AC315" s="26" t="str">
        <f>IF(MATCH(AB315,AB$300:$AB316,0),"0",1)</f>
        <v>0</v>
      </c>
    </row>
    <row r="316" spans="2:29" x14ac:dyDescent="0.35">
      <c r="B316" s="219"/>
      <c r="C316" s="216" t="s">
        <v>507</v>
      </c>
      <c r="D316" s="216"/>
      <c r="E316" s="220"/>
      <c r="F316" s="220"/>
      <c r="G316" s="220"/>
      <c r="H316" s="220" t="str">
        <f t="shared" si="28"/>
        <v/>
      </c>
      <c r="I316" s="460"/>
      <c r="J316" s="460"/>
      <c r="K316" s="460"/>
      <c r="L316" s="460"/>
      <c r="M316" s="460"/>
      <c r="N316" s="220"/>
      <c r="O316" s="220"/>
      <c r="P316" s="220"/>
      <c r="Q316" s="220"/>
      <c r="R316" s="221"/>
      <c r="S316" s="221"/>
      <c r="T316" s="316">
        <f t="shared" si="29"/>
        <v>0</v>
      </c>
      <c r="U316" s="217">
        <f t="shared" si="30"/>
        <v>0</v>
      </c>
      <c r="X316" s="26" t="str">
        <f t="shared" si="31"/>
        <v/>
      </c>
      <c r="Y316" s="21" t="str">
        <f>IF(MATCH(X316,X$300:$X317,0),"Si",1)</f>
        <v>Si</v>
      </c>
      <c r="Z316" s="26">
        <f t="shared" si="32"/>
        <v>0</v>
      </c>
      <c r="AA316" s="26">
        <f t="shared" si="33"/>
        <v>0</v>
      </c>
      <c r="AB316" s="26" t="str">
        <f t="shared" si="34"/>
        <v/>
      </c>
      <c r="AC316" s="26" t="str">
        <f>IF(MATCH(AB316,AB$300:$AB317,0),"0",1)</f>
        <v>0</v>
      </c>
    </row>
    <row r="317" spans="2:29" x14ac:dyDescent="0.35">
      <c r="B317" s="219"/>
      <c r="C317" s="216" t="s">
        <v>508</v>
      </c>
      <c r="D317" s="216"/>
      <c r="E317" s="220"/>
      <c r="F317" s="220"/>
      <c r="G317" s="220"/>
      <c r="H317" s="220" t="str">
        <f t="shared" si="28"/>
        <v/>
      </c>
      <c r="I317" s="460"/>
      <c r="J317" s="460"/>
      <c r="K317" s="460"/>
      <c r="L317" s="460"/>
      <c r="M317" s="460"/>
      <c r="N317" s="220"/>
      <c r="O317" s="220"/>
      <c r="P317" s="220"/>
      <c r="Q317" s="220"/>
      <c r="R317" s="221"/>
      <c r="S317" s="221"/>
      <c r="T317" s="316">
        <f t="shared" si="29"/>
        <v>0</v>
      </c>
      <c r="U317" s="217">
        <f t="shared" si="30"/>
        <v>0</v>
      </c>
      <c r="X317" s="26" t="str">
        <f t="shared" si="31"/>
        <v/>
      </c>
      <c r="Y317" s="21" t="str">
        <f>IF(MATCH(X317,X$300:$X318,0),"Si",1)</f>
        <v>Si</v>
      </c>
      <c r="Z317" s="26">
        <f t="shared" si="32"/>
        <v>0</v>
      </c>
      <c r="AA317" s="26">
        <f t="shared" si="33"/>
        <v>0</v>
      </c>
      <c r="AB317" s="26" t="str">
        <f t="shared" si="34"/>
        <v/>
      </c>
      <c r="AC317" s="26" t="str">
        <f>IF(MATCH(AB317,AB$300:$AB318,0),"0",1)</f>
        <v>0</v>
      </c>
    </row>
    <row r="318" spans="2:29" x14ac:dyDescent="0.35">
      <c r="B318" s="219"/>
      <c r="C318" s="216" t="s">
        <v>583</v>
      </c>
      <c r="D318" s="216"/>
      <c r="E318" s="220"/>
      <c r="F318" s="220"/>
      <c r="G318" s="220"/>
      <c r="H318" s="220" t="str">
        <f t="shared" si="28"/>
        <v/>
      </c>
      <c r="I318" s="460"/>
      <c r="J318" s="460"/>
      <c r="K318" s="460"/>
      <c r="L318" s="460"/>
      <c r="M318" s="460"/>
      <c r="N318" s="220"/>
      <c r="O318" s="220"/>
      <c r="P318" s="220"/>
      <c r="Q318" s="220"/>
      <c r="R318" s="221"/>
      <c r="S318" s="221"/>
      <c r="T318" s="316">
        <f t="shared" si="29"/>
        <v>0</v>
      </c>
      <c r="U318" s="217">
        <f t="shared" si="30"/>
        <v>0</v>
      </c>
      <c r="X318" s="26" t="str">
        <f t="shared" si="31"/>
        <v/>
      </c>
      <c r="Y318" s="21" t="str">
        <f>IF(MATCH(X318,X$300:$X319,0),"Si",1)</f>
        <v>Si</v>
      </c>
      <c r="Z318" s="26">
        <f t="shared" si="32"/>
        <v>0</v>
      </c>
      <c r="AA318" s="26">
        <f t="shared" si="33"/>
        <v>0</v>
      </c>
      <c r="AB318" s="26" t="str">
        <f t="shared" si="34"/>
        <v/>
      </c>
      <c r="AC318" s="26" t="str">
        <f>IF(MATCH(AB318,AB$300:$AB319,0),"0",1)</f>
        <v>0</v>
      </c>
    </row>
    <row r="319" spans="2:29" x14ac:dyDescent="0.35">
      <c r="B319" s="219"/>
      <c r="C319" s="216" t="s">
        <v>584</v>
      </c>
      <c r="D319" s="216"/>
      <c r="E319" s="220"/>
      <c r="F319" s="220"/>
      <c r="G319" s="220"/>
      <c r="H319" s="220" t="str">
        <f t="shared" si="28"/>
        <v/>
      </c>
      <c r="I319" s="460"/>
      <c r="J319" s="460"/>
      <c r="K319" s="460"/>
      <c r="L319" s="460"/>
      <c r="M319" s="460"/>
      <c r="N319" s="220"/>
      <c r="O319" s="220"/>
      <c r="P319" s="220"/>
      <c r="Q319" s="220"/>
      <c r="R319" s="221"/>
      <c r="S319" s="221"/>
      <c r="T319" s="316">
        <f t="shared" si="29"/>
        <v>0</v>
      </c>
      <c r="U319" s="217">
        <f t="shared" si="30"/>
        <v>0</v>
      </c>
      <c r="X319" s="26" t="str">
        <f t="shared" si="31"/>
        <v/>
      </c>
      <c r="Y319" s="21" t="str">
        <f>IF(MATCH(X319,X$300:$X320,0),"Si",1)</f>
        <v>Si</v>
      </c>
      <c r="Z319" s="26">
        <f t="shared" si="32"/>
        <v>0</v>
      </c>
      <c r="AA319" s="26">
        <f t="shared" si="33"/>
        <v>0</v>
      </c>
      <c r="AB319" s="26" t="str">
        <f t="shared" si="34"/>
        <v/>
      </c>
      <c r="AC319" s="26" t="str">
        <f>IF(MATCH(AB319,AB$300:$AB320,0),"0",1)</f>
        <v>0</v>
      </c>
    </row>
    <row r="320" spans="2:29" x14ac:dyDescent="0.35">
      <c r="B320" s="219"/>
      <c r="C320" s="216" t="s">
        <v>585</v>
      </c>
      <c r="D320" s="216"/>
      <c r="E320" s="220"/>
      <c r="F320" s="220"/>
      <c r="G320" s="220"/>
      <c r="H320" s="220" t="str">
        <f t="shared" si="28"/>
        <v/>
      </c>
      <c r="I320" s="460"/>
      <c r="J320" s="460"/>
      <c r="K320" s="460"/>
      <c r="L320" s="460"/>
      <c r="M320" s="460"/>
      <c r="N320" s="220"/>
      <c r="O320" s="220"/>
      <c r="P320" s="220"/>
      <c r="Q320" s="220"/>
      <c r="R320" s="221"/>
      <c r="S320" s="221"/>
      <c r="T320" s="316">
        <f t="shared" si="29"/>
        <v>0</v>
      </c>
      <c r="U320" s="217">
        <f t="shared" si="30"/>
        <v>0</v>
      </c>
      <c r="X320" s="26" t="str">
        <f t="shared" si="31"/>
        <v/>
      </c>
      <c r="Y320" s="21" t="str">
        <f>IF(MATCH(X320,X$300:$X321,0),"Si",1)</f>
        <v>Si</v>
      </c>
      <c r="Z320" s="26">
        <f t="shared" si="32"/>
        <v>0</v>
      </c>
      <c r="AA320" s="26">
        <f t="shared" si="33"/>
        <v>0</v>
      </c>
      <c r="AB320" s="26" t="str">
        <f t="shared" si="34"/>
        <v/>
      </c>
      <c r="AC320" s="26" t="str">
        <f>IF(MATCH(AB320,AB$300:$AB321,0),"0",1)</f>
        <v>0</v>
      </c>
    </row>
    <row r="321" spans="2:29" x14ac:dyDescent="0.35">
      <c r="B321" s="219"/>
      <c r="C321" s="216" t="s">
        <v>586</v>
      </c>
      <c r="D321" s="216"/>
      <c r="E321" s="220"/>
      <c r="F321" s="220"/>
      <c r="G321" s="220"/>
      <c r="H321" s="220" t="str">
        <f t="shared" si="28"/>
        <v/>
      </c>
      <c r="I321" s="460"/>
      <c r="J321" s="460"/>
      <c r="K321" s="460"/>
      <c r="L321" s="460"/>
      <c r="M321" s="460"/>
      <c r="N321" s="220"/>
      <c r="O321" s="220"/>
      <c r="P321" s="220"/>
      <c r="Q321" s="220"/>
      <c r="R321" s="221"/>
      <c r="S321" s="221"/>
      <c r="T321" s="316">
        <f t="shared" si="29"/>
        <v>0</v>
      </c>
      <c r="U321" s="217">
        <f t="shared" si="30"/>
        <v>0</v>
      </c>
      <c r="X321" s="26" t="str">
        <f t="shared" si="31"/>
        <v/>
      </c>
      <c r="Y321" s="21" t="str">
        <f>IF(MATCH(X321,X$300:$X322,0),"Si",1)</f>
        <v>Si</v>
      </c>
      <c r="Z321" s="26">
        <f t="shared" si="32"/>
        <v>0</v>
      </c>
      <c r="AA321" s="26">
        <f t="shared" si="33"/>
        <v>0</v>
      </c>
      <c r="AB321" s="26" t="str">
        <f t="shared" si="34"/>
        <v/>
      </c>
      <c r="AC321" s="26" t="str">
        <f>IF(MATCH(AB321,AB$300:$AB322,0),"0",1)</f>
        <v>0</v>
      </c>
    </row>
    <row r="322" spans="2:29" x14ac:dyDescent="0.35">
      <c r="B322" s="219"/>
      <c r="C322" s="216" t="s">
        <v>587</v>
      </c>
      <c r="D322" s="216"/>
      <c r="E322" s="220"/>
      <c r="F322" s="220"/>
      <c r="G322" s="220"/>
      <c r="H322" s="220" t="str">
        <f t="shared" si="28"/>
        <v/>
      </c>
      <c r="I322" s="460"/>
      <c r="J322" s="460"/>
      <c r="K322" s="460"/>
      <c r="L322" s="460"/>
      <c r="M322" s="460"/>
      <c r="N322" s="220"/>
      <c r="O322" s="220"/>
      <c r="P322" s="220"/>
      <c r="Q322" s="220"/>
      <c r="R322" s="221"/>
      <c r="S322" s="221"/>
      <c r="T322" s="316">
        <f t="shared" si="29"/>
        <v>0</v>
      </c>
      <c r="U322" s="217">
        <f t="shared" si="30"/>
        <v>0</v>
      </c>
      <c r="X322" s="26" t="str">
        <f t="shared" si="31"/>
        <v/>
      </c>
      <c r="Y322" s="21" t="str">
        <f>IF(MATCH(X322,X$300:$X323,0),"Si",1)</f>
        <v>Si</v>
      </c>
      <c r="Z322" s="26">
        <f t="shared" si="32"/>
        <v>0</v>
      </c>
      <c r="AA322" s="26">
        <f t="shared" si="33"/>
        <v>0</v>
      </c>
      <c r="AB322" s="26" t="str">
        <f t="shared" si="34"/>
        <v/>
      </c>
      <c r="AC322" s="26" t="str">
        <f>IF(MATCH(AB322,AB$300:$AB323,0),"0",1)</f>
        <v>0</v>
      </c>
    </row>
    <row r="323" spans="2:29" x14ac:dyDescent="0.35">
      <c r="B323" s="219"/>
      <c r="C323" s="216" t="s">
        <v>588</v>
      </c>
      <c r="D323" s="216"/>
      <c r="E323" s="220"/>
      <c r="F323" s="220"/>
      <c r="G323" s="220"/>
      <c r="H323" s="220" t="str">
        <f t="shared" si="28"/>
        <v/>
      </c>
      <c r="I323" s="460"/>
      <c r="J323" s="460"/>
      <c r="K323" s="460"/>
      <c r="L323" s="460"/>
      <c r="M323" s="460"/>
      <c r="N323" s="220"/>
      <c r="O323" s="220"/>
      <c r="P323" s="220"/>
      <c r="Q323" s="220"/>
      <c r="R323" s="221"/>
      <c r="S323" s="221"/>
      <c r="T323" s="316">
        <f t="shared" si="29"/>
        <v>0</v>
      </c>
      <c r="U323" s="217">
        <f t="shared" si="30"/>
        <v>0</v>
      </c>
      <c r="X323" s="26" t="str">
        <f t="shared" si="31"/>
        <v/>
      </c>
      <c r="Y323" s="21" t="str">
        <f>IF(MATCH(X323,X$300:$X324,0),"Si",1)</f>
        <v>Si</v>
      </c>
      <c r="Z323" s="26">
        <f t="shared" si="32"/>
        <v>0</v>
      </c>
      <c r="AA323" s="26">
        <f t="shared" si="33"/>
        <v>0</v>
      </c>
      <c r="AB323" s="26" t="str">
        <f t="shared" si="34"/>
        <v/>
      </c>
      <c r="AC323" s="26" t="str">
        <f>IF(MATCH(AB323,AB$300:$AB324,0),"0",1)</f>
        <v>0</v>
      </c>
    </row>
    <row r="324" spans="2:29" x14ac:dyDescent="0.35">
      <c r="B324" s="219"/>
      <c r="C324" s="216" t="s">
        <v>589</v>
      </c>
      <c r="D324" s="216"/>
      <c r="E324" s="220"/>
      <c r="F324" s="220"/>
      <c r="G324" s="220"/>
      <c r="H324" s="220" t="str">
        <f t="shared" si="28"/>
        <v/>
      </c>
      <c r="I324" s="460"/>
      <c r="J324" s="460"/>
      <c r="K324" s="460"/>
      <c r="L324" s="460"/>
      <c r="M324" s="460"/>
      <c r="N324" s="220"/>
      <c r="O324" s="220"/>
      <c r="P324" s="220"/>
      <c r="Q324" s="220"/>
      <c r="R324" s="221"/>
      <c r="S324" s="221"/>
      <c r="T324" s="316">
        <f t="shared" si="29"/>
        <v>0</v>
      </c>
      <c r="U324" s="217">
        <f t="shared" si="30"/>
        <v>0</v>
      </c>
      <c r="X324" s="26" t="str">
        <f t="shared" si="31"/>
        <v/>
      </c>
      <c r="Y324" s="21" t="str">
        <f>IF(MATCH(X324,X$300:$X325,0),"Si",1)</f>
        <v>Si</v>
      </c>
      <c r="Z324" s="26">
        <f t="shared" si="32"/>
        <v>0</v>
      </c>
      <c r="AA324" s="26">
        <f t="shared" si="33"/>
        <v>0</v>
      </c>
      <c r="AB324" s="26" t="str">
        <f t="shared" si="34"/>
        <v/>
      </c>
      <c r="AC324" s="26" t="str">
        <f>IF(MATCH(AB324,AB$300:$AB325,0),"0",1)</f>
        <v>0</v>
      </c>
    </row>
    <row r="325" spans="2:29" x14ac:dyDescent="0.35">
      <c r="B325" s="219"/>
      <c r="C325" s="216" t="s">
        <v>590</v>
      </c>
      <c r="D325" s="216"/>
      <c r="E325" s="220"/>
      <c r="F325" s="220"/>
      <c r="G325" s="220"/>
      <c r="H325" s="220" t="str">
        <f t="shared" si="28"/>
        <v/>
      </c>
      <c r="I325" s="460"/>
      <c r="J325" s="460"/>
      <c r="K325" s="460"/>
      <c r="L325" s="460"/>
      <c r="M325" s="460"/>
      <c r="N325" s="220"/>
      <c r="O325" s="220"/>
      <c r="P325" s="220"/>
      <c r="Q325" s="220"/>
      <c r="R325" s="221"/>
      <c r="S325" s="221"/>
      <c r="T325" s="316">
        <f t="shared" si="29"/>
        <v>0</v>
      </c>
      <c r="U325" s="217">
        <f t="shared" si="30"/>
        <v>0</v>
      </c>
      <c r="X325" s="26" t="str">
        <f t="shared" si="31"/>
        <v/>
      </c>
      <c r="Y325" s="21" t="str">
        <f>IF(MATCH(X325,X$300:$X326,0),"Si",1)</f>
        <v>Si</v>
      </c>
      <c r="Z325" s="26">
        <f t="shared" si="32"/>
        <v>0</v>
      </c>
      <c r="AA325" s="26">
        <f t="shared" si="33"/>
        <v>0</v>
      </c>
      <c r="AB325" s="26" t="str">
        <f t="shared" si="34"/>
        <v/>
      </c>
      <c r="AC325" s="26" t="str">
        <f>IF(MATCH(AB325,AB$300:$AB326,0),"0",1)</f>
        <v>0</v>
      </c>
    </row>
    <row r="326" spans="2:29" x14ac:dyDescent="0.35">
      <c r="B326" s="219"/>
      <c r="C326" s="216" t="s">
        <v>591</v>
      </c>
      <c r="D326" s="216"/>
      <c r="E326" s="220"/>
      <c r="F326" s="220"/>
      <c r="G326" s="220"/>
      <c r="H326" s="220" t="str">
        <f t="shared" si="28"/>
        <v/>
      </c>
      <c r="I326" s="460"/>
      <c r="J326" s="460"/>
      <c r="K326" s="460"/>
      <c r="L326" s="460"/>
      <c r="M326" s="460"/>
      <c r="N326" s="220"/>
      <c r="O326" s="220"/>
      <c r="P326" s="220"/>
      <c r="Q326" s="220"/>
      <c r="R326" s="221"/>
      <c r="S326" s="221"/>
      <c r="T326" s="316">
        <f t="shared" si="29"/>
        <v>0</v>
      </c>
      <c r="U326" s="217">
        <f t="shared" si="30"/>
        <v>0</v>
      </c>
      <c r="X326" s="26" t="str">
        <f t="shared" si="31"/>
        <v/>
      </c>
      <c r="Y326" s="21" t="str">
        <f>IF(MATCH(X326,X$300:$X327,0),"Si",1)</f>
        <v>Si</v>
      </c>
      <c r="Z326" s="26">
        <f t="shared" si="32"/>
        <v>0</v>
      </c>
      <c r="AA326" s="26">
        <f t="shared" si="33"/>
        <v>0</v>
      </c>
      <c r="AB326" s="26" t="str">
        <f t="shared" si="34"/>
        <v/>
      </c>
      <c r="AC326" s="26" t="str">
        <f>IF(MATCH(AB326,AB$300:$AB327,0),"0",1)</f>
        <v>0</v>
      </c>
    </row>
    <row r="327" spans="2:29" x14ac:dyDescent="0.35">
      <c r="B327" s="219"/>
      <c r="C327" s="216" t="s">
        <v>592</v>
      </c>
      <c r="D327" s="216"/>
      <c r="E327" s="220"/>
      <c r="F327" s="220"/>
      <c r="G327" s="220"/>
      <c r="H327" s="220" t="str">
        <f t="shared" si="28"/>
        <v/>
      </c>
      <c r="I327" s="460"/>
      <c r="J327" s="460"/>
      <c r="K327" s="460"/>
      <c r="L327" s="460"/>
      <c r="M327" s="460"/>
      <c r="N327" s="220"/>
      <c r="O327" s="220"/>
      <c r="P327" s="220"/>
      <c r="Q327" s="220"/>
      <c r="R327" s="221"/>
      <c r="S327" s="221"/>
      <c r="T327" s="316">
        <f t="shared" si="29"/>
        <v>0</v>
      </c>
      <c r="U327" s="217">
        <f t="shared" si="30"/>
        <v>0</v>
      </c>
      <c r="X327" s="26" t="str">
        <f t="shared" si="31"/>
        <v/>
      </c>
      <c r="Y327" s="21" t="str">
        <f>IF(MATCH(X327,X$300:$X328,0),"Si",1)</f>
        <v>Si</v>
      </c>
      <c r="Z327" s="26">
        <f t="shared" si="32"/>
        <v>0</v>
      </c>
      <c r="AA327" s="26">
        <f t="shared" si="33"/>
        <v>0</v>
      </c>
      <c r="AB327" s="26" t="str">
        <f t="shared" si="34"/>
        <v/>
      </c>
      <c r="AC327" s="26" t="str">
        <f>IF(MATCH(AB327,AB$300:$AB328,0),"0",1)</f>
        <v>0</v>
      </c>
    </row>
    <row r="328" spans="2:29" x14ac:dyDescent="0.35">
      <c r="B328" s="219"/>
      <c r="C328" s="216" t="s">
        <v>593</v>
      </c>
      <c r="D328" s="216"/>
      <c r="E328" s="220"/>
      <c r="F328" s="220"/>
      <c r="G328" s="220"/>
      <c r="H328" s="220" t="str">
        <f t="shared" si="28"/>
        <v/>
      </c>
      <c r="I328" s="460"/>
      <c r="J328" s="460"/>
      <c r="K328" s="460"/>
      <c r="L328" s="460"/>
      <c r="M328" s="460"/>
      <c r="N328" s="220"/>
      <c r="O328" s="220"/>
      <c r="P328" s="220"/>
      <c r="Q328" s="220"/>
      <c r="R328" s="221"/>
      <c r="S328" s="221"/>
      <c r="T328" s="316">
        <f t="shared" si="29"/>
        <v>0</v>
      </c>
      <c r="U328" s="217">
        <f t="shared" si="30"/>
        <v>0</v>
      </c>
      <c r="X328" s="26" t="str">
        <f t="shared" si="31"/>
        <v/>
      </c>
      <c r="Y328" s="21" t="str">
        <f>IF(MATCH(X328,X$300:$X329,0),"Si",1)</f>
        <v>Si</v>
      </c>
      <c r="Z328" s="26">
        <f t="shared" si="32"/>
        <v>0</v>
      </c>
      <c r="AA328" s="26">
        <f t="shared" si="33"/>
        <v>0</v>
      </c>
      <c r="AB328" s="26" t="str">
        <f t="shared" si="34"/>
        <v/>
      </c>
      <c r="AC328" s="26" t="str">
        <f>IF(MATCH(AB328,AB$300:$AB329,0),"0",1)</f>
        <v>0</v>
      </c>
    </row>
    <row r="329" spans="2:29" x14ac:dyDescent="0.35">
      <c r="B329" s="219"/>
      <c r="C329" s="216" t="s">
        <v>594</v>
      </c>
      <c r="D329" s="216"/>
      <c r="E329" s="220"/>
      <c r="F329" s="220"/>
      <c r="G329" s="220"/>
      <c r="H329" s="220" t="str">
        <f t="shared" si="28"/>
        <v/>
      </c>
      <c r="I329" s="460"/>
      <c r="J329" s="460"/>
      <c r="K329" s="460"/>
      <c r="L329" s="460"/>
      <c r="M329" s="460"/>
      <c r="N329" s="220"/>
      <c r="O329" s="220"/>
      <c r="P329" s="220"/>
      <c r="Q329" s="220"/>
      <c r="R329" s="221"/>
      <c r="S329" s="221"/>
      <c r="T329" s="316">
        <f t="shared" si="29"/>
        <v>0</v>
      </c>
      <c r="U329" s="217">
        <f t="shared" si="30"/>
        <v>0</v>
      </c>
      <c r="X329" s="26" t="str">
        <f t="shared" si="31"/>
        <v/>
      </c>
      <c r="Y329" s="21" t="str">
        <f>IF(MATCH(X329,X$300:$X330,0),"Si",1)</f>
        <v>Si</v>
      </c>
      <c r="Z329" s="26">
        <f t="shared" si="32"/>
        <v>0</v>
      </c>
      <c r="AA329" s="26">
        <f t="shared" si="33"/>
        <v>0</v>
      </c>
      <c r="AB329" s="26" t="str">
        <f t="shared" si="34"/>
        <v/>
      </c>
      <c r="AC329" s="26" t="str">
        <f>IF(MATCH(AB329,AB$300:$AB330,0),"0",1)</f>
        <v>0</v>
      </c>
    </row>
    <row r="330" spans="2:29" x14ac:dyDescent="0.35">
      <c r="B330" s="219"/>
      <c r="C330" s="216" t="s">
        <v>595</v>
      </c>
      <c r="D330" s="216"/>
      <c r="E330" s="220"/>
      <c r="F330" s="220"/>
      <c r="G330" s="220"/>
      <c r="H330" s="220" t="str">
        <f t="shared" si="28"/>
        <v/>
      </c>
      <c r="I330" s="460"/>
      <c r="J330" s="460"/>
      <c r="K330" s="460"/>
      <c r="L330" s="460"/>
      <c r="M330" s="460"/>
      <c r="N330" s="220"/>
      <c r="O330" s="220"/>
      <c r="P330" s="220"/>
      <c r="Q330" s="220"/>
      <c r="R330" s="221"/>
      <c r="S330" s="221"/>
      <c r="T330" s="316">
        <f t="shared" si="29"/>
        <v>0</v>
      </c>
      <c r="U330" s="217">
        <f t="shared" si="30"/>
        <v>0</v>
      </c>
      <c r="X330" s="26" t="str">
        <f t="shared" si="31"/>
        <v/>
      </c>
      <c r="Y330" s="21" t="str">
        <f>IF(MATCH(X330,X$300:$X331,0),"Si",1)</f>
        <v>Si</v>
      </c>
      <c r="Z330" s="26">
        <f t="shared" si="32"/>
        <v>0</v>
      </c>
      <c r="AA330" s="26">
        <f t="shared" si="33"/>
        <v>0</v>
      </c>
      <c r="AB330" s="26" t="str">
        <f t="shared" si="34"/>
        <v/>
      </c>
      <c r="AC330" s="26" t="str">
        <f>IF(MATCH(AB330,AB$300:$AB331,0),"0",1)</f>
        <v>0</v>
      </c>
    </row>
    <row r="331" spans="2:29" x14ac:dyDescent="0.35">
      <c r="B331" s="219"/>
      <c r="C331" s="216" t="s">
        <v>596</v>
      </c>
      <c r="D331" s="216"/>
      <c r="E331" s="220"/>
      <c r="F331" s="220"/>
      <c r="G331" s="220"/>
      <c r="H331" s="220" t="str">
        <f t="shared" si="28"/>
        <v/>
      </c>
      <c r="I331" s="460"/>
      <c r="J331" s="460"/>
      <c r="K331" s="460"/>
      <c r="L331" s="460"/>
      <c r="M331" s="460"/>
      <c r="N331" s="220"/>
      <c r="O331" s="220"/>
      <c r="P331" s="220"/>
      <c r="Q331" s="220"/>
      <c r="R331" s="221"/>
      <c r="S331" s="221"/>
      <c r="T331" s="316">
        <f t="shared" si="29"/>
        <v>0</v>
      </c>
      <c r="U331" s="217">
        <f t="shared" si="30"/>
        <v>0</v>
      </c>
      <c r="X331" s="26" t="str">
        <f t="shared" si="31"/>
        <v/>
      </c>
      <c r="Y331" s="21" t="str">
        <f>IF(MATCH(X331,X$300:$X332,0),"Si",1)</f>
        <v>Si</v>
      </c>
      <c r="Z331" s="26">
        <f t="shared" si="32"/>
        <v>0</v>
      </c>
      <c r="AA331" s="26">
        <f t="shared" si="33"/>
        <v>0</v>
      </c>
      <c r="AB331" s="26" t="str">
        <f t="shared" si="34"/>
        <v/>
      </c>
      <c r="AC331" s="26" t="str">
        <f>IF(MATCH(AB331,AB$300:$AB332,0),"0",1)</f>
        <v>0</v>
      </c>
    </row>
    <row r="332" spans="2:29" x14ac:dyDescent="0.35">
      <c r="B332" s="219"/>
      <c r="C332" s="216" t="s">
        <v>597</v>
      </c>
      <c r="D332" s="216"/>
      <c r="E332" s="220"/>
      <c r="F332" s="220"/>
      <c r="G332" s="220"/>
      <c r="H332" s="220" t="str">
        <f t="shared" si="28"/>
        <v/>
      </c>
      <c r="I332" s="460"/>
      <c r="J332" s="460"/>
      <c r="K332" s="460"/>
      <c r="L332" s="460"/>
      <c r="M332" s="460"/>
      <c r="N332" s="220"/>
      <c r="O332" s="220"/>
      <c r="P332" s="220"/>
      <c r="Q332" s="220"/>
      <c r="R332" s="221"/>
      <c r="S332" s="221"/>
      <c r="T332" s="316">
        <f t="shared" si="29"/>
        <v>0</v>
      </c>
      <c r="U332" s="217">
        <f t="shared" si="30"/>
        <v>0</v>
      </c>
      <c r="X332" s="26" t="str">
        <f t="shared" si="31"/>
        <v/>
      </c>
      <c r="Y332" s="21" t="str">
        <f>IF(MATCH(X332,X$300:$X333,0),"Si",1)</f>
        <v>Si</v>
      </c>
      <c r="Z332" s="26">
        <f t="shared" si="32"/>
        <v>0</v>
      </c>
      <c r="AA332" s="26">
        <f t="shared" si="33"/>
        <v>0</v>
      </c>
      <c r="AB332" s="26" t="str">
        <f t="shared" si="34"/>
        <v/>
      </c>
      <c r="AC332" s="26" t="str">
        <f>IF(MATCH(AB332,AB$300:$AB333,0),"0",1)</f>
        <v>0</v>
      </c>
    </row>
    <row r="333" spans="2:29" x14ac:dyDescent="0.35">
      <c r="B333" s="219"/>
      <c r="C333" s="216" t="s">
        <v>598</v>
      </c>
      <c r="D333" s="216"/>
      <c r="E333" s="220"/>
      <c r="F333" s="220"/>
      <c r="G333" s="220"/>
      <c r="H333" s="220" t="str">
        <f t="shared" si="28"/>
        <v/>
      </c>
      <c r="I333" s="460"/>
      <c r="J333" s="460"/>
      <c r="K333" s="460"/>
      <c r="L333" s="460"/>
      <c r="M333" s="460"/>
      <c r="N333" s="220"/>
      <c r="O333" s="220"/>
      <c r="P333" s="220"/>
      <c r="Q333" s="220"/>
      <c r="R333" s="221"/>
      <c r="S333" s="221"/>
      <c r="T333" s="316">
        <f t="shared" si="29"/>
        <v>0</v>
      </c>
      <c r="U333" s="217">
        <f t="shared" si="30"/>
        <v>0</v>
      </c>
      <c r="X333" s="26" t="str">
        <f t="shared" si="31"/>
        <v/>
      </c>
      <c r="Y333" s="21" t="str">
        <f>IF(MATCH(X333,X$300:$X334,0),"Si",1)</f>
        <v>Si</v>
      </c>
      <c r="Z333" s="26">
        <f t="shared" si="32"/>
        <v>0</v>
      </c>
      <c r="AA333" s="26">
        <f t="shared" si="33"/>
        <v>0</v>
      </c>
      <c r="AB333" s="26" t="str">
        <f t="shared" si="34"/>
        <v/>
      </c>
      <c r="AC333" s="26" t="str">
        <f>IF(MATCH(AB333,AB$300:$AB334,0),"0",1)</f>
        <v>0</v>
      </c>
    </row>
    <row r="334" spans="2:29" x14ac:dyDescent="0.35">
      <c r="B334" s="219"/>
      <c r="C334" s="216" t="s">
        <v>599</v>
      </c>
      <c r="D334" s="216"/>
      <c r="E334" s="220"/>
      <c r="F334" s="220"/>
      <c r="G334" s="220"/>
      <c r="H334" s="220" t="str">
        <f t="shared" si="28"/>
        <v/>
      </c>
      <c r="I334" s="460"/>
      <c r="J334" s="460"/>
      <c r="K334" s="460"/>
      <c r="L334" s="460"/>
      <c r="M334" s="460"/>
      <c r="N334" s="220"/>
      <c r="O334" s="220"/>
      <c r="P334" s="220"/>
      <c r="Q334" s="220"/>
      <c r="R334" s="221"/>
      <c r="S334" s="221"/>
      <c r="T334" s="316">
        <f t="shared" si="29"/>
        <v>0</v>
      </c>
      <c r="U334" s="217">
        <f t="shared" si="30"/>
        <v>0</v>
      </c>
      <c r="X334" s="26" t="str">
        <f t="shared" si="31"/>
        <v/>
      </c>
      <c r="Y334" s="21" t="str">
        <f>IF(MATCH(X334,X$300:$X335,0),"Si",1)</f>
        <v>Si</v>
      </c>
      <c r="Z334" s="26">
        <f t="shared" si="32"/>
        <v>0</v>
      </c>
      <c r="AA334" s="26">
        <f t="shared" si="33"/>
        <v>0</v>
      </c>
      <c r="AB334" s="26" t="str">
        <f t="shared" si="34"/>
        <v/>
      </c>
      <c r="AC334" s="26" t="str">
        <f>IF(MATCH(AB334,AB$300:$AB335,0),"0",1)</f>
        <v>0</v>
      </c>
    </row>
    <row r="335" spans="2:29" x14ac:dyDescent="0.35">
      <c r="B335" s="219"/>
      <c r="C335" s="216" t="s">
        <v>600</v>
      </c>
      <c r="D335" s="216"/>
      <c r="E335" s="220"/>
      <c r="F335" s="220"/>
      <c r="G335" s="220"/>
      <c r="H335" s="220" t="str">
        <f t="shared" si="28"/>
        <v/>
      </c>
      <c r="I335" s="460"/>
      <c r="J335" s="460"/>
      <c r="K335" s="460"/>
      <c r="L335" s="460"/>
      <c r="M335" s="460"/>
      <c r="N335" s="220"/>
      <c r="O335" s="220"/>
      <c r="P335" s="220"/>
      <c r="Q335" s="220"/>
      <c r="R335" s="221"/>
      <c r="S335" s="221"/>
      <c r="T335" s="316">
        <f t="shared" si="29"/>
        <v>0</v>
      </c>
      <c r="U335" s="217">
        <f t="shared" si="30"/>
        <v>0</v>
      </c>
      <c r="X335" s="26" t="str">
        <f t="shared" si="31"/>
        <v/>
      </c>
      <c r="Y335" s="21" t="str">
        <f>IF(MATCH(X335,X$300:$X336,0),"Si",1)</f>
        <v>Si</v>
      </c>
      <c r="Z335" s="26">
        <f t="shared" si="32"/>
        <v>0</v>
      </c>
      <c r="AA335" s="26">
        <f t="shared" si="33"/>
        <v>0</v>
      </c>
      <c r="AB335" s="26" t="str">
        <f t="shared" si="34"/>
        <v/>
      </c>
      <c r="AC335" s="26" t="str">
        <f>IF(MATCH(AB335,AB$300:$AB336,0),"0",1)</f>
        <v>0</v>
      </c>
    </row>
    <row r="336" spans="2:29" x14ac:dyDescent="0.35">
      <c r="B336" s="219"/>
      <c r="C336" s="216" t="s">
        <v>601</v>
      </c>
      <c r="D336" s="216"/>
      <c r="E336" s="220"/>
      <c r="F336" s="220"/>
      <c r="G336" s="220"/>
      <c r="H336" s="220" t="str">
        <f t="shared" si="28"/>
        <v/>
      </c>
      <c r="I336" s="460"/>
      <c r="J336" s="460"/>
      <c r="K336" s="460"/>
      <c r="L336" s="460"/>
      <c r="M336" s="460"/>
      <c r="N336" s="220"/>
      <c r="O336" s="220"/>
      <c r="P336" s="220"/>
      <c r="Q336" s="220"/>
      <c r="R336" s="221"/>
      <c r="S336" s="221"/>
      <c r="T336" s="316">
        <f t="shared" si="29"/>
        <v>0</v>
      </c>
      <c r="U336" s="217">
        <f t="shared" si="30"/>
        <v>0</v>
      </c>
      <c r="X336" s="26" t="str">
        <f t="shared" si="31"/>
        <v/>
      </c>
      <c r="Y336" s="21" t="str">
        <f>IF(MATCH(X336,X$300:$X337,0),"Si",1)</f>
        <v>Si</v>
      </c>
      <c r="Z336" s="26">
        <f t="shared" si="32"/>
        <v>0</v>
      </c>
      <c r="AA336" s="26">
        <f t="shared" si="33"/>
        <v>0</v>
      </c>
      <c r="AB336" s="26" t="str">
        <f t="shared" si="34"/>
        <v/>
      </c>
      <c r="AC336" s="26" t="str">
        <f>IF(MATCH(AB336,AB$300:$AB337,0),"0",1)</f>
        <v>0</v>
      </c>
    </row>
    <row r="337" spans="2:29" x14ac:dyDescent="0.35">
      <c r="B337" s="219"/>
      <c r="C337" s="216" t="s">
        <v>602</v>
      </c>
      <c r="D337" s="216"/>
      <c r="E337" s="220"/>
      <c r="F337" s="220"/>
      <c r="G337" s="220"/>
      <c r="H337" s="220" t="str">
        <f t="shared" si="28"/>
        <v/>
      </c>
      <c r="I337" s="460"/>
      <c r="J337" s="460"/>
      <c r="K337" s="460"/>
      <c r="L337" s="460"/>
      <c r="M337" s="460"/>
      <c r="N337" s="220"/>
      <c r="O337" s="220"/>
      <c r="P337" s="220"/>
      <c r="Q337" s="220"/>
      <c r="R337" s="221"/>
      <c r="S337" s="221"/>
      <c r="T337" s="316">
        <f t="shared" si="29"/>
        <v>0</v>
      </c>
      <c r="U337" s="217">
        <f t="shared" si="30"/>
        <v>0</v>
      </c>
      <c r="X337" s="26" t="str">
        <f t="shared" si="31"/>
        <v/>
      </c>
      <c r="Y337" s="21" t="str">
        <f>IF(MATCH(X337,X$300:$X338,0),"Si",1)</f>
        <v>Si</v>
      </c>
      <c r="Z337" s="26">
        <f t="shared" si="32"/>
        <v>0</v>
      </c>
      <c r="AA337" s="26">
        <f t="shared" si="33"/>
        <v>0</v>
      </c>
      <c r="AB337" s="26" t="str">
        <f t="shared" si="34"/>
        <v/>
      </c>
      <c r="AC337" s="26" t="str">
        <f>IF(MATCH(AB337,AB$300:$AB338,0),"0",1)</f>
        <v>0</v>
      </c>
    </row>
    <row r="338" spans="2:29" x14ac:dyDescent="0.35">
      <c r="B338" s="219"/>
      <c r="C338" s="216" t="s">
        <v>603</v>
      </c>
      <c r="D338" s="216"/>
      <c r="E338" s="220"/>
      <c r="F338" s="220"/>
      <c r="G338" s="220"/>
      <c r="H338" s="220" t="str">
        <f t="shared" ref="H338:H401" si="35">IF(G338=0,"",IF(G338&lt;&gt;"Error","No",""))</f>
        <v/>
      </c>
      <c r="I338" s="460"/>
      <c r="J338" s="460"/>
      <c r="K338" s="460"/>
      <c r="L338" s="460"/>
      <c r="M338" s="460"/>
      <c r="N338" s="220"/>
      <c r="O338" s="220"/>
      <c r="P338" s="220"/>
      <c r="Q338" s="220"/>
      <c r="R338" s="221"/>
      <c r="S338" s="221"/>
      <c r="T338" s="316">
        <f t="shared" si="29"/>
        <v>0</v>
      </c>
      <c r="U338" s="217">
        <f t="shared" si="30"/>
        <v>0</v>
      </c>
      <c r="X338" s="26" t="str">
        <f t="shared" si="31"/>
        <v/>
      </c>
      <c r="Y338" s="21" t="str">
        <f>IF(MATCH(X338,X$300:$X339,0),"Si",1)</f>
        <v>Si</v>
      </c>
      <c r="Z338" s="26">
        <f t="shared" si="32"/>
        <v>0</v>
      </c>
      <c r="AA338" s="26">
        <f t="shared" si="33"/>
        <v>0</v>
      </c>
      <c r="AB338" s="26" t="str">
        <f t="shared" si="34"/>
        <v/>
      </c>
      <c r="AC338" s="26" t="str">
        <f>IF(MATCH(AB338,AB$300:$AB339,0),"0",1)</f>
        <v>0</v>
      </c>
    </row>
    <row r="339" spans="2:29" x14ac:dyDescent="0.35">
      <c r="B339" s="219"/>
      <c r="C339" s="216" t="s">
        <v>604</v>
      </c>
      <c r="D339" s="216"/>
      <c r="E339" s="220"/>
      <c r="F339" s="220"/>
      <c r="G339" s="220"/>
      <c r="H339" s="220" t="str">
        <f t="shared" si="35"/>
        <v/>
      </c>
      <c r="I339" s="460"/>
      <c r="J339" s="460"/>
      <c r="K339" s="460"/>
      <c r="L339" s="460"/>
      <c r="M339" s="460"/>
      <c r="N339" s="220"/>
      <c r="O339" s="220"/>
      <c r="P339" s="220"/>
      <c r="Q339" s="220"/>
      <c r="R339" s="221"/>
      <c r="S339" s="221"/>
      <c r="T339" s="316">
        <f t="shared" ref="T339:T402" si="36">IF(S339=0,0,IF(S339&lt;R339,"Error en fecha solución",IFERROR(AC339,NETWORKDAYS(R339,S339)-1)))</f>
        <v>0</v>
      </c>
      <c r="U339" s="217">
        <f t="shared" ref="U339:U402" si="37">IFERROR(T339*8,"Error")</f>
        <v>0</v>
      </c>
      <c r="X339" s="26" t="str">
        <f t="shared" ref="X339:X402" si="38">CONCATENATE(H339,O339,R339,S339)</f>
        <v/>
      </c>
      <c r="Y339" s="21" t="str">
        <f>IF(MATCH(X339,X$300:$X340,0),"Si",1)</f>
        <v>Si</v>
      </c>
      <c r="Z339" s="26">
        <f t="shared" ref="Z339:Z402" si="39">IF(S339=0,0,IF(S339&lt;R339,"Error en fecha solución",IF(Y339="Si",0,IFERROR(Y339,NETWORKDAYS(R339,S339)-1))))</f>
        <v>0</v>
      </c>
      <c r="AA339" s="26">
        <f t="shared" ref="AA339:AA402" si="40">IF(S339=0,0,IF(S339&lt;R339,"Error en fecha solución",IFERROR(Z339,NETWORKDAYS(R339,S339)-1)))</f>
        <v>0</v>
      </c>
      <c r="AB339" s="26" t="str">
        <f t="shared" ref="AB339:AB402" si="41">CONCATENATE(R339,S339)</f>
        <v/>
      </c>
      <c r="AC339" s="26" t="str">
        <f>IF(MATCH(AB339,AB$300:$AB340,0),"0",1)</f>
        <v>0</v>
      </c>
    </row>
    <row r="340" spans="2:29" x14ac:dyDescent="0.35">
      <c r="B340" s="219"/>
      <c r="C340" s="216" t="s">
        <v>605</v>
      </c>
      <c r="D340" s="216"/>
      <c r="E340" s="220"/>
      <c r="F340" s="220"/>
      <c r="G340" s="220"/>
      <c r="H340" s="220" t="str">
        <f t="shared" si="35"/>
        <v/>
      </c>
      <c r="I340" s="460"/>
      <c r="J340" s="460"/>
      <c r="K340" s="460"/>
      <c r="L340" s="460"/>
      <c r="M340" s="460"/>
      <c r="N340" s="220"/>
      <c r="O340" s="220"/>
      <c r="P340" s="220"/>
      <c r="Q340" s="220"/>
      <c r="R340" s="221"/>
      <c r="S340" s="221"/>
      <c r="T340" s="316">
        <f t="shared" si="36"/>
        <v>0</v>
      </c>
      <c r="U340" s="217">
        <f t="shared" si="37"/>
        <v>0</v>
      </c>
      <c r="X340" s="26" t="str">
        <f t="shared" si="38"/>
        <v/>
      </c>
      <c r="Y340" s="21" t="str">
        <f>IF(MATCH(X340,X$300:$X341,0),"Si",1)</f>
        <v>Si</v>
      </c>
      <c r="Z340" s="26">
        <f t="shared" si="39"/>
        <v>0</v>
      </c>
      <c r="AA340" s="26">
        <f t="shared" si="40"/>
        <v>0</v>
      </c>
      <c r="AB340" s="26" t="str">
        <f t="shared" si="41"/>
        <v/>
      </c>
      <c r="AC340" s="26" t="str">
        <f>IF(MATCH(AB340,AB$300:$AB341,0),"0",1)</f>
        <v>0</v>
      </c>
    </row>
    <row r="341" spans="2:29" x14ac:dyDescent="0.35">
      <c r="B341" s="219"/>
      <c r="C341" s="216" t="s">
        <v>606</v>
      </c>
      <c r="D341" s="216"/>
      <c r="E341" s="220"/>
      <c r="F341" s="220"/>
      <c r="G341" s="220"/>
      <c r="H341" s="220" t="str">
        <f t="shared" si="35"/>
        <v/>
      </c>
      <c r="I341" s="460"/>
      <c r="J341" s="460"/>
      <c r="K341" s="460"/>
      <c r="L341" s="460"/>
      <c r="M341" s="460"/>
      <c r="N341" s="220"/>
      <c r="O341" s="220"/>
      <c r="P341" s="220"/>
      <c r="Q341" s="220"/>
      <c r="R341" s="221"/>
      <c r="S341" s="221"/>
      <c r="T341" s="316">
        <f t="shared" si="36"/>
        <v>0</v>
      </c>
      <c r="U341" s="217">
        <f t="shared" si="37"/>
        <v>0</v>
      </c>
      <c r="X341" s="26" t="str">
        <f t="shared" si="38"/>
        <v/>
      </c>
      <c r="Y341" s="21" t="str">
        <f>IF(MATCH(X341,X$300:$X342,0),"Si",1)</f>
        <v>Si</v>
      </c>
      <c r="Z341" s="26">
        <f t="shared" si="39"/>
        <v>0</v>
      </c>
      <c r="AA341" s="26">
        <f t="shared" si="40"/>
        <v>0</v>
      </c>
      <c r="AB341" s="26" t="str">
        <f t="shared" si="41"/>
        <v/>
      </c>
      <c r="AC341" s="26" t="str">
        <f>IF(MATCH(AB341,AB$300:$AB342,0),"0",1)</f>
        <v>0</v>
      </c>
    </row>
    <row r="342" spans="2:29" x14ac:dyDescent="0.35">
      <c r="B342" s="219"/>
      <c r="C342" s="216" t="s">
        <v>607</v>
      </c>
      <c r="D342" s="216"/>
      <c r="E342" s="220"/>
      <c r="F342" s="220"/>
      <c r="G342" s="220"/>
      <c r="H342" s="220" t="str">
        <f t="shared" si="35"/>
        <v/>
      </c>
      <c r="I342" s="460"/>
      <c r="J342" s="460"/>
      <c r="K342" s="460"/>
      <c r="L342" s="460"/>
      <c r="M342" s="460"/>
      <c r="N342" s="220"/>
      <c r="O342" s="220"/>
      <c r="P342" s="220"/>
      <c r="Q342" s="220"/>
      <c r="R342" s="221"/>
      <c r="S342" s="221"/>
      <c r="T342" s="316">
        <f t="shared" si="36"/>
        <v>0</v>
      </c>
      <c r="U342" s="217">
        <f t="shared" si="37"/>
        <v>0</v>
      </c>
      <c r="X342" s="26" t="str">
        <f t="shared" si="38"/>
        <v/>
      </c>
      <c r="Y342" s="21" t="str">
        <f>IF(MATCH(X342,X$300:$X343,0),"Si",1)</f>
        <v>Si</v>
      </c>
      <c r="Z342" s="26">
        <f t="shared" si="39"/>
        <v>0</v>
      </c>
      <c r="AA342" s="26">
        <f t="shared" si="40"/>
        <v>0</v>
      </c>
      <c r="AB342" s="26" t="str">
        <f t="shared" si="41"/>
        <v/>
      </c>
      <c r="AC342" s="26" t="str">
        <f>IF(MATCH(AB342,AB$300:$AB343,0),"0",1)</f>
        <v>0</v>
      </c>
    </row>
    <row r="343" spans="2:29" x14ac:dyDescent="0.35">
      <c r="B343" s="219"/>
      <c r="C343" s="216" t="s">
        <v>608</v>
      </c>
      <c r="D343" s="216"/>
      <c r="E343" s="220"/>
      <c r="F343" s="220"/>
      <c r="G343" s="220"/>
      <c r="H343" s="220" t="str">
        <f t="shared" si="35"/>
        <v/>
      </c>
      <c r="I343" s="460"/>
      <c r="J343" s="460"/>
      <c r="K343" s="460"/>
      <c r="L343" s="460"/>
      <c r="M343" s="460"/>
      <c r="N343" s="220"/>
      <c r="O343" s="220"/>
      <c r="P343" s="220"/>
      <c r="Q343" s="220"/>
      <c r="R343" s="221"/>
      <c r="S343" s="221"/>
      <c r="T343" s="316">
        <f t="shared" si="36"/>
        <v>0</v>
      </c>
      <c r="U343" s="217">
        <f t="shared" si="37"/>
        <v>0</v>
      </c>
      <c r="X343" s="26" t="str">
        <f t="shared" si="38"/>
        <v/>
      </c>
      <c r="Y343" s="21" t="str">
        <f>IF(MATCH(X343,X$300:$X344,0),"Si",1)</f>
        <v>Si</v>
      </c>
      <c r="Z343" s="26">
        <f t="shared" si="39"/>
        <v>0</v>
      </c>
      <c r="AA343" s="26">
        <f t="shared" si="40"/>
        <v>0</v>
      </c>
      <c r="AB343" s="26" t="str">
        <f t="shared" si="41"/>
        <v/>
      </c>
      <c r="AC343" s="26" t="str">
        <f>IF(MATCH(AB343,AB$300:$AB344,0),"0",1)</f>
        <v>0</v>
      </c>
    </row>
    <row r="344" spans="2:29" x14ac:dyDescent="0.35">
      <c r="B344" s="219"/>
      <c r="C344" s="216" t="s">
        <v>609</v>
      </c>
      <c r="D344" s="216"/>
      <c r="E344" s="220"/>
      <c r="F344" s="220"/>
      <c r="G344" s="220"/>
      <c r="H344" s="220" t="str">
        <f t="shared" si="35"/>
        <v/>
      </c>
      <c r="I344" s="460"/>
      <c r="J344" s="460"/>
      <c r="K344" s="460"/>
      <c r="L344" s="460"/>
      <c r="M344" s="460"/>
      <c r="N344" s="220"/>
      <c r="O344" s="220"/>
      <c r="P344" s="220"/>
      <c r="Q344" s="220"/>
      <c r="R344" s="221"/>
      <c r="S344" s="221"/>
      <c r="T344" s="316">
        <f t="shared" si="36"/>
        <v>0</v>
      </c>
      <c r="U344" s="217">
        <f t="shared" si="37"/>
        <v>0</v>
      </c>
      <c r="X344" s="26" t="str">
        <f t="shared" si="38"/>
        <v/>
      </c>
      <c r="Y344" s="21" t="str">
        <f>IF(MATCH(X344,X$300:$X345,0),"Si",1)</f>
        <v>Si</v>
      </c>
      <c r="Z344" s="26">
        <f t="shared" si="39"/>
        <v>0</v>
      </c>
      <c r="AA344" s="26">
        <f t="shared" si="40"/>
        <v>0</v>
      </c>
      <c r="AB344" s="26" t="str">
        <f t="shared" si="41"/>
        <v/>
      </c>
      <c r="AC344" s="26" t="str">
        <f>IF(MATCH(AB344,AB$300:$AB345,0),"0",1)</f>
        <v>0</v>
      </c>
    </row>
    <row r="345" spans="2:29" x14ac:dyDescent="0.35">
      <c r="B345" s="219"/>
      <c r="C345" s="216" t="s">
        <v>610</v>
      </c>
      <c r="D345" s="216"/>
      <c r="E345" s="220"/>
      <c r="F345" s="220"/>
      <c r="G345" s="220"/>
      <c r="H345" s="220" t="str">
        <f t="shared" si="35"/>
        <v/>
      </c>
      <c r="I345" s="460"/>
      <c r="J345" s="460"/>
      <c r="K345" s="460"/>
      <c r="L345" s="460"/>
      <c r="M345" s="460"/>
      <c r="N345" s="220"/>
      <c r="O345" s="220"/>
      <c r="P345" s="220"/>
      <c r="Q345" s="220"/>
      <c r="R345" s="221"/>
      <c r="S345" s="221"/>
      <c r="T345" s="316">
        <f t="shared" si="36"/>
        <v>0</v>
      </c>
      <c r="U345" s="217">
        <f t="shared" si="37"/>
        <v>0</v>
      </c>
      <c r="X345" s="26" t="str">
        <f t="shared" si="38"/>
        <v/>
      </c>
      <c r="Y345" s="21" t="str">
        <f>IF(MATCH(X345,X$300:$X346,0),"Si",1)</f>
        <v>Si</v>
      </c>
      <c r="Z345" s="26">
        <f t="shared" si="39"/>
        <v>0</v>
      </c>
      <c r="AA345" s="26">
        <f t="shared" si="40"/>
        <v>0</v>
      </c>
      <c r="AB345" s="26" t="str">
        <f t="shared" si="41"/>
        <v/>
      </c>
      <c r="AC345" s="26" t="str">
        <f>IF(MATCH(AB345,AB$300:$AB346,0),"0",1)</f>
        <v>0</v>
      </c>
    </row>
    <row r="346" spans="2:29" x14ac:dyDescent="0.35">
      <c r="B346" s="219"/>
      <c r="C346" s="216" t="s">
        <v>611</v>
      </c>
      <c r="D346" s="216"/>
      <c r="E346" s="220"/>
      <c r="F346" s="220"/>
      <c r="G346" s="220"/>
      <c r="H346" s="220" t="str">
        <f t="shared" si="35"/>
        <v/>
      </c>
      <c r="I346" s="460"/>
      <c r="J346" s="460"/>
      <c r="K346" s="460"/>
      <c r="L346" s="460"/>
      <c r="M346" s="460"/>
      <c r="N346" s="220"/>
      <c r="O346" s="220"/>
      <c r="P346" s="220"/>
      <c r="Q346" s="220"/>
      <c r="R346" s="221"/>
      <c r="S346" s="221"/>
      <c r="T346" s="316">
        <f t="shared" si="36"/>
        <v>0</v>
      </c>
      <c r="U346" s="217">
        <f t="shared" si="37"/>
        <v>0</v>
      </c>
      <c r="X346" s="26" t="str">
        <f t="shared" si="38"/>
        <v/>
      </c>
      <c r="Y346" s="21" t="str">
        <f>IF(MATCH(X346,X$300:$X347,0),"Si",1)</f>
        <v>Si</v>
      </c>
      <c r="Z346" s="26">
        <f t="shared" si="39"/>
        <v>0</v>
      </c>
      <c r="AA346" s="26">
        <f t="shared" si="40"/>
        <v>0</v>
      </c>
      <c r="AB346" s="26" t="str">
        <f t="shared" si="41"/>
        <v/>
      </c>
      <c r="AC346" s="26" t="str">
        <f>IF(MATCH(AB346,AB$300:$AB347,0),"0",1)</f>
        <v>0</v>
      </c>
    </row>
    <row r="347" spans="2:29" x14ac:dyDescent="0.35">
      <c r="B347" s="219"/>
      <c r="C347" s="216" t="s">
        <v>612</v>
      </c>
      <c r="D347" s="216"/>
      <c r="E347" s="220"/>
      <c r="F347" s="220"/>
      <c r="G347" s="220"/>
      <c r="H347" s="220" t="str">
        <f t="shared" si="35"/>
        <v/>
      </c>
      <c r="I347" s="460"/>
      <c r="J347" s="460"/>
      <c r="K347" s="460"/>
      <c r="L347" s="460"/>
      <c r="M347" s="460"/>
      <c r="N347" s="220"/>
      <c r="O347" s="220"/>
      <c r="P347" s="220"/>
      <c r="Q347" s="220"/>
      <c r="R347" s="221"/>
      <c r="S347" s="221"/>
      <c r="T347" s="316">
        <f t="shared" si="36"/>
        <v>0</v>
      </c>
      <c r="U347" s="217">
        <f t="shared" si="37"/>
        <v>0</v>
      </c>
      <c r="X347" s="26" t="str">
        <f t="shared" si="38"/>
        <v/>
      </c>
      <c r="Y347" s="21" t="str">
        <f>IF(MATCH(X347,X$300:$X348,0),"Si",1)</f>
        <v>Si</v>
      </c>
      <c r="Z347" s="26">
        <f t="shared" si="39"/>
        <v>0</v>
      </c>
      <c r="AA347" s="26">
        <f t="shared" si="40"/>
        <v>0</v>
      </c>
      <c r="AB347" s="26" t="str">
        <f t="shared" si="41"/>
        <v/>
      </c>
      <c r="AC347" s="26" t="str">
        <f>IF(MATCH(AB347,AB$300:$AB348,0),"0",1)</f>
        <v>0</v>
      </c>
    </row>
    <row r="348" spans="2:29" x14ac:dyDescent="0.35">
      <c r="B348" s="219"/>
      <c r="C348" s="216" t="s">
        <v>613</v>
      </c>
      <c r="D348" s="216"/>
      <c r="E348" s="220"/>
      <c r="F348" s="220"/>
      <c r="G348" s="220"/>
      <c r="H348" s="220" t="str">
        <f t="shared" si="35"/>
        <v/>
      </c>
      <c r="I348" s="460"/>
      <c r="J348" s="460"/>
      <c r="K348" s="460"/>
      <c r="L348" s="460"/>
      <c r="M348" s="460"/>
      <c r="N348" s="220"/>
      <c r="O348" s="220"/>
      <c r="P348" s="220"/>
      <c r="Q348" s="220"/>
      <c r="R348" s="221"/>
      <c r="S348" s="221"/>
      <c r="T348" s="316">
        <f t="shared" si="36"/>
        <v>0</v>
      </c>
      <c r="U348" s="217">
        <f t="shared" si="37"/>
        <v>0</v>
      </c>
      <c r="X348" s="26" t="str">
        <f t="shared" si="38"/>
        <v/>
      </c>
      <c r="Y348" s="21" t="str">
        <f>IF(MATCH(X348,X$300:$X349,0),"Si",1)</f>
        <v>Si</v>
      </c>
      <c r="Z348" s="26">
        <f t="shared" si="39"/>
        <v>0</v>
      </c>
      <c r="AA348" s="26">
        <f t="shared" si="40"/>
        <v>0</v>
      </c>
      <c r="AB348" s="26" t="str">
        <f t="shared" si="41"/>
        <v/>
      </c>
      <c r="AC348" s="26" t="str">
        <f>IF(MATCH(AB348,AB$300:$AB349,0),"0",1)</f>
        <v>0</v>
      </c>
    </row>
    <row r="349" spans="2:29" x14ac:dyDescent="0.35">
      <c r="B349" s="219"/>
      <c r="C349" s="216" t="s">
        <v>614</v>
      </c>
      <c r="D349" s="216"/>
      <c r="E349" s="220"/>
      <c r="F349" s="220"/>
      <c r="G349" s="220"/>
      <c r="H349" s="220" t="str">
        <f t="shared" si="35"/>
        <v/>
      </c>
      <c r="I349" s="460"/>
      <c r="J349" s="460"/>
      <c r="K349" s="460"/>
      <c r="L349" s="460"/>
      <c r="M349" s="460"/>
      <c r="N349" s="220"/>
      <c r="O349" s="220"/>
      <c r="P349" s="220"/>
      <c r="Q349" s="220"/>
      <c r="R349" s="221"/>
      <c r="S349" s="221"/>
      <c r="T349" s="316">
        <f t="shared" si="36"/>
        <v>0</v>
      </c>
      <c r="U349" s="217">
        <f t="shared" si="37"/>
        <v>0</v>
      </c>
      <c r="X349" s="26" t="str">
        <f t="shared" si="38"/>
        <v/>
      </c>
      <c r="Y349" s="21" t="str">
        <f>IF(MATCH(X349,X$300:$X350,0),"Si",1)</f>
        <v>Si</v>
      </c>
      <c r="Z349" s="26">
        <f t="shared" si="39"/>
        <v>0</v>
      </c>
      <c r="AA349" s="26">
        <f t="shared" si="40"/>
        <v>0</v>
      </c>
      <c r="AB349" s="26" t="str">
        <f t="shared" si="41"/>
        <v/>
      </c>
      <c r="AC349" s="26" t="str">
        <f>IF(MATCH(AB349,AB$300:$AB350,0),"0",1)</f>
        <v>0</v>
      </c>
    </row>
    <row r="350" spans="2:29" x14ac:dyDescent="0.35">
      <c r="B350" s="219"/>
      <c r="C350" s="216" t="s">
        <v>615</v>
      </c>
      <c r="D350" s="216"/>
      <c r="E350" s="220"/>
      <c r="F350" s="220"/>
      <c r="G350" s="220"/>
      <c r="H350" s="220" t="str">
        <f t="shared" si="35"/>
        <v/>
      </c>
      <c r="I350" s="460"/>
      <c r="J350" s="460"/>
      <c r="K350" s="460"/>
      <c r="L350" s="460"/>
      <c r="M350" s="460"/>
      <c r="N350" s="220"/>
      <c r="O350" s="220"/>
      <c r="P350" s="220"/>
      <c r="Q350" s="220"/>
      <c r="R350" s="221"/>
      <c r="S350" s="221"/>
      <c r="T350" s="316">
        <f t="shared" si="36"/>
        <v>0</v>
      </c>
      <c r="U350" s="217">
        <f t="shared" si="37"/>
        <v>0</v>
      </c>
      <c r="X350" s="26" t="str">
        <f t="shared" si="38"/>
        <v/>
      </c>
      <c r="Y350" s="21" t="str">
        <f>IF(MATCH(X350,X$300:$X351,0),"Si",1)</f>
        <v>Si</v>
      </c>
      <c r="Z350" s="26">
        <f t="shared" si="39"/>
        <v>0</v>
      </c>
      <c r="AA350" s="26">
        <f t="shared" si="40"/>
        <v>0</v>
      </c>
      <c r="AB350" s="26" t="str">
        <f t="shared" si="41"/>
        <v/>
      </c>
      <c r="AC350" s="26" t="str">
        <f>IF(MATCH(AB350,AB$300:$AB351,0),"0",1)</f>
        <v>0</v>
      </c>
    </row>
    <row r="351" spans="2:29" x14ac:dyDescent="0.35">
      <c r="B351" s="219"/>
      <c r="C351" s="216" t="s">
        <v>616</v>
      </c>
      <c r="D351" s="216"/>
      <c r="E351" s="220"/>
      <c r="F351" s="220"/>
      <c r="G351" s="220"/>
      <c r="H351" s="220" t="str">
        <f t="shared" si="35"/>
        <v/>
      </c>
      <c r="I351" s="460"/>
      <c r="J351" s="460"/>
      <c r="K351" s="460"/>
      <c r="L351" s="460"/>
      <c r="M351" s="460"/>
      <c r="N351" s="220"/>
      <c r="O351" s="220"/>
      <c r="P351" s="220"/>
      <c r="Q351" s="220"/>
      <c r="R351" s="221"/>
      <c r="S351" s="221"/>
      <c r="T351" s="316">
        <f t="shared" si="36"/>
        <v>0</v>
      </c>
      <c r="U351" s="217">
        <f t="shared" si="37"/>
        <v>0</v>
      </c>
      <c r="X351" s="26" t="str">
        <f t="shared" si="38"/>
        <v/>
      </c>
      <c r="Y351" s="21" t="str">
        <f>IF(MATCH(X351,X$300:$X352,0),"Si",1)</f>
        <v>Si</v>
      </c>
      <c r="Z351" s="26">
        <f t="shared" si="39"/>
        <v>0</v>
      </c>
      <c r="AA351" s="26">
        <f t="shared" si="40"/>
        <v>0</v>
      </c>
      <c r="AB351" s="26" t="str">
        <f t="shared" si="41"/>
        <v/>
      </c>
      <c r="AC351" s="26" t="str">
        <f>IF(MATCH(AB351,AB$300:$AB352,0),"0",1)</f>
        <v>0</v>
      </c>
    </row>
    <row r="352" spans="2:29" x14ac:dyDescent="0.35">
      <c r="B352" s="219"/>
      <c r="C352" s="216" t="s">
        <v>617</v>
      </c>
      <c r="D352" s="216"/>
      <c r="E352" s="220"/>
      <c r="F352" s="220"/>
      <c r="G352" s="220"/>
      <c r="H352" s="220" t="str">
        <f t="shared" si="35"/>
        <v/>
      </c>
      <c r="I352" s="460"/>
      <c r="J352" s="460"/>
      <c r="K352" s="460"/>
      <c r="L352" s="460"/>
      <c r="M352" s="460"/>
      <c r="N352" s="220"/>
      <c r="O352" s="220"/>
      <c r="P352" s="220"/>
      <c r="Q352" s="220"/>
      <c r="R352" s="221"/>
      <c r="S352" s="221"/>
      <c r="T352" s="316">
        <f t="shared" si="36"/>
        <v>0</v>
      </c>
      <c r="U352" s="217">
        <f t="shared" si="37"/>
        <v>0</v>
      </c>
      <c r="X352" s="26" t="str">
        <f t="shared" si="38"/>
        <v/>
      </c>
      <c r="Y352" s="21" t="str">
        <f>IF(MATCH(X352,X$300:$X353,0),"Si",1)</f>
        <v>Si</v>
      </c>
      <c r="Z352" s="26">
        <f t="shared" si="39"/>
        <v>0</v>
      </c>
      <c r="AA352" s="26">
        <f t="shared" si="40"/>
        <v>0</v>
      </c>
      <c r="AB352" s="26" t="str">
        <f t="shared" si="41"/>
        <v/>
      </c>
      <c r="AC352" s="26" t="str">
        <f>IF(MATCH(AB352,AB$300:$AB353,0),"0",1)</f>
        <v>0</v>
      </c>
    </row>
    <row r="353" spans="2:29" x14ac:dyDescent="0.35">
      <c r="B353" s="219"/>
      <c r="C353" s="216" t="s">
        <v>618</v>
      </c>
      <c r="D353" s="216"/>
      <c r="E353" s="220"/>
      <c r="F353" s="220"/>
      <c r="G353" s="220"/>
      <c r="H353" s="220" t="str">
        <f t="shared" si="35"/>
        <v/>
      </c>
      <c r="I353" s="460"/>
      <c r="J353" s="460"/>
      <c r="K353" s="460"/>
      <c r="L353" s="460"/>
      <c r="M353" s="460"/>
      <c r="N353" s="220"/>
      <c r="O353" s="220"/>
      <c r="P353" s="220"/>
      <c r="Q353" s="220"/>
      <c r="R353" s="221"/>
      <c r="S353" s="221"/>
      <c r="T353" s="316">
        <f t="shared" si="36"/>
        <v>0</v>
      </c>
      <c r="U353" s="217">
        <f t="shared" si="37"/>
        <v>0</v>
      </c>
      <c r="X353" s="26" t="str">
        <f t="shared" si="38"/>
        <v/>
      </c>
      <c r="Y353" s="21" t="str">
        <f>IF(MATCH(X353,X$300:$X354,0),"Si",1)</f>
        <v>Si</v>
      </c>
      <c r="Z353" s="26">
        <f t="shared" si="39"/>
        <v>0</v>
      </c>
      <c r="AA353" s="26">
        <f t="shared" si="40"/>
        <v>0</v>
      </c>
      <c r="AB353" s="26" t="str">
        <f t="shared" si="41"/>
        <v/>
      </c>
      <c r="AC353" s="26" t="str">
        <f>IF(MATCH(AB353,AB$300:$AB354,0),"0",1)</f>
        <v>0</v>
      </c>
    </row>
    <row r="354" spans="2:29" x14ac:dyDescent="0.35">
      <c r="B354" s="219"/>
      <c r="C354" s="216" t="s">
        <v>619</v>
      </c>
      <c r="D354" s="216"/>
      <c r="E354" s="220"/>
      <c r="F354" s="220"/>
      <c r="G354" s="220"/>
      <c r="H354" s="220" t="str">
        <f t="shared" si="35"/>
        <v/>
      </c>
      <c r="I354" s="460"/>
      <c r="J354" s="460"/>
      <c r="K354" s="460"/>
      <c r="L354" s="460"/>
      <c r="M354" s="460"/>
      <c r="N354" s="220"/>
      <c r="O354" s="220"/>
      <c r="P354" s="220"/>
      <c r="Q354" s="220"/>
      <c r="R354" s="221"/>
      <c r="S354" s="221"/>
      <c r="T354" s="316">
        <f t="shared" si="36"/>
        <v>0</v>
      </c>
      <c r="U354" s="217">
        <f t="shared" si="37"/>
        <v>0</v>
      </c>
      <c r="X354" s="26" t="str">
        <f t="shared" si="38"/>
        <v/>
      </c>
      <c r="Y354" s="21" t="str">
        <f>IF(MATCH(X354,X$300:$X355,0),"Si",1)</f>
        <v>Si</v>
      </c>
      <c r="Z354" s="26">
        <f t="shared" si="39"/>
        <v>0</v>
      </c>
      <c r="AA354" s="26">
        <f t="shared" si="40"/>
        <v>0</v>
      </c>
      <c r="AB354" s="26" t="str">
        <f t="shared" si="41"/>
        <v/>
      </c>
      <c r="AC354" s="26" t="str">
        <f>IF(MATCH(AB354,AB$300:$AB355,0),"0",1)</f>
        <v>0</v>
      </c>
    </row>
    <row r="355" spans="2:29" x14ac:dyDescent="0.35">
      <c r="B355" s="219"/>
      <c r="C355" s="216" t="s">
        <v>620</v>
      </c>
      <c r="D355" s="216"/>
      <c r="E355" s="220"/>
      <c r="F355" s="220"/>
      <c r="G355" s="220"/>
      <c r="H355" s="220" t="str">
        <f t="shared" si="35"/>
        <v/>
      </c>
      <c r="I355" s="460"/>
      <c r="J355" s="460"/>
      <c r="K355" s="460"/>
      <c r="L355" s="460"/>
      <c r="M355" s="460"/>
      <c r="N355" s="220"/>
      <c r="O355" s="220"/>
      <c r="P355" s="220"/>
      <c r="Q355" s="220"/>
      <c r="R355" s="221"/>
      <c r="S355" s="221"/>
      <c r="T355" s="316">
        <f t="shared" si="36"/>
        <v>0</v>
      </c>
      <c r="U355" s="217">
        <f t="shared" si="37"/>
        <v>0</v>
      </c>
      <c r="X355" s="26" t="str">
        <f t="shared" si="38"/>
        <v/>
      </c>
      <c r="Y355" s="21" t="str">
        <f>IF(MATCH(X355,X$300:$X356,0),"Si",1)</f>
        <v>Si</v>
      </c>
      <c r="Z355" s="26">
        <f t="shared" si="39"/>
        <v>0</v>
      </c>
      <c r="AA355" s="26">
        <f t="shared" si="40"/>
        <v>0</v>
      </c>
      <c r="AB355" s="26" t="str">
        <f t="shared" si="41"/>
        <v/>
      </c>
      <c r="AC355" s="26" t="str">
        <f>IF(MATCH(AB355,AB$300:$AB356,0),"0",1)</f>
        <v>0</v>
      </c>
    </row>
    <row r="356" spans="2:29" x14ac:dyDescent="0.35">
      <c r="B356" s="219"/>
      <c r="C356" s="216" t="s">
        <v>621</v>
      </c>
      <c r="D356" s="216"/>
      <c r="E356" s="220"/>
      <c r="F356" s="220"/>
      <c r="G356" s="220"/>
      <c r="H356" s="220" t="str">
        <f t="shared" si="35"/>
        <v/>
      </c>
      <c r="I356" s="460"/>
      <c r="J356" s="460"/>
      <c r="K356" s="460"/>
      <c r="L356" s="460"/>
      <c r="M356" s="460"/>
      <c r="N356" s="220"/>
      <c r="O356" s="220"/>
      <c r="P356" s="220"/>
      <c r="Q356" s="220"/>
      <c r="R356" s="221"/>
      <c r="S356" s="221"/>
      <c r="T356" s="316">
        <f t="shared" si="36"/>
        <v>0</v>
      </c>
      <c r="U356" s="217">
        <f t="shared" si="37"/>
        <v>0</v>
      </c>
      <c r="X356" s="26" t="str">
        <f t="shared" si="38"/>
        <v/>
      </c>
      <c r="Y356" s="21" t="str">
        <f>IF(MATCH(X356,X$300:$X357,0),"Si",1)</f>
        <v>Si</v>
      </c>
      <c r="Z356" s="26">
        <f t="shared" si="39"/>
        <v>0</v>
      </c>
      <c r="AA356" s="26">
        <f t="shared" si="40"/>
        <v>0</v>
      </c>
      <c r="AB356" s="26" t="str">
        <f t="shared" si="41"/>
        <v/>
      </c>
      <c r="AC356" s="26" t="str">
        <f>IF(MATCH(AB356,AB$300:$AB357,0),"0",1)</f>
        <v>0</v>
      </c>
    </row>
    <row r="357" spans="2:29" x14ac:dyDescent="0.35">
      <c r="B357" s="219"/>
      <c r="C357" s="216" t="s">
        <v>622</v>
      </c>
      <c r="D357" s="216"/>
      <c r="E357" s="220"/>
      <c r="F357" s="220"/>
      <c r="G357" s="220"/>
      <c r="H357" s="220" t="str">
        <f t="shared" si="35"/>
        <v/>
      </c>
      <c r="I357" s="460"/>
      <c r="J357" s="460"/>
      <c r="K357" s="460"/>
      <c r="L357" s="460"/>
      <c r="M357" s="460"/>
      <c r="N357" s="220"/>
      <c r="O357" s="220"/>
      <c r="P357" s="220"/>
      <c r="Q357" s="220"/>
      <c r="R357" s="221"/>
      <c r="S357" s="221"/>
      <c r="T357" s="316">
        <f t="shared" si="36"/>
        <v>0</v>
      </c>
      <c r="U357" s="217">
        <f t="shared" si="37"/>
        <v>0</v>
      </c>
      <c r="X357" s="26" t="str">
        <f t="shared" si="38"/>
        <v/>
      </c>
      <c r="Y357" s="21" t="str">
        <f>IF(MATCH(X357,X$300:$X358,0),"Si",1)</f>
        <v>Si</v>
      </c>
      <c r="Z357" s="26">
        <f t="shared" si="39"/>
        <v>0</v>
      </c>
      <c r="AA357" s="26">
        <f t="shared" si="40"/>
        <v>0</v>
      </c>
      <c r="AB357" s="26" t="str">
        <f t="shared" si="41"/>
        <v/>
      </c>
      <c r="AC357" s="26" t="str">
        <f>IF(MATCH(AB357,AB$300:$AB358,0),"0",1)</f>
        <v>0</v>
      </c>
    </row>
    <row r="358" spans="2:29" x14ac:dyDescent="0.35">
      <c r="B358" s="219"/>
      <c r="C358" s="216" t="s">
        <v>623</v>
      </c>
      <c r="D358" s="216"/>
      <c r="E358" s="220"/>
      <c r="F358" s="220"/>
      <c r="G358" s="220"/>
      <c r="H358" s="220" t="str">
        <f t="shared" si="35"/>
        <v/>
      </c>
      <c r="I358" s="460"/>
      <c r="J358" s="460"/>
      <c r="K358" s="460"/>
      <c r="L358" s="460"/>
      <c r="M358" s="460"/>
      <c r="N358" s="220"/>
      <c r="O358" s="220"/>
      <c r="P358" s="220"/>
      <c r="Q358" s="220"/>
      <c r="R358" s="221"/>
      <c r="S358" s="221"/>
      <c r="T358" s="316">
        <f t="shared" si="36"/>
        <v>0</v>
      </c>
      <c r="U358" s="217">
        <f t="shared" si="37"/>
        <v>0</v>
      </c>
      <c r="X358" s="26" t="str">
        <f t="shared" si="38"/>
        <v/>
      </c>
      <c r="Y358" s="21" t="str">
        <f>IF(MATCH(X358,X$300:$X359,0),"Si",1)</f>
        <v>Si</v>
      </c>
      <c r="Z358" s="26">
        <f t="shared" si="39"/>
        <v>0</v>
      </c>
      <c r="AA358" s="26">
        <f t="shared" si="40"/>
        <v>0</v>
      </c>
      <c r="AB358" s="26" t="str">
        <f t="shared" si="41"/>
        <v/>
      </c>
      <c r="AC358" s="26" t="str">
        <f>IF(MATCH(AB358,AB$300:$AB359,0),"0",1)</f>
        <v>0</v>
      </c>
    </row>
    <row r="359" spans="2:29" x14ac:dyDescent="0.35">
      <c r="B359" s="219"/>
      <c r="C359" s="216" t="s">
        <v>624</v>
      </c>
      <c r="D359" s="216"/>
      <c r="E359" s="220"/>
      <c r="F359" s="220"/>
      <c r="G359" s="220"/>
      <c r="H359" s="220" t="str">
        <f t="shared" si="35"/>
        <v/>
      </c>
      <c r="I359" s="460"/>
      <c r="J359" s="460"/>
      <c r="K359" s="460"/>
      <c r="L359" s="460"/>
      <c r="M359" s="460"/>
      <c r="N359" s="220"/>
      <c r="O359" s="220"/>
      <c r="P359" s="220"/>
      <c r="Q359" s="220"/>
      <c r="R359" s="221"/>
      <c r="S359" s="221"/>
      <c r="T359" s="316">
        <f t="shared" si="36"/>
        <v>0</v>
      </c>
      <c r="U359" s="217">
        <f t="shared" si="37"/>
        <v>0</v>
      </c>
      <c r="X359" s="26" t="str">
        <f t="shared" si="38"/>
        <v/>
      </c>
      <c r="Y359" s="21" t="str">
        <f>IF(MATCH(X359,X$300:$X360,0),"Si",1)</f>
        <v>Si</v>
      </c>
      <c r="Z359" s="26">
        <f t="shared" si="39"/>
        <v>0</v>
      </c>
      <c r="AA359" s="26">
        <f t="shared" si="40"/>
        <v>0</v>
      </c>
      <c r="AB359" s="26" t="str">
        <f t="shared" si="41"/>
        <v/>
      </c>
      <c r="AC359" s="26" t="str">
        <f>IF(MATCH(AB359,AB$300:$AB360,0),"0",1)</f>
        <v>0</v>
      </c>
    </row>
    <row r="360" spans="2:29" x14ac:dyDescent="0.35">
      <c r="B360" s="219"/>
      <c r="C360" s="216" t="s">
        <v>625</v>
      </c>
      <c r="D360" s="216"/>
      <c r="E360" s="220"/>
      <c r="F360" s="220"/>
      <c r="G360" s="220"/>
      <c r="H360" s="220" t="str">
        <f t="shared" si="35"/>
        <v/>
      </c>
      <c r="I360" s="460"/>
      <c r="J360" s="460"/>
      <c r="K360" s="460"/>
      <c r="L360" s="460"/>
      <c r="M360" s="460"/>
      <c r="N360" s="220"/>
      <c r="O360" s="220"/>
      <c r="P360" s="220"/>
      <c r="Q360" s="220"/>
      <c r="R360" s="221"/>
      <c r="S360" s="221"/>
      <c r="T360" s="316">
        <f t="shared" si="36"/>
        <v>0</v>
      </c>
      <c r="U360" s="217">
        <f t="shared" si="37"/>
        <v>0</v>
      </c>
      <c r="X360" s="26" t="str">
        <f t="shared" si="38"/>
        <v/>
      </c>
      <c r="Y360" s="21" t="str">
        <f>IF(MATCH(X360,X$300:$X361,0),"Si",1)</f>
        <v>Si</v>
      </c>
      <c r="Z360" s="26">
        <f t="shared" si="39"/>
        <v>0</v>
      </c>
      <c r="AA360" s="26">
        <f t="shared" si="40"/>
        <v>0</v>
      </c>
      <c r="AB360" s="26" t="str">
        <f t="shared" si="41"/>
        <v/>
      </c>
      <c r="AC360" s="26" t="str">
        <f>IF(MATCH(AB360,AB$300:$AB361,0),"0",1)</f>
        <v>0</v>
      </c>
    </row>
    <row r="361" spans="2:29" x14ac:dyDescent="0.35">
      <c r="B361" s="219"/>
      <c r="C361" s="216" t="s">
        <v>626</v>
      </c>
      <c r="D361" s="216"/>
      <c r="E361" s="220"/>
      <c r="F361" s="220"/>
      <c r="G361" s="220"/>
      <c r="H361" s="220" t="str">
        <f t="shared" si="35"/>
        <v/>
      </c>
      <c r="I361" s="460"/>
      <c r="J361" s="460"/>
      <c r="K361" s="460"/>
      <c r="L361" s="460"/>
      <c r="M361" s="460"/>
      <c r="N361" s="220"/>
      <c r="O361" s="220"/>
      <c r="P361" s="220"/>
      <c r="Q361" s="220"/>
      <c r="R361" s="221"/>
      <c r="S361" s="221"/>
      <c r="T361" s="316">
        <f t="shared" si="36"/>
        <v>0</v>
      </c>
      <c r="U361" s="217">
        <f t="shared" si="37"/>
        <v>0</v>
      </c>
      <c r="X361" s="26" t="str">
        <f t="shared" si="38"/>
        <v/>
      </c>
      <c r="Y361" s="21" t="str">
        <f>IF(MATCH(X361,X$300:$X362,0),"Si",1)</f>
        <v>Si</v>
      </c>
      <c r="Z361" s="26">
        <f t="shared" si="39"/>
        <v>0</v>
      </c>
      <c r="AA361" s="26">
        <f t="shared" si="40"/>
        <v>0</v>
      </c>
      <c r="AB361" s="26" t="str">
        <f t="shared" si="41"/>
        <v/>
      </c>
      <c r="AC361" s="26" t="str">
        <f>IF(MATCH(AB361,AB$300:$AB362,0),"0",1)</f>
        <v>0</v>
      </c>
    </row>
    <row r="362" spans="2:29" x14ac:dyDescent="0.35">
      <c r="B362" s="219"/>
      <c r="C362" s="216" t="s">
        <v>627</v>
      </c>
      <c r="D362" s="216"/>
      <c r="E362" s="220"/>
      <c r="F362" s="220"/>
      <c r="G362" s="220"/>
      <c r="H362" s="220" t="str">
        <f t="shared" si="35"/>
        <v/>
      </c>
      <c r="I362" s="460"/>
      <c r="J362" s="460"/>
      <c r="K362" s="460"/>
      <c r="L362" s="460"/>
      <c r="M362" s="460"/>
      <c r="N362" s="220"/>
      <c r="O362" s="220"/>
      <c r="P362" s="220"/>
      <c r="Q362" s="220"/>
      <c r="R362" s="221"/>
      <c r="S362" s="221"/>
      <c r="T362" s="316">
        <f t="shared" si="36"/>
        <v>0</v>
      </c>
      <c r="U362" s="217">
        <f t="shared" si="37"/>
        <v>0</v>
      </c>
      <c r="X362" s="26" t="str">
        <f t="shared" si="38"/>
        <v/>
      </c>
      <c r="Y362" s="21" t="str">
        <f>IF(MATCH(X362,X$300:$X363,0),"Si",1)</f>
        <v>Si</v>
      </c>
      <c r="Z362" s="26">
        <f t="shared" si="39"/>
        <v>0</v>
      </c>
      <c r="AA362" s="26">
        <f t="shared" si="40"/>
        <v>0</v>
      </c>
      <c r="AB362" s="26" t="str">
        <f t="shared" si="41"/>
        <v/>
      </c>
      <c r="AC362" s="26" t="str">
        <f>IF(MATCH(AB362,AB$300:$AB363,0),"0",1)</f>
        <v>0</v>
      </c>
    </row>
    <row r="363" spans="2:29" x14ac:dyDescent="0.35">
      <c r="B363" s="219"/>
      <c r="C363" s="216" t="s">
        <v>628</v>
      </c>
      <c r="D363" s="216"/>
      <c r="E363" s="220"/>
      <c r="F363" s="220"/>
      <c r="G363" s="220"/>
      <c r="H363" s="220" t="str">
        <f t="shared" si="35"/>
        <v/>
      </c>
      <c r="I363" s="460"/>
      <c r="J363" s="460"/>
      <c r="K363" s="460"/>
      <c r="L363" s="460"/>
      <c r="M363" s="460"/>
      <c r="N363" s="220"/>
      <c r="O363" s="220"/>
      <c r="P363" s="220"/>
      <c r="Q363" s="220"/>
      <c r="R363" s="221"/>
      <c r="S363" s="221"/>
      <c r="T363" s="316">
        <f t="shared" si="36"/>
        <v>0</v>
      </c>
      <c r="U363" s="217">
        <f t="shared" si="37"/>
        <v>0</v>
      </c>
      <c r="X363" s="26" t="str">
        <f t="shared" si="38"/>
        <v/>
      </c>
      <c r="Y363" s="21" t="str">
        <f>IF(MATCH(X363,X$300:$X364,0),"Si",1)</f>
        <v>Si</v>
      </c>
      <c r="Z363" s="26">
        <f t="shared" si="39"/>
        <v>0</v>
      </c>
      <c r="AA363" s="26">
        <f t="shared" si="40"/>
        <v>0</v>
      </c>
      <c r="AB363" s="26" t="str">
        <f t="shared" si="41"/>
        <v/>
      </c>
      <c r="AC363" s="26" t="str">
        <f>IF(MATCH(AB363,AB$300:$AB364,0),"0",1)</f>
        <v>0</v>
      </c>
    </row>
    <row r="364" spans="2:29" x14ac:dyDescent="0.35">
      <c r="B364" s="219"/>
      <c r="C364" s="216" t="s">
        <v>629</v>
      </c>
      <c r="D364" s="216"/>
      <c r="E364" s="220"/>
      <c r="F364" s="220"/>
      <c r="G364" s="220"/>
      <c r="H364" s="220" t="str">
        <f t="shared" si="35"/>
        <v/>
      </c>
      <c r="I364" s="460"/>
      <c r="J364" s="460"/>
      <c r="K364" s="460"/>
      <c r="L364" s="460"/>
      <c r="M364" s="460"/>
      <c r="N364" s="220"/>
      <c r="O364" s="220"/>
      <c r="P364" s="220"/>
      <c r="Q364" s="220"/>
      <c r="R364" s="221"/>
      <c r="S364" s="221"/>
      <c r="T364" s="316">
        <f t="shared" si="36"/>
        <v>0</v>
      </c>
      <c r="U364" s="217">
        <f t="shared" si="37"/>
        <v>0</v>
      </c>
      <c r="X364" s="26" t="str">
        <f t="shared" si="38"/>
        <v/>
      </c>
      <c r="Y364" s="21" t="str">
        <f>IF(MATCH(X364,X$300:$X365,0),"Si",1)</f>
        <v>Si</v>
      </c>
      <c r="Z364" s="26">
        <f t="shared" si="39"/>
        <v>0</v>
      </c>
      <c r="AA364" s="26">
        <f t="shared" si="40"/>
        <v>0</v>
      </c>
      <c r="AB364" s="26" t="str">
        <f t="shared" si="41"/>
        <v/>
      </c>
      <c r="AC364" s="26" t="str">
        <f>IF(MATCH(AB364,AB$300:$AB365,0),"0",1)</f>
        <v>0</v>
      </c>
    </row>
    <row r="365" spans="2:29" x14ac:dyDescent="0.35">
      <c r="B365" s="219"/>
      <c r="C365" s="216" t="s">
        <v>630</v>
      </c>
      <c r="D365" s="216"/>
      <c r="E365" s="220"/>
      <c r="F365" s="220"/>
      <c r="G365" s="220"/>
      <c r="H365" s="220" t="str">
        <f t="shared" si="35"/>
        <v/>
      </c>
      <c r="I365" s="460"/>
      <c r="J365" s="460"/>
      <c r="K365" s="460"/>
      <c r="L365" s="460"/>
      <c r="M365" s="460"/>
      <c r="N365" s="220"/>
      <c r="O365" s="220"/>
      <c r="P365" s="220"/>
      <c r="Q365" s="220"/>
      <c r="R365" s="221"/>
      <c r="S365" s="221"/>
      <c r="T365" s="316">
        <f t="shared" si="36"/>
        <v>0</v>
      </c>
      <c r="U365" s="217">
        <f t="shared" si="37"/>
        <v>0</v>
      </c>
      <c r="X365" s="26" t="str">
        <f t="shared" si="38"/>
        <v/>
      </c>
      <c r="Y365" s="21" t="str">
        <f>IF(MATCH(X365,X$300:$X366,0),"Si",1)</f>
        <v>Si</v>
      </c>
      <c r="Z365" s="26">
        <f t="shared" si="39"/>
        <v>0</v>
      </c>
      <c r="AA365" s="26">
        <f t="shared" si="40"/>
        <v>0</v>
      </c>
      <c r="AB365" s="26" t="str">
        <f t="shared" si="41"/>
        <v/>
      </c>
      <c r="AC365" s="26" t="str">
        <f>IF(MATCH(AB365,AB$300:$AB366,0),"0",1)</f>
        <v>0</v>
      </c>
    </row>
    <row r="366" spans="2:29" x14ac:dyDescent="0.35">
      <c r="B366" s="219"/>
      <c r="C366" s="216" t="s">
        <v>631</v>
      </c>
      <c r="D366" s="216"/>
      <c r="E366" s="220"/>
      <c r="F366" s="220"/>
      <c r="G366" s="220"/>
      <c r="H366" s="220" t="str">
        <f t="shared" si="35"/>
        <v/>
      </c>
      <c r="I366" s="460"/>
      <c r="J366" s="460"/>
      <c r="K366" s="460"/>
      <c r="L366" s="460"/>
      <c r="M366" s="460"/>
      <c r="N366" s="220"/>
      <c r="O366" s="220"/>
      <c r="P366" s="220"/>
      <c r="Q366" s="220"/>
      <c r="R366" s="221"/>
      <c r="S366" s="221"/>
      <c r="T366" s="316">
        <f t="shared" si="36"/>
        <v>0</v>
      </c>
      <c r="U366" s="217">
        <f t="shared" si="37"/>
        <v>0</v>
      </c>
      <c r="X366" s="26" t="str">
        <f t="shared" si="38"/>
        <v/>
      </c>
      <c r="Y366" s="21" t="str">
        <f>IF(MATCH(X366,X$300:$X367,0),"Si",1)</f>
        <v>Si</v>
      </c>
      <c r="Z366" s="26">
        <f t="shared" si="39"/>
        <v>0</v>
      </c>
      <c r="AA366" s="26">
        <f t="shared" si="40"/>
        <v>0</v>
      </c>
      <c r="AB366" s="26" t="str">
        <f t="shared" si="41"/>
        <v/>
      </c>
      <c r="AC366" s="26" t="str">
        <f>IF(MATCH(AB366,AB$300:$AB367,0),"0",1)</f>
        <v>0</v>
      </c>
    </row>
    <row r="367" spans="2:29" x14ac:dyDescent="0.35">
      <c r="B367" s="219"/>
      <c r="C367" s="216" t="s">
        <v>632</v>
      </c>
      <c r="D367" s="216"/>
      <c r="E367" s="220"/>
      <c r="F367" s="220"/>
      <c r="G367" s="220"/>
      <c r="H367" s="220" t="str">
        <f t="shared" si="35"/>
        <v/>
      </c>
      <c r="I367" s="460"/>
      <c r="J367" s="460"/>
      <c r="K367" s="460"/>
      <c r="L367" s="460"/>
      <c r="M367" s="460"/>
      <c r="N367" s="220"/>
      <c r="O367" s="220"/>
      <c r="P367" s="220"/>
      <c r="Q367" s="220"/>
      <c r="R367" s="221"/>
      <c r="S367" s="221"/>
      <c r="T367" s="316">
        <f t="shared" si="36"/>
        <v>0</v>
      </c>
      <c r="U367" s="217">
        <f t="shared" si="37"/>
        <v>0</v>
      </c>
      <c r="X367" s="26" t="str">
        <f t="shared" si="38"/>
        <v/>
      </c>
      <c r="Y367" s="21" t="str">
        <f>IF(MATCH(X367,X$300:$X368,0),"Si",1)</f>
        <v>Si</v>
      </c>
      <c r="Z367" s="26">
        <f t="shared" si="39"/>
        <v>0</v>
      </c>
      <c r="AA367" s="26">
        <f t="shared" si="40"/>
        <v>0</v>
      </c>
      <c r="AB367" s="26" t="str">
        <f t="shared" si="41"/>
        <v/>
      </c>
      <c r="AC367" s="26" t="str">
        <f>IF(MATCH(AB367,AB$300:$AB368,0),"0",1)</f>
        <v>0</v>
      </c>
    </row>
    <row r="368" spans="2:29" x14ac:dyDescent="0.35">
      <c r="B368" s="219"/>
      <c r="C368" s="216" t="s">
        <v>633</v>
      </c>
      <c r="D368" s="216"/>
      <c r="E368" s="220"/>
      <c r="F368" s="220"/>
      <c r="G368" s="220"/>
      <c r="H368" s="220" t="str">
        <f t="shared" si="35"/>
        <v/>
      </c>
      <c r="I368" s="460"/>
      <c r="J368" s="460"/>
      <c r="K368" s="460"/>
      <c r="L368" s="460"/>
      <c r="M368" s="460"/>
      <c r="N368" s="220"/>
      <c r="O368" s="220"/>
      <c r="P368" s="220"/>
      <c r="Q368" s="220"/>
      <c r="R368" s="221"/>
      <c r="S368" s="221"/>
      <c r="T368" s="316">
        <f t="shared" si="36"/>
        <v>0</v>
      </c>
      <c r="U368" s="217">
        <f t="shared" si="37"/>
        <v>0</v>
      </c>
      <c r="X368" s="26" t="str">
        <f t="shared" si="38"/>
        <v/>
      </c>
      <c r="Y368" s="21" t="str">
        <f>IF(MATCH(X368,X$300:$X369,0),"Si",1)</f>
        <v>Si</v>
      </c>
      <c r="Z368" s="26">
        <f t="shared" si="39"/>
        <v>0</v>
      </c>
      <c r="AA368" s="26">
        <f t="shared" si="40"/>
        <v>0</v>
      </c>
      <c r="AB368" s="26" t="str">
        <f t="shared" si="41"/>
        <v/>
      </c>
      <c r="AC368" s="26" t="str">
        <f>IF(MATCH(AB368,AB$300:$AB369,0),"0",1)</f>
        <v>0</v>
      </c>
    </row>
    <row r="369" spans="2:29" x14ac:dyDescent="0.35">
      <c r="B369" s="219"/>
      <c r="C369" s="216" t="s">
        <v>634</v>
      </c>
      <c r="D369" s="216"/>
      <c r="E369" s="220"/>
      <c r="F369" s="220"/>
      <c r="G369" s="220"/>
      <c r="H369" s="220" t="str">
        <f t="shared" si="35"/>
        <v/>
      </c>
      <c r="I369" s="460"/>
      <c r="J369" s="460"/>
      <c r="K369" s="460"/>
      <c r="L369" s="460"/>
      <c r="M369" s="460"/>
      <c r="N369" s="220"/>
      <c r="O369" s="220"/>
      <c r="P369" s="220"/>
      <c r="Q369" s="220"/>
      <c r="R369" s="221"/>
      <c r="S369" s="221"/>
      <c r="T369" s="316">
        <f t="shared" si="36"/>
        <v>0</v>
      </c>
      <c r="U369" s="217">
        <f t="shared" si="37"/>
        <v>0</v>
      </c>
      <c r="X369" s="26" t="str">
        <f t="shared" si="38"/>
        <v/>
      </c>
      <c r="Y369" s="21" t="str">
        <f>IF(MATCH(X369,X$300:$X370,0),"Si",1)</f>
        <v>Si</v>
      </c>
      <c r="Z369" s="26">
        <f t="shared" si="39"/>
        <v>0</v>
      </c>
      <c r="AA369" s="26">
        <f t="shared" si="40"/>
        <v>0</v>
      </c>
      <c r="AB369" s="26" t="str">
        <f t="shared" si="41"/>
        <v/>
      </c>
      <c r="AC369" s="26" t="str">
        <f>IF(MATCH(AB369,AB$300:$AB370,0),"0",1)</f>
        <v>0</v>
      </c>
    </row>
    <row r="370" spans="2:29" x14ac:dyDescent="0.35">
      <c r="B370" s="219"/>
      <c r="C370" s="216" t="s">
        <v>635</v>
      </c>
      <c r="D370" s="216"/>
      <c r="E370" s="220"/>
      <c r="F370" s="220"/>
      <c r="G370" s="220"/>
      <c r="H370" s="220" t="str">
        <f t="shared" si="35"/>
        <v/>
      </c>
      <c r="I370" s="460"/>
      <c r="J370" s="460"/>
      <c r="K370" s="460"/>
      <c r="L370" s="460"/>
      <c r="M370" s="460"/>
      <c r="N370" s="220"/>
      <c r="O370" s="220"/>
      <c r="P370" s="220"/>
      <c r="Q370" s="220"/>
      <c r="R370" s="221"/>
      <c r="S370" s="221"/>
      <c r="T370" s="316">
        <f t="shared" si="36"/>
        <v>0</v>
      </c>
      <c r="U370" s="217">
        <f t="shared" si="37"/>
        <v>0</v>
      </c>
      <c r="X370" s="26" t="str">
        <f t="shared" si="38"/>
        <v/>
      </c>
      <c r="Y370" s="21" t="str">
        <f>IF(MATCH(X370,X$300:$X371,0),"Si",1)</f>
        <v>Si</v>
      </c>
      <c r="Z370" s="26">
        <f t="shared" si="39"/>
        <v>0</v>
      </c>
      <c r="AA370" s="26">
        <f t="shared" si="40"/>
        <v>0</v>
      </c>
      <c r="AB370" s="26" t="str">
        <f t="shared" si="41"/>
        <v/>
      </c>
      <c r="AC370" s="26" t="str">
        <f>IF(MATCH(AB370,AB$300:$AB371,0),"0",1)</f>
        <v>0</v>
      </c>
    </row>
    <row r="371" spans="2:29" x14ac:dyDescent="0.35">
      <c r="B371" s="219"/>
      <c r="C371" s="216" t="s">
        <v>636</v>
      </c>
      <c r="D371" s="216"/>
      <c r="E371" s="220"/>
      <c r="F371" s="220"/>
      <c r="G371" s="220"/>
      <c r="H371" s="220" t="str">
        <f t="shared" si="35"/>
        <v/>
      </c>
      <c r="I371" s="460"/>
      <c r="J371" s="460"/>
      <c r="K371" s="460"/>
      <c r="L371" s="460"/>
      <c r="M371" s="460"/>
      <c r="N371" s="220"/>
      <c r="O371" s="220"/>
      <c r="P371" s="220"/>
      <c r="Q371" s="220"/>
      <c r="R371" s="221"/>
      <c r="S371" s="221"/>
      <c r="T371" s="316">
        <f t="shared" si="36"/>
        <v>0</v>
      </c>
      <c r="U371" s="217">
        <f t="shared" si="37"/>
        <v>0</v>
      </c>
      <c r="X371" s="26" t="str">
        <f t="shared" si="38"/>
        <v/>
      </c>
      <c r="Y371" s="21" t="str">
        <f>IF(MATCH(X371,X$300:$X372,0),"Si",1)</f>
        <v>Si</v>
      </c>
      <c r="Z371" s="26">
        <f t="shared" si="39"/>
        <v>0</v>
      </c>
      <c r="AA371" s="26">
        <f t="shared" si="40"/>
        <v>0</v>
      </c>
      <c r="AB371" s="26" t="str">
        <f t="shared" si="41"/>
        <v/>
      </c>
      <c r="AC371" s="26" t="str">
        <f>IF(MATCH(AB371,AB$300:$AB372,0),"0",1)</f>
        <v>0</v>
      </c>
    </row>
    <row r="372" spans="2:29" x14ac:dyDescent="0.35">
      <c r="B372" s="219"/>
      <c r="C372" s="216" t="s">
        <v>637</v>
      </c>
      <c r="D372" s="216"/>
      <c r="E372" s="220"/>
      <c r="F372" s="220"/>
      <c r="G372" s="220"/>
      <c r="H372" s="220" t="str">
        <f t="shared" si="35"/>
        <v/>
      </c>
      <c r="I372" s="460"/>
      <c r="J372" s="460"/>
      <c r="K372" s="460"/>
      <c r="L372" s="460"/>
      <c r="M372" s="460"/>
      <c r="N372" s="220"/>
      <c r="O372" s="220"/>
      <c r="P372" s="220"/>
      <c r="Q372" s="220"/>
      <c r="R372" s="221"/>
      <c r="S372" s="221"/>
      <c r="T372" s="316">
        <f t="shared" si="36"/>
        <v>0</v>
      </c>
      <c r="U372" s="217">
        <f t="shared" si="37"/>
        <v>0</v>
      </c>
      <c r="X372" s="26" t="str">
        <f t="shared" si="38"/>
        <v/>
      </c>
      <c r="Y372" s="21" t="str">
        <f>IF(MATCH(X372,X$300:$X373,0),"Si",1)</f>
        <v>Si</v>
      </c>
      <c r="Z372" s="26">
        <f t="shared" si="39"/>
        <v>0</v>
      </c>
      <c r="AA372" s="26">
        <f t="shared" si="40"/>
        <v>0</v>
      </c>
      <c r="AB372" s="26" t="str">
        <f t="shared" si="41"/>
        <v/>
      </c>
      <c r="AC372" s="26" t="str">
        <f>IF(MATCH(AB372,AB$300:$AB373,0),"0",1)</f>
        <v>0</v>
      </c>
    </row>
    <row r="373" spans="2:29" x14ac:dyDescent="0.35">
      <c r="B373" s="219"/>
      <c r="C373" s="216" t="s">
        <v>638</v>
      </c>
      <c r="D373" s="216"/>
      <c r="E373" s="220"/>
      <c r="F373" s="220"/>
      <c r="G373" s="220"/>
      <c r="H373" s="220" t="str">
        <f t="shared" si="35"/>
        <v/>
      </c>
      <c r="I373" s="460"/>
      <c r="J373" s="460"/>
      <c r="K373" s="460"/>
      <c r="L373" s="460"/>
      <c r="M373" s="460"/>
      <c r="N373" s="220"/>
      <c r="O373" s="220"/>
      <c r="P373" s="220"/>
      <c r="Q373" s="220"/>
      <c r="R373" s="221"/>
      <c r="S373" s="221"/>
      <c r="T373" s="316">
        <f t="shared" si="36"/>
        <v>0</v>
      </c>
      <c r="U373" s="217">
        <f t="shared" si="37"/>
        <v>0</v>
      </c>
      <c r="X373" s="26" t="str">
        <f t="shared" si="38"/>
        <v/>
      </c>
      <c r="Y373" s="21" t="str">
        <f>IF(MATCH(X373,X$300:$X374,0),"Si",1)</f>
        <v>Si</v>
      </c>
      <c r="Z373" s="26">
        <f t="shared" si="39"/>
        <v>0</v>
      </c>
      <c r="AA373" s="26">
        <f t="shared" si="40"/>
        <v>0</v>
      </c>
      <c r="AB373" s="26" t="str">
        <f t="shared" si="41"/>
        <v/>
      </c>
      <c r="AC373" s="26" t="str">
        <f>IF(MATCH(AB373,AB$300:$AB374,0),"0",1)</f>
        <v>0</v>
      </c>
    </row>
    <row r="374" spans="2:29" x14ac:dyDescent="0.35">
      <c r="B374" s="219"/>
      <c r="C374" s="216" t="s">
        <v>639</v>
      </c>
      <c r="D374" s="216"/>
      <c r="E374" s="220"/>
      <c r="F374" s="220"/>
      <c r="G374" s="220"/>
      <c r="H374" s="220" t="str">
        <f t="shared" si="35"/>
        <v/>
      </c>
      <c r="I374" s="460"/>
      <c r="J374" s="460"/>
      <c r="K374" s="460"/>
      <c r="L374" s="460"/>
      <c r="M374" s="460"/>
      <c r="N374" s="220"/>
      <c r="O374" s="220"/>
      <c r="P374" s="220"/>
      <c r="Q374" s="220"/>
      <c r="R374" s="221"/>
      <c r="S374" s="221"/>
      <c r="T374" s="316">
        <f t="shared" si="36"/>
        <v>0</v>
      </c>
      <c r="U374" s="217">
        <f t="shared" si="37"/>
        <v>0</v>
      </c>
      <c r="X374" s="26" t="str">
        <f t="shared" si="38"/>
        <v/>
      </c>
      <c r="Y374" s="21" t="str">
        <f>IF(MATCH(X374,X$300:$X375,0),"Si",1)</f>
        <v>Si</v>
      </c>
      <c r="Z374" s="26">
        <f t="shared" si="39"/>
        <v>0</v>
      </c>
      <c r="AA374" s="26">
        <f t="shared" si="40"/>
        <v>0</v>
      </c>
      <c r="AB374" s="26" t="str">
        <f t="shared" si="41"/>
        <v/>
      </c>
      <c r="AC374" s="26" t="str">
        <f>IF(MATCH(AB374,AB$300:$AB375,0),"0",1)</f>
        <v>0</v>
      </c>
    </row>
    <row r="375" spans="2:29" x14ac:dyDescent="0.35">
      <c r="B375" s="219"/>
      <c r="C375" s="216" t="s">
        <v>640</v>
      </c>
      <c r="D375" s="216"/>
      <c r="E375" s="220"/>
      <c r="F375" s="220"/>
      <c r="G375" s="220"/>
      <c r="H375" s="220" t="str">
        <f t="shared" si="35"/>
        <v/>
      </c>
      <c r="I375" s="460"/>
      <c r="J375" s="460"/>
      <c r="K375" s="460"/>
      <c r="L375" s="460"/>
      <c r="M375" s="460"/>
      <c r="N375" s="220"/>
      <c r="O375" s="220"/>
      <c r="P375" s="220"/>
      <c r="Q375" s="220"/>
      <c r="R375" s="221"/>
      <c r="S375" s="221"/>
      <c r="T375" s="316">
        <f t="shared" si="36"/>
        <v>0</v>
      </c>
      <c r="U375" s="217">
        <f t="shared" si="37"/>
        <v>0</v>
      </c>
      <c r="X375" s="26" t="str">
        <f t="shared" si="38"/>
        <v/>
      </c>
      <c r="Y375" s="21" t="str">
        <f>IF(MATCH(X375,X$300:$X376,0),"Si",1)</f>
        <v>Si</v>
      </c>
      <c r="Z375" s="26">
        <f t="shared" si="39"/>
        <v>0</v>
      </c>
      <c r="AA375" s="26">
        <f t="shared" si="40"/>
        <v>0</v>
      </c>
      <c r="AB375" s="26" t="str">
        <f t="shared" si="41"/>
        <v/>
      </c>
      <c r="AC375" s="26" t="str">
        <f>IF(MATCH(AB375,AB$300:$AB376,0),"0",1)</f>
        <v>0</v>
      </c>
    </row>
    <row r="376" spans="2:29" x14ac:dyDescent="0.35">
      <c r="B376" s="219"/>
      <c r="C376" s="216" t="s">
        <v>641</v>
      </c>
      <c r="D376" s="216"/>
      <c r="E376" s="220"/>
      <c r="F376" s="220"/>
      <c r="G376" s="220"/>
      <c r="H376" s="220" t="str">
        <f t="shared" si="35"/>
        <v/>
      </c>
      <c r="I376" s="460"/>
      <c r="J376" s="460"/>
      <c r="K376" s="460"/>
      <c r="L376" s="460"/>
      <c r="M376" s="460"/>
      <c r="N376" s="220"/>
      <c r="O376" s="220"/>
      <c r="P376" s="220"/>
      <c r="Q376" s="220"/>
      <c r="R376" s="221"/>
      <c r="S376" s="221"/>
      <c r="T376" s="316">
        <f t="shared" si="36"/>
        <v>0</v>
      </c>
      <c r="U376" s="217">
        <f t="shared" si="37"/>
        <v>0</v>
      </c>
      <c r="X376" s="26" t="str">
        <f t="shared" si="38"/>
        <v/>
      </c>
      <c r="Y376" s="21" t="str">
        <f>IF(MATCH(X376,X$300:$X377,0),"Si",1)</f>
        <v>Si</v>
      </c>
      <c r="Z376" s="26">
        <f t="shared" si="39"/>
        <v>0</v>
      </c>
      <c r="AA376" s="26">
        <f t="shared" si="40"/>
        <v>0</v>
      </c>
      <c r="AB376" s="26" t="str">
        <f t="shared" si="41"/>
        <v/>
      </c>
      <c r="AC376" s="26" t="str">
        <f>IF(MATCH(AB376,AB$300:$AB377,0),"0",1)</f>
        <v>0</v>
      </c>
    </row>
    <row r="377" spans="2:29" x14ac:dyDescent="0.35">
      <c r="B377" s="219"/>
      <c r="C377" s="216" t="s">
        <v>642</v>
      </c>
      <c r="D377" s="216"/>
      <c r="E377" s="220"/>
      <c r="F377" s="220"/>
      <c r="G377" s="220"/>
      <c r="H377" s="220" t="str">
        <f t="shared" si="35"/>
        <v/>
      </c>
      <c r="I377" s="460"/>
      <c r="J377" s="460"/>
      <c r="K377" s="460"/>
      <c r="L377" s="460"/>
      <c r="M377" s="460"/>
      <c r="N377" s="220"/>
      <c r="O377" s="220"/>
      <c r="P377" s="220"/>
      <c r="Q377" s="220"/>
      <c r="R377" s="221"/>
      <c r="S377" s="221"/>
      <c r="T377" s="316">
        <f t="shared" si="36"/>
        <v>0</v>
      </c>
      <c r="U377" s="217">
        <f t="shared" si="37"/>
        <v>0</v>
      </c>
      <c r="X377" s="26" t="str">
        <f t="shared" si="38"/>
        <v/>
      </c>
      <c r="Y377" s="21" t="str">
        <f>IF(MATCH(X377,X$300:$X378,0),"Si",1)</f>
        <v>Si</v>
      </c>
      <c r="Z377" s="26">
        <f t="shared" si="39"/>
        <v>0</v>
      </c>
      <c r="AA377" s="26">
        <f t="shared" si="40"/>
        <v>0</v>
      </c>
      <c r="AB377" s="26" t="str">
        <f t="shared" si="41"/>
        <v/>
      </c>
      <c r="AC377" s="26" t="str">
        <f>IF(MATCH(AB377,AB$300:$AB378,0),"0",1)</f>
        <v>0</v>
      </c>
    </row>
    <row r="378" spans="2:29" x14ac:dyDescent="0.35">
      <c r="B378" s="219"/>
      <c r="C378" s="216" t="s">
        <v>643</v>
      </c>
      <c r="D378" s="216"/>
      <c r="E378" s="220"/>
      <c r="F378" s="220"/>
      <c r="G378" s="220"/>
      <c r="H378" s="220" t="str">
        <f t="shared" si="35"/>
        <v/>
      </c>
      <c r="I378" s="460"/>
      <c r="J378" s="460"/>
      <c r="K378" s="460"/>
      <c r="L378" s="460"/>
      <c r="M378" s="460"/>
      <c r="N378" s="220"/>
      <c r="O378" s="220"/>
      <c r="P378" s="220"/>
      <c r="Q378" s="220"/>
      <c r="R378" s="221"/>
      <c r="S378" s="221"/>
      <c r="T378" s="316">
        <f t="shared" si="36"/>
        <v>0</v>
      </c>
      <c r="U378" s="217">
        <f t="shared" si="37"/>
        <v>0</v>
      </c>
      <c r="X378" s="26" t="str">
        <f t="shared" si="38"/>
        <v/>
      </c>
      <c r="Y378" s="21" t="str">
        <f>IF(MATCH(X378,X$300:$X379,0),"Si",1)</f>
        <v>Si</v>
      </c>
      <c r="Z378" s="26">
        <f t="shared" si="39"/>
        <v>0</v>
      </c>
      <c r="AA378" s="26">
        <f t="shared" si="40"/>
        <v>0</v>
      </c>
      <c r="AB378" s="26" t="str">
        <f t="shared" si="41"/>
        <v/>
      </c>
      <c r="AC378" s="26" t="str">
        <f>IF(MATCH(AB378,AB$300:$AB379,0),"0",1)</f>
        <v>0</v>
      </c>
    </row>
    <row r="379" spans="2:29" x14ac:dyDescent="0.35">
      <c r="B379" s="219"/>
      <c r="C379" s="216" t="s">
        <v>644</v>
      </c>
      <c r="D379" s="216"/>
      <c r="E379" s="220"/>
      <c r="F379" s="220"/>
      <c r="G379" s="220"/>
      <c r="H379" s="220" t="str">
        <f t="shared" si="35"/>
        <v/>
      </c>
      <c r="I379" s="460"/>
      <c r="J379" s="460"/>
      <c r="K379" s="460"/>
      <c r="L379" s="460"/>
      <c r="M379" s="460"/>
      <c r="N379" s="220"/>
      <c r="O379" s="220"/>
      <c r="P379" s="220"/>
      <c r="Q379" s="220"/>
      <c r="R379" s="221"/>
      <c r="S379" s="221"/>
      <c r="T379" s="316">
        <f t="shared" si="36"/>
        <v>0</v>
      </c>
      <c r="U379" s="217">
        <f t="shared" si="37"/>
        <v>0</v>
      </c>
      <c r="X379" s="26" t="str">
        <f t="shared" si="38"/>
        <v/>
      </c>
      <c r="Y379" s="21" t="str">
        <f>IF(MATCH(X379,X$300:$X380,0),"Si",1)</f>
        <v>Si</v>
      </c>
      <c r="Z379" s="26">
        <f t="shared" si="39"/>
        <v>0</v>
      </c>
      <c r="AA379" s="26">
        <f t="shared" si="40"/>
        <v>0</v>
      </c>
      <c r="AB379" s="26" t="str">
        <f t="shared" si="41"/>
        <v/>
      </c>
      <c r="AC379" s="26" t="str">
        <f>IF(MATCH(AB379,AB$300:$AB380,0),"0",1)</f>
        <v>0</v>
      </c>
    </row>
    <row r="380" spans="2:29" x14ac:dyDescent="0.35">
      <c r="B380" s="219"/>
      <c r="C380" s="216" t="s">
        <v>645</v>
      </c>
      <c r="D380" s="216"/>
      <c r="E380" s="220"/>
      <c r="F380" s="220"/>
      <c r="G380" s="220"/>
      <c r="H380" s="220" t="str">
        <f t="shared" si="35"/>
        <v/>
      </c>
      <c r="I380" s="460"/>
      <c r="J380" s="460"/>
      <c r="K380" s="460"/>
      <c r="L380" s="460"/>
      <c r="M380" s="460"/>
      <c r="N380" s="220"/>
      <c r="O380" s="220"/>
      <c r="P380" s="220"/>
      <c r="Q380" s="220"/>
      <c r="R380" s="221"/>
      <c r="S380" s="221"/>
      <c r="T380" s="316">
        <f t="shared" si="36"/>
        <v>0</v>
      </c>
      <c r="U380" s="217">
        <f t="shared" si="37"/>
        <v>0</v>
      </c>
      <c r="X380" s="26" t="str">
        <f t="shared" si="38"/>
        <v/>
      </c>
      <c r="Y380" s="21" t="str">
        <f>IF(MATCH(X380,X$300:$X381,0),"Si",1)</f>
        <v>Si</v>
      </c>
      <c r="Z380" s="26">
        <f t="shared" si="39"/>
        <v>0</v>
      </c>
      <c r="AA380" s="26">
        <f t="shared" si="40"/>
        <v>0</v>
      </c>
      <c r="AB380" s="26" t="str">
        <f t="shared" si="41"/>
        <v/>
      </c>
      <c r="AC380" s="26" t="str">
        <f>IF(MATCH(AB380,AB$300:$AB381,0),"0",1)</f>
        <v>0</v>
      </c>
    </row>
    <row r="381" spans="2:29" x14ac:dyDescent="0.35">
      <c r="B381" s="219"/>
      <c r="C381" s="216" t="s">
        <v>646</v>
      </c>
      <c r="D381" s="216"/>
      <c r="E381" s="220"/>
      <c r="F381" s="220"/>
      <c r="G381" s="220"/>
      <c r="H381" s="220" t="str">
        <f t="shared" si="35"/>
        <v/>
      </c>
      <c r="I381" s="460"/>
      <c r="J381" s="460"/>
      <c r="K381" s="460"/>
      <c r="L381" s="460"/>
      <c r="M381" s="460"/>
      <c r="N381" s="220"/>
      <c r="O381" s="220"/>
      <c r="P381" s="220"/>
      <c r="Q381" s="220"/>
      <c r="R381" s="221"/>
      <c r="S381" s="221"/>
      <c r="T381" s="316">
        <f t="shared" si="36"/>
        <v>0</v>
      </c>
      <c r="U381" s="217">
        <f t="shared" si="37"/>
        <v>0</v>
      </c>
      <c r="X381" s="26" t="str">
        <f t="shared" si="38"/>
        <v/>
      </c>
      <c r="Y381" s="21" t="str">
        <f>IF(MATCH(X381,X$300:$X382,0),"Si",1)</f>
        <v>Si</v>
      </c>
      <c r="Z381" s="26">
        <f t="shared" si="39"/>
        <v>0</v>
      </c>
      <c r="AA381" s="26">
        <f t="shared" si="40"/>
        <v>0</v>
      </c>
      <c r="AB381" s="26" t="str">
        <f t="shared" si="41"/>
        <v/>
      </c>
      <c r="AC381" s="26" t="str">
        <f>IF(MATCH(AB381,AB$300:$AB382,0),"0",1)</f>
        <v>0</v>
      </c>
    </row>
    <row r="382" spans="2:29" x14ac:dyDescent="0.35">
      <c r="B382" s="219"/>
      <c r="C382" s="216" t="s">
        <v>647</v>
      </c>
      <c r="D382" s="216"/>
      <c r="E382" s="220"/>
      <c r="F382" s="220"/>
      <c r="G382" s="220"/>
      <c r="H382" s="220" t="str">
        <f t="shared" si="35"/>
        <v/>
      </c>
      <c r="I382" s="460"/>
      <c r="J382" s="460"/>
      <c r="K382" s="460"/>
      <c r="L382" s="460"/>
      <c r="M382" s="460"/>
      <c r="N382" s="220"/>
      <c r="O382" s="220"/>
      <c r="P382" s="220"/>
      <c r="Q382" s="220"/>
      <c r="R382" s="221"/>
      <c r="S382" s="221"/>
      <c r="T382" s="316">
        <f t="shared" si="36"/>
        <v>0</v>
      </c>
      <c r="U382" s="217">
        <f t="shared" si="37"/>
        <v>0</v>
      </c>
      <c r="X382" s="26" t="str">
        <f t="shared" si="38"/>
        <v/>
      </c>
      <c r="Y382" s="21" t="str">
        <f>IF(MATCH(X382,X$300:$X383,0),"Si",1)</f>
        <v>Si</v>
      </c>
      <c r="Z382" s="26">
        <f t="shared" si="39"/>
        <v>0</v>
      </c>
      <c r="AA382" s="26">
        <f t="shared" si="40"/>
        <v>0</v>
      </c>
      <c r="AB382" s="26" t="str">
        <f t="shared" si="41"/>
        <v/>
      </c>
      <c r="AC382" s="26" t="str">
        <f>IF(MATCH(AB382,AB$300:$AB383,0),"0",1)</f>
        <v>0</v>
      </c>
    </row>
    <row r="383" spans="2:29" x14ac:dyDescent="0.35">
      <c r="B383" s="219"/>
      <c r="C383" s="216" t="s">
        <v>648</v>
      </c>
      <c r="D383" s="216"/>
      <c r="E383" s="220"/>
      <c r="F383" s="220"/>
      <c r="G383" s="220"/>
      <c r="H383" s="220" t="str">
        <f t="shared" si="35"/>
        <v/>
      </c>
      <c r="I383" s="460"/>
      <c r="J383" s="460"/>
      <c r="K383" s="460"/>
      <c r="L383" s="460"/>
      <c r="M383" s="460"/>
      <c r="N383" s="220"/>
      <c r="O383" s="220"/>
      <c r="P383" s="220"/>
      <c r="Q383" s="220"/>
      <c r="R383" s="221"/>
      <c r="S383" s="221"/>
      <c r="T383" s="316">
        <f t="shared" si="36"/>
        <v>0</v>
      </c>
      <c r="U383" s="217">
        <f t="shared" si="37"/>
        <v>0</v>
      </c>
      <c r="X383" s="26" t="str">
        <f t="shared" si="38"/>
        <v/>
      </c>
      <c r="Y383" s="21" t="str">
        <f>IF(MATCH(X383,X$300:$X384,0),"Si",1)</f>
        <v>Si</v>
      </c>
      <c r="Z383" s="26">
        <f t="shared" si="39"/>
        <v>0</v>
      </c>
      <c r="AA383" s="26">
        <f t="shared" si="40"/>
        <v>0</v>
      </c>
      <c r="AB383" s="26" t="str">
        <f t="shared" si="41"/>
        <v/>
      </c>
      <c r="AC383" s="26" t="str">
        <f>IF(MATCH(AB383,AB$300:$AB384,0),"0",1)</f>
        <v>0</v>
      </c>
    </row>
    <row r="384" spans="2:29" x14ac:dyDescent="0.35">
      <c r="B384" s="219"/>
      <c r="C384" s="216" t="s">
        <v>649</v>
      </c>
      <c r="D384" s="216"/>
      <c r="E384" s="220"/>
      <c r="F384" s="220"/>
      <c r="G384" s="220"/>
      <c r="H384" s="220" t="str">
        <f t="shared" si="35"/>
        <v/>
      </c>
      <c r="I384" s="460"/>
      <c r="J384" s="460"/>
      <c r="K384" s="460"/>
      <c r="L384" s="460"/>
      <c r="M384" s="460"/>
      <c r="N384" s="220"/>
      <c r="O384" s="220"/>
      <c r="P384" s="220"/>
      <c r="Q384" s="220"/>
      <c r="R384" s="221"/>
      <c r="S384" s="221"/>
      <c r="T384" s="316">
        <f t="shared" si="36"/>
        <v>0</v>
      </c>
      <c r="U384" s="217">
        <f t="shared" si="37"/>
        <v>0</v>
      </c>
      <c r="X384" s="26" t="str">
        <f t="shared" si="38"/>
        <v/>
      </c>
      <c r="Y384" s="21" t="str">
        <f>IF(MATCH(X384,X$300:$X385,0),"Si",1)</f>
        <v>Si</v>
      </c>
      <c r="Z384" s="26">
        <f t="shared" si="39"/>
        <v>0</v>
      </c>
      <c r="AA384" s="26">
        <f t="shared" si="40"/>
        <v>0</v>
      </c>
      <c r="AB384" s="26" t="str">
        <f t="shared" si="41"/>
        <v/>
      </c>
      <c r="AC384" s="26" t="str">
        <f>IF(MATCH(AB384,AB$300:$AB385,0),"0",1)</f>
        <v>0</v>
      </c>
    </row>
    <row r="385" spans="2:29" x14ac:dyDescent="0.35">
      <c r="B385" s="219"/>
      <c r="C385" s="216" t="s">
        <v>650</v>
      </c>
      <c r="D385" s="216"/>
      <c r="E385" s="220"/>
      <c r="F385" s="220"/>
      <c r="G385" s="220"/>
      <c r="H385" s="220" t="str">
        <f t="shared" si="35"/>
        <v/>
      </c>
      <c r="I385" s="460"/>
      <c r="J385" s="460"/>
      <c r="K385" s="460"/>
      <c r="L385" s="460"/>
      <c r="M385" s="460"/>
      <c r="N385" s="220"/>
      <c r="O385" s="220"/>
      <c r="P385" s="220"/>
      <c r="Q385" s="220"/>
      <c r="R385" s="221"/>
      <c r="S385" s="221"/>
      <c r="T385" s="316">
        <f t="shared" si="36"/>
        <v>0</v>
      </c>
      <c r="U385" s="217">
        <f t="shared" si="37"/>
        <v>0</v>
      </c>
      <c r="X385" s="26" t="str">
        <f t="shared" si="38"/>
        <v/>
      </c>
      <c r="Y385" s="21" t="str">
        <f>IF(MATCH(X385,X$300:$X386,0),"Si",1)</f>
        <v>Si</v>
      </c>
      <c r="Z385" s="26">
        <f t="shared" si="39"/>
        <v>0</v>
      </c>
      <c r="AA385" s="26">
        <f t="shared" si="40"/>
        <v>0</v>
      </c>
      <c r="AB385" s="26" t="str">
        <f t="shared" si="41"/>
        <v/>
      </c>
      <c r="AC385" s="26" t="str">
        <f>IF(MATCH(AB385,AB$300:$AB386,0),"0",1)</f>
        <v>0</v>
      </c>
    </row>
    <row r="386" spans="2:29" x14ac:dyDescent="0.35">
      <c r="B386" s="219"/>
      <c r="C386" s="216" t="s">
        <v>651</v>
      </c>
      <c r="D386" s="216"/>
      <c r="E386" s="220"/>
      <c r="F386" s="220"/>
      <c r="G386" s="220"/>
      <c r="H386" s="220" t="str">
        <f t="shared" si="35"/>
        <v/>
      </c>
      <c r="I386" s="460"/>
      <c r="J386" s="460"/>
      <c r="K386" s="460"/>
      <c r="L386" s="460"/>
      <c r="M386" s="460"/>
      <c r="N386" s="220"/>
      <c r="O386" s="220"/>
      <c r="P386" s="220"/>
      <c r="Q386" s="220"/>
      <c r="R386" s="221"/>
      <c r="S386" s="221"/>
      <c r="T386" s="316">
        <f t="shared" si="36"/>
        <v>0</v>
      </c>
      <c r="U386" s="217">
        <f t="shared" si="37"/>
        <v>0</v>
      </c>
      <c r="X386" s="26" t="str">
        <f t="shared" si="38"/>
        <v/>
      </c>
      <c r="Y386" s="21" t="str">
        <f>IF(MATCH(X386,X$300:$X387,0),"Si",1)</f>
        <v>Si</v>
      </c>
      <c r="Z386" s="26">
        <f t="shared" si="39"/>
        <v>0</v>
      </c>
      <c r="AA386" s="26">
        <f t="shared" si="40"/>
        <v>0</v>
      </c>
      <c r="AB386" s="26" t="str">
        <f t="shared" si="41"/>
        <v/>
      </c>
      <c r="AC386" s="26" t="str">
        <f>IF(MATCH(AB386,AB$300:$AB387,0),"0",1)</f>
        <v>0</v>
      </c>
    </row>
    <row r="387" spans="2:29" x14ac:dyDescent="0.35">
      <c r="B387" s="219"/>
      <c r="C387" s="216" t="s">
        <v>652</v>
      </c>
      <c r="D387" s="216"/>
      <c r="E387" s="220"/>
      <c r="F387" s="220"/>
      <c r="G387" s="220"/>
      <c r="H387" s="220" t="str">
        <f t="shared" si="35"/>
        <v/>
      </c>
      <c r="I387" s="460"/>
      <c r="J387" s="460"/>
      <c r="K387" s="460"/>
      <c r="L387" s="460"/>
      <c r="M387" s="460"/>
      <c r="N387" s="220"/>
      <c r="O387" s="220"/>
      <c r="P387" s="220"/>
      <c r="Q387" s="220"/>
      <c r="R387" s="221"/>
      <c r="S387" s="221"/>
      <c r="T387" s="316">
        <f t="shared" si="36"/>
        <v>0</v>
      </c>
      <c r="U387" s="217">
        <f t="shared" si="37"/>
        <v>0</v>
      </c>
      <c r="X387" s="26" t="str">
        <f t="shared" si="38"/>
        <v/>
      </c>
      <c r="Y387" s="21" t="str">
        <f>IF(MATCH(X387,X$300:$X388,0),"Si",1)</f>
        <v>Si</v>
      </c>
      <c r="Z387" s="26">
        <f t="shared" si="39"/>
        <v>0</v>
      </c>
      <c r="AA387" s="26">
        <f t="shared" si="40"/>
        <v>0</v>
      </c>
      <c r="AB387" s="26" t="str">
        <f t="shared" si="41"/>
        <v/>
      </c>
      <c r="AC387" s="26" t="str">
        <f>IF(MATCH(AB387,AB$300:$AB388,0),"0",1)</f>
        <v>0</v>
      </c>
    </row>
    <row r="388" spans="2:29" x14ac:dyDescent="0.35">
      <c r="B388" s="219"/>
      <c r="C388" s="216" t="s">
        <v>653</v>
      </c>
      <c r="D388" s="216"/>
      <c r="E388" s="220"/>
      <c r="F388" s="220"/>
      <c r="G388" s="220"/>
      <c r="H388" s="220" t="str">
        <f t="shared" si="35"/>
        <v/>
      </c>
      <c r="I388" s="460"/>
      <c r="J388" s="460"/>
      <c r="K388" s="460"/>
      <c r="L388" s="460"/>
      <c r="M388" s="460"/>
      <c r="N388" s="220"/>
      <c r="O388" s="220"/>
      <c r="P388" s="220"/>
      <c r="Q388" s="220"/>
      <c r="R388" s="221"/>
      <c r="S388" s="221"/>
      <c r="T388" s="316">
        <f t="shared" si="36"/>
        <v>0</v>
      </c>
      <c r="U388" s="217">
        <f t="shared" si="37"/>
        <v>0</v>
      </c>
      <c r="X388" s="26" t="str">
        <f t="shared" si="38"/>
        <v/>
      </c>
      <c r="Y388" s="21" t="str">
        <f>IF(MATCH(X388,X$300:$X389,0),"Si",1)</f>
        <v>Si</v>
      </c>
      <c r="Z388" s="26">
        <f t="shared" si="39"/>
        <v>0</v>
      </c>
      <c r="AA388" s="26">
        <f t="shared" si="40"/>
        <v>0</v>
      </c>
      <c r="AB388" s="26" t="str">
        <f t="shared" si="41"/>
        <v/>
      </c>
      <c r="AC388" s="26" t="str">
        <f>IF(MATCH(AB388,AB$300:$AB389,0),"0",1)</f>
        <v>0</v>
      </c>
    </row>
    <row r="389" spans="2:29" x14ac:dyDescent="0.35">
      <c r="B389" s="219"/>
      <c r="C389" s="216" t="s">
        <v>654</v>
      </c>
      <c r="D389" s="216"/>
      <c r="E389" s="220"/>
      <c r="F389" s="220"/>
      <c r="G389" s="220"/>
      <c r="H389" s="220" t="str">
        <f t="shared" si="35"/>
        <v/>
      </c>
      <c r="I389" s="460"/>
      <c r="J389" s="460"/>
      <c r="K389" s="460"/>
      <c r="L389" s="460"/>
      <c r="M389" s="460"/>
      <c r="N389" s="220"/>
      <c r="O389" s="220"/>
      <c r="P389" s="220"/>
      <c r="Q389" s="220"/>
      <c r="R389" s="221"/>
      <c r="S389" s="221"/>
      <c r="T389" s="316">
        <f t="shared" si="36"/>
        <v>0</v>
      </c>
      <c r="U389" s="217">
        <f t="shared" si="37"/>
        <v>0</v>
      </c>
      <c r="X389" s="26" t="str">
        <f t="shared" si="38"/>
        <v/>
      </c>
      <c r="Y389" s="21" t="str">
        <f>IF(MATCH(X389,X$300:$X390,0),"Si",1)</f>
        <v>Si</v>
      </c>
      <c r="Z389" s="26">
        <f t="shared" si="39"/>
        <v>0</v>
      </c>
      <c r="AA389" s="26">
        <f t="shared" si="40"/>
        <v>0</v>
      </c>
      <c r="AB389" s="26" t="str">
        <f t="shared" si="41"/>
        <v/>
      </c>
      <c r="AC389" s="26" t="str">
        <f>IF(MATCH(AB389,AB$300:$AB390,0),"0",1)</f>
        <v>0</v>
      </c>
    </row>
    <row r="390" spans="2:29" x14ac:dyDescent="0.35">
      <c r="B390" s="219"/>
      <c r="C390" s="216" t="s">
        <v>655</v>
      </c>
      <c r="D390" s="216"/>
      <c r="E390" s="220"/>
      <c r="F390" s="220"/>
      <c r="G390" s="220"/>
      <c r="H390" s="220" t="str">
        <f t="shared" si="35"/>
        <v/>
      </c>
      <c r="I390" s="460"/>
      <c r="J390" s="460"/>
      <c r="K390" s="460"/>
      <c r="L390" s="460"/>
      <c r="M390" s="460"/>
      <c r="N390" s="220"/>
      <c r="O390" s="220"/>
      <c r="P390" s="220"/>
      <c r="Q390" s="220"/>
      <c r="R390" s="221"/>
      <c r="S390" s="221"/>
      <c r="T390" s="316">
        <f t="shared" si="36"/>
        <v>0</v>
      </c>
      <c r="U390" s="217">
        <f t="shared" si="37"/>
        <v>0</v>
      </c>
      <c r="X390" s="26" t="str">
        <f t="shared" si="38"/>
        <v/>
      </c>
      <c r="Y390" s="21" t="str">
        <f>IF(MATCH(X390,X$300:$X391,0),"Si",1)</f>
        <v>Si</v>
      </c>
      <c r="Z390" s="26">
        <f t="shared" si="39"/>
        <v>0</v>
      </c>
      <c r="AA390" s="26">
        <f t="shared" si="40"/>
        <v>0</v>
      </c>
      <c r="AB390" s="26" t="str">
        <f t="shared" si="41"/>
        <v/>
      </c>
      <c r="AC390" s="26" t="str">
        <f>IF(MATCH(AB390,AB$300:$AB391,0),"0",1)</f>
        <v>0</v>
      </c>
    </row>
    <row r="391" spans="2:29" x14ac:dyDescent="0.35">
      <c r="B391" s="219"/>
      <c r="C391" s="216" t="s">
        <v>656</v>
      </c>
      <c r="D391" s="216"/>
      <c r="E391" s="220"/>
      <c r="F391" s="220"/>
      <c r="G391" s="220"/>
      <c r="H391" s="220" t="str">
        <f t="shared" si="35"/>
        <v/>
      </c>
      <c r="I391" s="460"/>
      <c r="J391" s="460"/>
      <c r="K391" s="460"/>
      <c r="L391" s="460"/>
      <c r="M391" s="460"/>
      <c r="N391" s="220"/>
      <c r="O391" s="220"/>
      <c r="P391" s="220"/>
      <c r="Q391" s="220"/>
      <c r="R391" s="221"/>
      <c r="S391" s="221"/>
      <c r="T391" s="316">
        <f t="shared" si="36"/>
        <v>0</v>
      </c>
      <c r="U391" s="217">
        <f t="shared" si="37"/>
        <v>0</v>
      </c>
      <c r="X391" s="26" t="str">
        <f t="shared" si="38"/>
        <v/>
      </c>
      <c r="Y391" s="21" t="str">
        <f>IF(MATCH(X391,X$300:$X392,0),"Si",1)</f>
        <v>Si</v>
      </c>
      <c r="Z391" s="26">
        <f t="shared" si="39"/>
        <v>0</v>
      </c>
      <c r="AA391" s="26">
        <f t="shared" si="40"/>
        <v>0</v>
      </c>
      <c r="AB391" s="26" t="str">
        <f t="shared" si="41"/>
        <v/>
      </c>
      <c r="AC391" s="26" t="str">
        <f>IF(MATCH(AB391,AB$300:$AB392,0),"0",1)</f>
        <v>0</v>
      </c>
    </row>
    <row r="392" spans="2:29" x14ac:dyDescent="0.35">
      <c r="B392" s="219"/>
      <c r="C392" s="216" t="s">
        <v>657</v>
      </c>
      <c r="D392" s="216"/>
      <c r="E392" s="220"/>
      <c r="F392" s="220"/>
      <c r="G392" s="220"/>
      <c r="H392" s="220" t="str">
        <f t="shared" si="35"/>
        <v/>
      </c>
      <c r="I392" s="460"/>
      <c r="J392" s="460"/>
      <c r="K392" s="460"/>
      <c r="L392" s="460"/>
      <c r="M392" s="460"/>
      <c r="N392" s="220"/>
      <c r="O392" s="220"/>
      <c r="P392" s="220"/>
      <c r="Q392" s="220"/>
      <c r="R392" s="221"/>
      <c r="S392" s="221"/>
      <c r="T392" s="316">
        <f t="shared" si="36"/>
        <v>0</v>
      </c>
      <c r="U392" s="217">
        <f t="shared" si="37"/>
        <v>0</v>
      </c>
      <c r="X392" s="26" t="str">
        <f t="shared" si="38"/>
        <v/>
      </c>
      <c r="Y392" s="21" t="str">
        <f>IF(MATCH(X392,X$300:$X393,0),"Si",1)</f>
        <v>Si</v>
      </c>
      <c r="Z392" s="26">
        <f t="shared" si="39"/>
        <v>0</v>
      </c>
      <c r="AA392" s="26">
        <f t="shared" si="40"/>
        <v>0</v>
      </c>
      <c r="AB392" s="26" t="str">
        <f t="shared" si="41"/>
        <v/>
      </c>
      <c r="AC392" s="26" t="str">
        <f>IF(MATCH(AB392,AB$300:$AB393,0),"0",1)</f>
        <v>0</v>
      </c>
    </row>
    <row r="393" spans="2:29" x14ac:dyDescent="0.35">
      <c r="B393" s="219"/>
      <c r="C393" s="216" t="s">
        <v>658</v>
      </c>
      <c r="D393" s="216"/>
      <c r="E393" s="220"/>
      <c r="F393" s="220"/>
      <c r="G393" s="220"/>
      <c r="H393" s="220" t="str">
        <f t="shared" si="35"/>
        <v/>
      </c>
      <c r="I393" s="460"/>
      <c r="J393" s="460"/>
      <c r="K393" s="460"/>
      <c r="L393" s="460"/>
      <c r="M393" s="460"/>
      <c r="N393" s="220"/>
      <c r="O393" s="220"/>
      <c r="P393" s="220"/>
      <c r="Q393" s="220"/>
      <c r="R393" s="221"/>
      <c r="S393" s="221"/>
      <c r="T393" s="316">
        <f t="shared" si="36"/>
        <v>0</v>
      </c>
      <c r="U393" s="217">
        <f t="shared" si="37"/>
        <v>0</v>
      </c>
      <c r="X393" s="26" t="str">
        <f t="shared" si="38"/>
        <v/>
      </c>
      <c r="Y393" s="21" t="str">
        <f>IF(MATCH(X393,X$300:$X394,0),"Si",1)</f>
        <v>Si</v>
      </c>
      <c r="Z393" s="26">
        <f t="shared" si="39"/>
        <v>0</v>
      </c>
      <c r="AA393" s="26">
        <f t="shared" si="40"/>
        <v>0</v>
      </c>
      <c r="AB393" s="26" t="str">
        <f t="shared" si="41"/>
        <v/>
      </c>
      <c r="AC393" s="26" t="str">
        <f>IF(MATCH(AB393,AB$300:$AB394,0),"0",1)</f>
        <v>0</v>
      </c>
    </row>
    <row r="394" spans="2:29" x14ac:dyDescent="0.35">
      <c r="B394" s="219"/>
      <c r="C394" s="216" t="s">
        <v>659</v>
      </c>
      <c r="D394" s="216"/>
      <c r="E394" s="220"/>
      <c r="F394" s="220"/>
      <c r="G394" s="220"/>
      <c r="H394" s="220" t="str">
        <f t="shared" si="35"/>
        <v/>
      </c>
      <c r="I394" s="460"/>
      <c r="J394" s="460"/>
      <c r="K394" s="460"/>
      <c r="L394" s="460"/>
      <c r="M394" s="460"/>
      <c r="N394" s="220"/>
      <c r="O394" s="220"/>
      <c r="P394" s="220"/>
      <c r="Q394" s="220"/>
      <c r="R394" s="221"/>
      <c r="S394" s="221"/>
      <c r="T394" s="316">
        <f t="shared" si="36"/>
        <v>0</v>
      </c>
      <c r="U394" s="217">
        <f t="shared" si="37"/>
        <v>0</v>
      </c>
      <c r="X394" s="26" t="str">
        <f t="shared" si="38"/>
        <v/>
      </c>
      <c r="Y394" s="21" t="str">
        <f>IF(MATCH(X394,X$300:$X395,0),"Si",1)</f>
        <v>Si</v>
      </c>
      <c r="Z394" s="26">
        <f t="shared" si="39"/>
        <v>0</v>
      </c>
      <c r="AA394" s="26">
        <f t="shared" si="40"/>
        <v>0</v>
      </c>
      <c r="AB394" s="26" t="str">
        <f t="shared" si="41"/>
        <v/>
      </c>
      <c r="AC394" s="26" t="str">
        <f>IF(MATCH(AB394,AB$300:$AB395,0),"0",1)</f>
        <v>0</v>
      </c>
    </row>
    <row r="395" spans="2:29" x14ac:dyDescent="0.35">
      <c r="B395" s="219"/>
      <c r="C395" s="216" t="s">
        <v>660</v>
      </c>
      <c r="D395" s="216"/>
      <c r="E395" s="220"/>
      <c r="F395" s="220"/>
      <c r="G395" s="220"/>
      <c r="H395" s="220" t="str">
        <f t="shared" si="35"/>
        <v/>
      </c>
      <c r="I395" s="460"/>
      <c r="J395" s="460"/>
      <c r="K395" s="460"/>
      <c r="L395" s="460"/>
      <c r="M395" s="460"/>
      <c r="N395" s="220"/>
      <c r="O395" s="220"/>
      <c r="P395" s="220"/>
      <c r="Q395" s="220"/>
      <c r="R395" s="221"/>
      <c r="S395" s="221"/>
      <c r="T395" s="316">
        <f t="shared" si="36"/>
        <v>0</v>
      </c>
      <c r="U395" s="217">
        <f t="shared" si="37"/>
        <v>0</v>
      </c>
      <c r="X395" s="26" t="str">
        <f t="shared" si="38"/>
        <v/>
      </c>
      <c r="Y395" s="21" t="str">
        <f>IF(MATCH(X395,X$300:$X396,0),"Si",1)</f>
        <v>Si</v>
      </c>
      <c r="Z395" s="26">
        <f t="shared" si="39"/>
        <v>0</v>
      </c>
      <c r="AA395" s="26">
        <f t="shared" si="40"/>
        <v>0</v>
      </c>
      <c r="AB395" s="26" t="str">
        <f t="shared" si="41"/>
        <v/>
      </c>
      <c r="AC395" s="26" t="str">
        <f>IF(MATCH(AB395,AB$300:$AB396,0),"0",1)</f>
        <v>0</v>
      </c>
    </row>
    <row r="396" spans="2:29" x14ac:dyDescent="0.35">
      <c r="B396" s="219"/>
      <c r="C396" s="216" t="s">
        <v>661</v>
      </c>
      <c r="D396" s="216"/>
      <c r="E396" s="220"/>
      <c r="F396" s="220"/>
      <c r="G396" s="220"/>
      <c r="H396" s="220" t="str">
        <f t="shared" si="35"/>
        <v/>
      </c>
      <c r="I396" s="460"/>
      <c r="J396" s="460"/>
      <c r="K396" s="460"/>
      <c r="L396" s="460"/>
      <c r="M396" s="460"/>
      <c r="N396" s="220"/>
      <c r="O396" s="220"/>
      <c r="P396" s="220"/>
      <c r="Q396" s="220"/>
      <c r="R396" s="221"/>
      <c r="S396" s="221"/>
      <c r="T396" s="316">
        <f t="shared" si="36"/>
        <v>0</v>
      </c>
      <c r="U396" s="217">
        <f t="shared" si="37"/>
        <v>0</v>
      </c>
      <c r="X396" s="26" t="str">
        <f t="shared" si="38"/>
        <v/>
      </c>
      <c r="Y396" s="21" t="str">
        <f>IF(MATCH(X396,X$300:$X397,0),"Si",1)</f>
        <v>Si</v>
      </c>
      <c r="Z396" s="26">
        <f t="shared" si="39"/>
        <v>0</v>
      </c>
      <c r="AA396" s="26">
        <f t="shared" si="40"/>
        <v>0</v>
      </c>
      <c r="AB396" s="26" t="str">
        <f t="shared" si="41"/>
        <v/>
      </c>
      <c r="AC396" s="26" t="str">
        <f>IF(MATCH(AB396,AB$300:$AB397,0),"0",1)</f>
        <v>0</v>
      </c>
    </row>
    <row r="397" spans="2:29" x14ac:dyDescent="0.35">
      <c r="B397" s="219"/>
      <c r="C397" s="216" t="s">
        <v>662</v>
      </c>
      <c r="D397" s="216"/>
      <c r="E397" s="220"/>
      <c r="F397" s="220"/>
      <c r="G397" s="220"/>
      <c r="H397" s="220" t="str">
        <f t="shared" si="35"/>
        <v/>
      </c>
      <c r="I397" s="460"/>
      <c r="J397" s="460"/>
      <c r="K397" s="460"/>
      <c r="L397" s="460"/>
      <c r="M397" s="460"/>
      <c r="N397" s="220"/>
      <c r="O397" s="220"/>
      <c r="P397" s="220"/>
      <c r="Q397" s="220"/>
      <c r="R397" s="221"/>
      <c r="S397" s="221"/>
      <c r="T397" s="316">
        <f t="shared" si="36"/>
        <v>0</v>
      </c>
      <c r="U397" s="217">
        <f t="shared" si="37"/>
        <v>0</v>
      </c>
      <c r="X397" s="26" t="str">
        <f t="shared" si="38"/>
        <v/>
      </c>
      <c r="Y397" s="21" t="str">
        <f>IF(MATCH(X397,X$300:$X398,0),"Si",1)</f>
        <v>Si</v>
      </c>
      <c r="Z397" s="26">
        <f t="shared" si="39"/>
        <v>0</v>
      </c>
      <c r="AA397" s="26">
        <f t="shared" si="40"/>
        <v>0</v>
      </c>
      <c r="AB397" s="26" t="str">
        <f t="shared" si="41"/>
        <v/>
      </c>
      <c r="AC397" s="26" t="str">
        <f>IF(MATCH(AB397,AB$300:$AB398,0),"0",1)</f>
        <v>0</v>
      </c>
    </row>
    <row r="398" spans="2:29" x14ac:dyDescent="0.35">
      <c r="B398" s="219"/>
      <c r="C398" s="216" t="s">
        <v>663</v>
      </c>
      <c r="D398" s="216"/>
      <c r="E398" s="220"/>
      <c r="F398" s="220"/>
      <c r="G398" s="220"/>
      <c r="H398" s="220" t="str">
        <f t="shared" si="35"/>
        <v/>
      </c>
      <c r="I398" s="460"/>
      <c r="J398" s="460"/>
      <c r="K398" s="460"/>
      <c r="L398" s="460"/>
      <c r="M398" s="460"/>
      <c r="N398" s="220"/>
      <c r="O398" s="220"/>
      <c r="P398" s="220"/>
      <c r="Q398" s="220"/>
      <c r="R398" s="221"/>
      <c r="S398" s="221"/>
      <c r="T398" s="316">
        <f t="shared" si="36"/>
        <v>0</v>
      </c>
      <c r="U398" s="217">
        <f t="shared" si="37"/>
        <v>0</v>
      </c>
      <c r="X398" s="26" t="str">
        <f t="shared" si="38"/>
        <v/>
      </c>
      <c r="Y398" s="21" t="str">
        <f>IF(MATCH(X398,X$300:$X399,0),"Si",1)</f>
        <v>Si</v>
      </c>
      <c r="Z398" s="26">
        <f t="shared" si="39"/>
        <v>0</v>
      </c>
      <c r="AA398" s="26">
        <f t="shared" si="40"/>
        <v>0</v>
      </c>
      <c r="AB398" s="26" t="str">
        <f t="shared" si="41"/>
        <v/>
      </c>
      <c r="AC398" s="26" t="str">
        <f>IF(MATCH(AB398,AB$300:$AB399,0),"0",1)</f>
        <v>0</v>
      </c>
    </row>
    <row r="399" spans="2:29" x14ac:dyDescent="0.35">
      <c r="B399" s="219"/>
      <c r="C399" s="216" t="s">
        <v>664</v>
      </c>
      <c r="D399" s="216"/>
      <c r="E399" s="220"/>
      <c r="F399" s="220"/>
      <c r="G399" s="220"/>
      <c r="H399" s="220" t="str">
        <f t="shared" si="35"/>
        <v/>
      </c>
      <c r="I399" s="460"/>
      <c r="J399" s="460"/>
      <c r="K399" s="460"/>
      <c r="L399" s="460"/>
      <c r="M399" s="460"/>
      <c r="N399" s="220"/>
      <c r="O399" s="220"/>
      <c r="P399" s="220"/>
      <c r="Q399" s="220"/>
      <c r="R399" s="221"/>
      <c r="S399" s="221"/>
      <c r="T399" s="316">
        <f t="shared" si="36"/>
        <v>0</v>
      </c>
      <c r="U399" s="217">
        <f t="shared" si="37"/>
        <v>0</v>
      </c>
      <c r="X399" s="26" t="str">
        <f t="shared" si="38"/>
        <v/>
      </c>
      <c r="Y399" s="21" t="str">
        <f>IF(MATCH(X399,X$300:$X400,0),"Si",1)</f>
        <v>Si</v>
      </c>
      <c r="Z399" s="26">
        <f t="shared" si="39"/>
        <v>0</v>
      </c>
      <c r="AA399" s="26">
        <f t="shared" si="40"/>
        <v>0</v>
      </c>
      <c r="AB399" s="26" t="str">
        <f t="shared" si="41"/>
        <v/>
      </c>
      <c r="AC399" s="26" t="str">
        <f>IF(MATCH(AB399,AB$300:$AB400,0),"0",1)</f>
        <v>0</v>
      </c>
    </row>
    <row r="400" spans="2:29" x14ac:dyDescent="0.35">
      <c r="B400" s="219"/>
      <c r="C400" s="216" t="s">
        <v>665</v>
      </c>
      <c r="D400" s="216"/>
      <c r="E400" s="220"/>
      <c r="F400" s="220"/>
      <c r="G400" s="220"/>
      <c r="H400" s="220" t="str">
        <f t="shared" si="35"/>
        <v/>
      </c>
      <c r="I400" s="460"/>
      <c r="J400" s="460"/>
      <c r="K400" s="460"/>
      <c r="L400" s="460"/>
      <c r="M400" s="460"/>
      <c r="N400" s="220"/>
      <c r="O400" s="220"/>
      <c r="P400" s="220"/>
      <c r="Q400" s="220"/>
      <c r="R400" s="221"/>
      <c r="S400" s="221"/>
      <c r="T400" s="316">
        <f t="shared" si="36"/>
        <v>0</v>
      </c>
      <c r="U400" s="217">
        <f t="shared" si="37"/>
        <v>0</v>
      </c>
      <c r="X400" s="26" t="str">
        <f t="shared" si="38"/>
        <v/>
      </c>
      <c r="Y400" s="21" t="str">
        <f>IF(MATCH(X400,X$300:$X401,0),"Si",1)</f>
        <v>Si</v>
      </c>
      <c r="Z400" s="26">
        <f t="shared" si="39"/>
        <v>0</v>
      </c>
      <c r="AA400" s="26">
        <f t="shared" si="40"/>
        <v>0</v>
      </c>
      <c r="AB400" s="26" t="str">
        <f t="shared" si="41"/>
        <v/>
      </c>
      <c r="AC400" s="26" t="str">
        <f>IF(MATCH(AB400,AB$300:$AB401,0),"0",1)</f>
        <v>0</v>
      </c>
    </row>
    <row r="401" spans="2:29" x14ac:dyDescent="0.35">
      <c r="B401" s="219"/>
      <c r="C401" s="216" t="s">
        <v>666</v>
      </c>
      <c r="D401" s="216"/>
      <c r="E401" s="220"/>
      <c r="F401" s="220"/>
      <c r="G401" s="220"/>
      <c r="H401" s="220" t="str">
        <f t="shared" si="35"/>
        <v/>
      </c>
      <c r="I401" s="460"/>
      <c r="J401" s="460"/>
      <c r="K401" s="460"/>
      <c r="L401" s="460"/>
      <c r="M401" s="460"/>
      <c r="N401" s="220"/>
      <c r="O401" s="220"/>
      <c r="P401" s="220"/>
      <c r="Q401" s="220"/>
      <c r="R401" s="221"/>
      <c r="S401" s="221"/>
      <c r="T401" s="316">
        <f t="shared" si="36"/>
        <v>0</v>
      </c>
      <c r="U401" s="217">
        <f t="shared" si="37"/>
        <v>0</v>
      </c>
      <c r="X401" s="26" t="str">
        <f t="shared" si="38"/>
        <v/>
      </c>
      <c r="Y401" s="21" t="str">
        <f>IF(MATCH(X401,X$300:$X402,0),"Si",1)</f>
        <v>Si</v>
      </c>
      <c r="Z401" s="26">
        <f t="shared" si="39"/>
        <v>0</v>
      </c>
      <c r="AA401" s="26">
        <f t="shared" si="40"/>
        <v>0</v>
      </c>
      <c r="AB401" s="26" t="str">
        <f t="shared" si="41"/>
        <v/>
      </c>
      <c r="AC401" s="26" t="str">
        <f>IF(MATCH(AB401,AB$300:$AB402,0),"0",1)</f>
        <v>0</v>
      </c>
    </row>
    <row r="402" spans="2:29" x14ac:dyDescent="0.35">
      <c r="B402" s="219"/>
      <c r="C402" s="216" t="s">
        <v>667</v>
      </c>
      <c r="D402" s="216"/>
      <c r="E402" s="220"/>
      <c r="F402" s="220"/>
      <c r="G402" s="220"/>
      <c r="H402" s="220" t="str">
        <f t="shared" ref="H402:H465" si="42">IF(G402=0,"",IF(G402&lt;&gt;"Error","No",""))</f>
        <v/>
      </c>
      <c r="I402" s="460"/>
      <c r="J402" s="460"/>
      <c r="K402" s="460"/>
      <c r="L402" s="460"/>
      <c r="M402" s="460"/>
      <c r="N402" s="220"/>
      <c r="O402" s="220"/>
      <c r="P402" s="220"/>
      <c r="Q402" s="220"/>
      <c r="R402" s="221"/>
      <c r="S402" s="221"/>
      <c r="T402" s="316">
        <f t="shared" si="36"/>
        <v>0</v>
      </c>
      <c r="U402" s="217">
        <f t="shared" si="37"/>
        <v>0</v>
      </c>
      <c r="X402" s="26" t="str">
        <f t="shared" si="38"/>
        <v/>
      </c>
      <c r="Y402" s="21" t="str">
        <f>IF(MATCH(X402,X$300:$X403,0),"Si",1)</f>
        <v>Si</v>
      </c>
      <c r="Z402" s="26">
        <f t="shared" si="39"/>
        <v>0</v>
      </c>
      <c r="AA402" s="26">
        <f t="shared" si="40"/>
        <v>0</v>
      </c>
      <c r="AB402" s="26" t="str">
        <f t="shared" si="41"/>
        <v/>
      </c>
      <c r="AC402" s="26" t="str">
        <f>IF(MATCH(AB402,AB$300:$AB403,0),"0",1)</f>
        <v>0</v>
      </c>
    </row>
    <row r="403" spans="2:29" x14ac:dyDescent="0.35">
      <c r="B403" s="219"/>
      <c r="C403" s="216" t="s">
        <v>668</v>
      </c>
      <c r="D403" s="216"/>
      <c r="E403" s="220"/>
      <c r="F403" s="220"/>
      <c r="G403" s="220"/>
      <c r="H403" s="220" t="str">
        <f t="shared" si="42"/>
        <v/>
      </c>
      <c r="I403" s="460"/>
      <c r="J403" s="460"/>
      <c r="K403" s="460"/>
      <c r="L403" s="460"/>
      <c r="M403" s="460"/>
      <c r="N403" s="220"/>
      <c r="O403" s="220"/>
      <c r="P403" s="220"/>
      <c r="Q403" s="220"/>
      <c r="R403" s="221"/>
      <c r="S403" s="221"/>
      <c r="T403" s="316">
        <f t="shared" ref="T403:T417" si="43">IF(S403=0,0,IF(S403&lt;R403,"Error en fecha solución",IFERROR(AC403,NETWORKDAYS(R403,S403)-1)))</f>
        <v>0</v>
      </c>
      <c r="U403" s="217">
        <f t="shared" ref="U403:U417" si="44">IFERROR(T403*8,"Error")</f>
        <v>0</v>
      </c>
      <c r="X403" s="26" t="str">
        <f t="shared" ref="X403:X417" si="45">CONCATENATE(H403,O403,R403,S403)</f>
        <v/>
      </c>
      <c r="Y403" s="21" t="str">
        <f>IF(MATCH(X403,X$300:$X404,0),"Si",1)</f>
        <v>Si</v>
      </c>
      <c r="Z403" s="26">
        <f t="shared" ref="Z403:Z417" si="46">IF(S403=0,0,IF(S403&lt;R403,"Error en fecha solución",IF(Y403="Si",0,IFERROR(Y403,NETWORKDAYS(R403,S403)-1))))</f>
        <v>0</v>
      </c>
      <c r="AA403" s="26">
        <f t="shared" ref="AA403:AA417" si="47">IF(S403=0,0,IF(S403&lt;R403,"Error en fecha solución",IFERROR(Z403,NETWORKDAYS(R403,S403)-1)))</f>
        <v>0</v>
      </c>
      <c r="AB403" s="26" t="str">
        <f t="shared" ref="AB403:AB417" si="48">CONCATENATE(R403,S403)</f>
        <v/>
      </c>
      <c r="AC403" s="26" t="str">
        <f>IF(MATCH(AB403,AB$300:$AB404,0),"0",1)</f>
        <v>0</v>
      </c>
    </row>
    <row r="404" spans="2:29" x14ac:dyDescent="0.35">
      <c r="B404" s="219"/>
      <c r="C404" s="216" t="s">
        <v>669</v>
      </c>
      <c r="D404" s="216"/>
      <c r="E404" s="220"/>
      <c r="F404" s="220"/>
      <c r="G404" s="220"/>
      <c r="H404" s="220" t="str">
        <f t="shared" si="42"/>
        <v/>
      </c>
      <c r="I404" s="460"/>
      <c r="J404" s="460"/>
      <c r="K404" s="460"/>
      <c r="L404" s="460"/>
      <c r="M404" s="460"/>
      <c r="N404" s="220"/>
      <c r="O404" s="220"/>
      <c r="P404" s="220"/>
      <c r="Q404" s="220"/>
      <c r="R404" s="221"/>
      <c r="S404" s="221"/>
      <c r="T404" s="316">
        <f t="shared" si="43"/>
        <v>0</v>
      </c>
      <c r="U404" s="217">
        <f t="shared" si="44"/>
        <v>0</v>
      </c>
      <c r="X404" s="26" t="str">
        <f t="shared" si="45"/>
        <v/>
      </c>
      <c r="Y404" s="21" t="str">
        <f>IF(MATCH(X404,X$300:$X405,0),"Si",1)</f>
        <v>Si</v>
      </c>
      <c r="Z404" s="26">
        <f t="shared" si="46"/>
        <v>0</v>
      </c>
      <c r="AA404" s="26">
        <f t="shared" si="47"/>
        <v>0</v>
      </c>
      <c r="AB404" s="26" t="str">
        <f t="shared" si="48"/>
        <v/>
      </c>
      <c r="AC404" s="26" t="str">
        <f>IF(MATCH(AB404,AB$300:$AB405,0),"0",1)</f>
        <v>0</v>
      </c>
    </row>
    <row r="405" spans="2:29" x14ac:dyDescent="0.35">
      <c r="B405" s="219"/>
      <c r="C405" s="216" t="s">
        <v>670</v>
      </c>
      <c r="D405" s="216"/>
      <c r="E405" s="220"/>
      <c r="F405" s="220"/>
      <c r="G405" s="220"/>
      <c r="H405" s="220" t="str">
        <f t="shared" si="42"/>
        <v/>
      </c>
      <c r="I405" s="460"/>
      <c r="J405" s="460"/>
      <c r="K405" s="460"/>
      <c r="L405" s="460"/>
      <c r="M405" s="460"/>
      <c r="N405" s="220"/>
      <c r="O405" s="220"/>
      <c r="P405" s="220"/>
      <c r="Q405" s="220"/>
      <c r="R405" s="221"/>
      <c r="S405" s="221"/>
      <c r="T405" s="316">
        <f t="shared" si="43"/>
        <v>0</v>
      </c>
      <c r="U405" s="217">
        <f t="shared" si="44"/>
        <v>0</v>
      </c>
      <c r="X405" s="26" t="str">
        <f t="shared" si="45"/>
        <v/>
      </c>
      <c r="Y405" s="21" t="str">
        <f>IF(MATCH(X405,X$300:$X406,0),"Si",1)</f>
        <v>Si</v>
      </c>
      <c r="Z405" s="26">
        <f t="shared" si="46"/>
        <v>0</v>
      </c>
      <c r="AA405" s="26">
        <f t="shared" si="47"/>
        <v>0</v>
      </c>
      <c r="AB405" s="26" t="str">
        <f t="shared" si="48"/>
        <v/>
      </c>
      <c r="AC405" s="26" t="str">
        <f>IF(MATCH(AB405,AB$300:$AB406,0),"0",1)</f>
        <v>0</v>
      </c>
    </row>
    <row r="406" spans="2:29" x14ac:dyDescent="0.35">
      <c r="B406" s="219"/>
      <c r="C406" s="216" t="s">
        <v>671</v>
      </c>
      <c r="D406" s="216"/>
      <c r="E406" s="220"/>
      <c r="F406" s="220"/>
      <c r="G406" s="220"/>
      <c r="H406" s="220" t="str">
        <f t="shared" si="42"/>
        <v/>
      </c>
      <c r="I406" s="460"/>
      <c r="J406" s="460"/>
      <c r="K406" s="460"/>
      <c r="L406" s="460"/>
      <c r="M406" s="460"/>
      <c r="N406" s="220"/>
      <c r="O406" s="220"/>
      <c r="P406" s="220"/>
      <c r="Q406" s="220"/>
      <c r="R406" s="221"/>
      <c r="S406" s="221"/>
      <c r="T406" s="316">
        <f t="shared" si="43"/>
        <v>0</v>
      </c>
      <c r="U406" s="217">
        <f t="shared" si="44"/>
        <v>0</v>
      </c>
      <c r="X406" s="26" t="str">
        <f t="shared" si="45"/>
        <v/>
      </c>
      <c r="Y406" s="21" t="str">
        <f>IF(MATCH(X406,X$300:$X407,0),"Si",1)</f>
        <v>Si</v>
      </c>
      <c r="Z406" s="26">
        <f t="shared" si="46"/>
        <v>0</v>
      </c>
      <c r="AA406" s="26">
        <f t="shared" si="47"/>
        <v>0</v>
      </c>
      <c r="AB406" s="26" t="str">
        <f t="shared" si="48"/>
        <v/>
      </c>
      <c r="AC406" s="26" t="str">
        <f>IF(MATCH(AB406,AB$300:$AB407,0),"0",1)</f>
        <v>0</v>
      </c>
    </row>
    <row r="407" spans="2:29" x14ac:dyDescent="0.35">
      <c r="B407" s="219"/>
      <c r="C407" s="216" t="s">
        <v>672</v>
      </c>
      <c r="D407" s="216"/>
      <c r="E407" s="220"/>
      <c r="F407" s="220"/>
      <c r="G407" s="220"/>
      <c r="H407" s="220" t="str">
        <f t="shared" si="42"/>
        <v/>
      </c>
      <c r="I407" s="460"/>
      <c r="J407" s="460"/>
      <c r="K407" s="460"/>
      <c r="L407" s="460"/>
      <c r="M407" s="460"/>
      <c r="N407" s="220"/>
      <c r="O407" s="220"/>
      <c r="P407" s="220"/>
      <c r="Q407" s="220"/>
      <c r="R407" s="221"/>
      <c r="S407" s="221"/>
      <c r="T407" s="316">
        <f t="shared" si="43"/>
        <v>0</v>
      </c>
      <c r="U407" s="217">
        <f t="shared" si="44"/>
        <v>0</v>
      </c>
      <c r="X407" s="26" t="str">
        <f t="shared" si="45"/>
        <v/>
      </c>
      <c r="Y407" s="21" t="str">
        <f>IF(MATCH(X407,X$300:$X408,0),"Si",1)</f>
        <v>Si</v>
      </c>
      <c r="Z407" s="26">
        <f t="shared" si="46"/>
        <v>0</v>
      </c>
      <c r="AA407" s="26">
        <f t="shared" si="47"/>
        <v>0</v>
      </c>
      <c r="AB407" s="26" t="str">
        <f t="shared" si="48"/>
        <v/>
      </c>
      <c r="AC407" s="26" t="str">
        <f>IF(MATCH(AB407,AB$300:$AB408,0),"0",1)</f>
        <v>0</v>
      </c>
    </row>
    <row r="408" spans="2:29" x14ac:dyDescent="0.35">
      <c r="B408" s="219"/>
      <c r="C408" s="216" t="s">
        <v>673</v>
      </c>
      <c r="D408" s="216"/>
      <c r="E408" s="220"/>
      <c r="F408" s="220"/>
      <c r="G408" s="220"/>
      <c r="H408" s="220" t="str">
        <f t="shared" si="42"/>
        <v/>
      </c>
      <c r="I408" s="460"/>
      <c r="J408" s="460"/>
      <c r="K408" s="460"/>
      <c r="L408" s="460"/>
      <c r="M408" s="460"/>
      <c r="N408" s="220"/>
      <c r="O408" s="220"/>
      <c r="P408" s="220"/>
      <c r="Q408" s="220"/>
      <c r="R408" s="221"/>
      <c r="S408" s="221"/>
      <c r="T408" s="316">
        <f t="shared" si="43"/>
        <v>0</v>
      </c>
      <c r="U408" s="217">
        <f t="shared" si="44"/>
        <v>0</v>
      </c>
      <c r="X408" s="26" t="str">
        <f t="shared" si="45"/>
        <v/>
      </c>
      <c r="Y408" s="21" t="str">
        <f>IF(MATCH(X408,X$300:$X409,0),"Si",1)</f>
        <v>Si</v>
      </c>
      <c r="Z408" s="26">
        <f t="shared" si="46"/>
        <v>0</v>
      </c>
      <c r="AA408" s="26">
        <f t="shared" si="47"/>
        <v>0</v>
      </c>
      <c r="AB408" s="26" t="str">
        <f t="shared" si="48"/>
        <v/>
      </c>
      <c r="AC408" s="26" t="str">
        <f>IF(MATCH(AB408,AB$300:$AB409,0),"0",1)</f>
        <v>0</v>
      </c>
    </row>
    <row r="409" spans="2:29" x14ac:dyDescent="0.35">
      <c r="B409" s="219"/>
      <c r="C409" s="216" t="s">
        <v>674</v>
      </c>
      <c r="D409" s="216"/>
      <c r="E409" s="220"/>
      <c r="F409" s="220"/>
      <c r="G409" s="220"/>
      <c r="H409" s="220" t="str">
        <f t="shared" si="42"/>
        <v/>
      </c>
      <c r="I409" s="460"/>
      <c r="J409" s="460"/>
      <c r="K409" s="460"/>
      <c r="L409" s="460"/>
      <c r="M409" s="460"/>
      <c r="N409" s="220"/>
      <c r="O409" s="220"/>
      <c r="P409" s="220"/>
      <c r="Q409" s="220"/>
      <c r="R409" s="221"/>
      <c r="S409" s="221"/>
      <c r="T409" s="316">
        <f t="shared" si="43"/>
        <v>0</v>
      </c>
      <c r="U409" s="217">
        <f t="shared" si="44"/>
        <v>0</v>
      </c>
      <c r="X409" s="26" t="str">
        <f t="shared" si="45"/>
        <v/>
      </c>
      <c r="Y409" s="21" t="str">
        <f>IF(MATCH(X409,X$300:$X410,0),"Si",1)</f>
        <v>Si</v>
      </c>
      <c r="Z409" s="26">
        <f t="shared" si="46"/>
        <v>0</v>
      </c>
      <c r="AA409" s="26">
        <f t="shared" si="47"/>
        <v>0</v>
      </c>
      <c r="AB409" s="26" t="str">
        <f t="shared" si="48"/>
        <v/>
      </c>
      <c r="AC409" s="26" t="str">
        <f>IF(MATCH(AB409,AB$300:$AB410,0),"0",1)</f>
        <v>0</v>
      </c>
    </row>
    <row r="410" spans="2:29" x14ac:dyDescent="0.35">
      <c r="B410" s="219"/>
      <c r="C410" s="216" t="s">
        <v>675</v>
      </c>
      <c r="D410" s="216"/>
      <c r="E410" s="220"/>
      <c r="F410" s="220"/>
      <c r="G410" s="220"/>
      <c r="H410" s="220" t="str">
        <f t="shared" si="42"/>
        <v/>
      </c>
      <c r="I410" s="460"/>
      <c r="J410" s="460"/>
      <c r="K410" s="460"/>
      <c r="L410" s="460"/>
      <c r="M410" s="460"/>
      <c r="N410" s="220"/>
      <c r="O410" s="220"/>
      <c r="P410" s="220"/>
      <c r="Q410" s="220"/>
      <c r="R410" s="221"/>
      <c r="S410" s="221"/>
      <c r="T410" s="316">
        <f t="shared" si="43"/>
        <v>0</v>
      </c>
      <c r="U410" s="217">
        <f t="shared" si="44"/>
        <v>0</v>
      </c>
      <c r="X410" s="26" t="str">
        <f t="shared" si="45"/>
        <v/>
      </c>
      <c r="Y410" s="21" t="str">
        <f>IF(MATCH(X410,X$300:$X411,0),"Si",1)</f>
        <v>Si</v>
      </c>
      <c r="Z410" s="26">
        <f t="shared" si="46"/>
        <v>0</v>
      </c>
      <c r="AA410" s="26">
        <f t="shared" si="47"/>
        <v>0</v>
      </c>
      <c r="AB410" s="26" t="str">
        <f t="shared" si="48"/>
        <v/>
      </c>
      <c r="AC410" s="26" t="str">
        <f>IF(MATCH(AB410,AB$300:$AB411,0),"0",1)</f>
        <v>0</v>
      </c>
    </row>
    <row r="411" spans="2:29" x14ac:dyDescent="0.35">
      <c r="B411" s="219"/>
      <c r="C411" s="216" t="s">
        <v>676</v>
      </c>
      <c r="D411" s="216"/>
      <c r="E411" s="220"/>
      <c r="F411" s="220"/>
      <c r="G411" s="220"/>
      <c r="H411" s="220" t="str">
        <f t="shared" si="42"/>
        <v/>
      </c>
      <c r="I411" s="460"/>
      <c r="J411" s="460"/>
      <c r="K411" s="460"/>
      <c r="L411" s="460"/>
      <c r="M411" s="460"/>
      <c r="N411" s="220"/>
      <c r="O411" s="220"/>
      <c r="P411" s="220"/>
      <c r="Q411" s="220"/>
      <c r="R411" s="221"/>
      <c r="S411" s="221"/>
      <c r="T411" s="316">
        <f t="shared" si="43"/>
        <v>0</v>
      </c>
      <c r="U411" s="217">
        <f t="shared" si="44"/>
        <v>0</v>
      </c>
      <c r="X411" s="26" t="str">
        <f t="shared" si="45"/>
        <v/>
      </c>
      <c r="Y411" s="21" t="str">
        <f>IF(MATCH(X411,X$300:$X412,0),"Si",1)</f>
        <v>Si</v>
      </c>
      <c r="Z411" s="26">
        <f t="shared" si="46"/>
        <v>0</v>
      </c>
      <c r="AA411" s="26">
        <f t="shared" si="47"/>
        <v>0</v>
      </c>
      <c r="AB411" s="26" t="str">
        <f t="shared" si="48"/>
        <v/>
      </c>
      <c r="AC411" s="26" t="str">
        <f>IF(MATCH(AB411,AB$300:$AB412,0),"0",1)</f>
        <v>0</v>
      </c>
    </row>
    <row r="412" spans="2:29" x14ac:dyDescent="0.35">
      <c r="B412" s="219"/>
      <c r="C412" s="216" t="s">
        <v>677</v>
      </c>
      <c r="D412" s="216"/>
      <c r="E412" s="220"/>
      <c r="F412" s="220"/>
      <c r="G412" s="220"/>
      <c r="H412" s="220" t="str">
        <f t="shared" si="42"/>
        <v/>
      </c>
      <c r="I412" s="460"/>
      <c r="J412" s="460"/>
      <c r="K412" s="460"/>
      <c r="L412" s="460"/>
      <c r="M412" s="460"/>
      <c r="N412" s="220"/>
      <c r="O412" s="220"/>
      <c r="P412" s="220"/>
      <c r="Q412" s="220"/>
      <c r="R412" s="221"/>
      <c r="S412" s="221"/>
      <c r="T412" s="316">
        <f t="shared" si="43"/>
        <v>0</v>
      </c>
      <c r="U412" s="217">
        <f t="shared" si="44"/>
        <v>0</v>
      </c>
      <c r="X412" s="26" t="str">
        <f t="shared" si="45"/>
        <v/>
      </c>
      <c r="Y412" s="21" t="str">
        <f>IF(MATCH(X412,X$300:$X413,0),"Si",1)</f>
        <v>Si</v>
      </c>
      <c r="Z412" s="26">
        <f t="shared" si="46"/>
        <v>0</v>
      </c>
      <c r="AA412" s="26">
        <f t="shared" si="47"/>
        <v>0</v>
      </c>
      <c r="AB412" s="26" t="str">
        <f t="shared" si="48"/>
        <v/>
      </c>
      <c r="AC412" s="26" t="str">
        <f>IF(MATCH(AB412,AB$300:$AB413,0),"0",1)</f>
        <v>0</v>
      </c>
    </row>
    <row r="413" spans="2:29" x14ac:dyDescent="0.35">
      <c r="B413" s="219"/>
      <c r="C413" s="216" t="s">
        <v>678</v>
      </c>
      <c r="D413" s="216"/>
      <c r="E413" s="220"/>
      <c r="F413" s="220"/>
      <c r="G413" s="220"/>
      <c r="H413" s="220" t="str">
        <f t="shared" si="42"/>
        <v/>
      </c>
      <c r="I413" s="460"/>
      <c r="J413" s="460"/>
      <c r="K413" s="460"/>
      <c r="L413" s="460"/>
      <c r="M413" s="460"/>
      <c r="N413" s="220"/>
      <c r="O413" s="220"/>
      <c r="P413" s="220"/>
      <c r="Q413" s="220"/>
      <c r="R413" s="221"/>
      <c r="S413" s="221"/>
      <c r="T413" s="316">
        <f t="shared" si="43"/>
        <v>0</v>
      </c>
      <c r="U413" s="217">
        <f t="shared" si="44"/>
        <v>0</v>
      </c>
      <c r="X413" s="26" t="str">
        <f t="shared" si="45"/>
        <v/>
      </c>
      <c r="Y413" s="21" t="str">
        <f>IF(MATCH(X413,X$300:$X414,0),"Si",1)</f>
        <v>Si</v>
      </c>
      <c r="Z413" s="26">
        <f t="shared" si="46"/>
        <v>0</v>
      </c>
      <c r="AA413" s="26">
        <f t="shared" si="47"/>
        <v>0</v>
      </c>
      <c r="AB413" s="26" t="str">
        <f t="shared" si="48"/>
        <v/>
      </c>
      <c r="AC413" s="26" t="str">
        <f>IF(MATCH(AB413,AB$300:$AB414,0),"0",1)</f>
        <v>0</v>
      </c>
    </row>
    <row r="414" spans="2:29" x14ac:dyDescent="0.35">
      <c r="B414" s="219"/>
      <c r="C414" s="216" t="s">
        <v>679</v>
      </c>
      <c r="D414" s="216"/>
      <c r="E414" s="220"/>
      <c r="F414" s="220"/>
      <c r="G414" s="220"/>
      <c r="H414" s="220" t="str">
        <f t="shared" si="42"/>
        <v/>
      </c>
      <c r="I414" s="460"/>
      <c r="J414" s="460"/>
      <c r="K414" s="460"/>
      <c r="L414" s="460"/>
      <c r="M414" s="460"/>
      <c r="N414" s="220"/>
      <c r="O414" s="220"/>
      <c r="P414" s="220"/>
      <c r="Q414" s="220"/>
      <c r="R414" s="221"/>
      <c r="S414" s="221"/>
      <c r="T414" s="316">
        <f t="shared" si="43"/>
        <v>0</v>
      </c>
      <c r="U414" s="217">
        <f t="shared" si="44"/>
        <v>0</v>
      </c>
      <c r="X414" s="26" t="str">
        <f t="shared" si="45"/>
        <v/>
      </c>
      <c r="Y414" s="21" t="str">
        <f>IF(MATCH(X414,X$300:$X415,0),"Si",1)</f>
        <v>Si</v>
      </c>
      <c r="Z414" s="26">
        <f t="shared" si="46"/>
        <v>0</v>
      </c>
      <c r="AA414" s="26">
        <f t="shared" si="47"/>
        <v>0</v>
      </c>
      <c r="AB414" s="26" t="str">
        <f t="shared" si="48"/>
        <v/>
      </c>
      <c r="AC414" s="26" t="str">
        <f>IF(MATCH(AB414,AB$300:$AB415,0),"0",1)</f>
        <v>0</v>
      </c>
    </row>
    <row r="415" spans="2:29" x14ac:dyDescent="0.35">
      <c r="B415" s="219"/>
      <c r="C415" s="216" t="s">
        <v>680</v>
      </c>
      <c r="D415" s="216"/>
      <c r="E415" s="220"/>
      <c r="F415" s="220"/>
      <c r="G415" s="220"/>
      <c r="H415" s="220" t="str">
        <f t="shared" si="42"/>
        <v/>
      </c>
      <c r="I415" s="460"/>
      <c r="J415" s="460"/>
      <c r="K415" s="460"/>
      <c r="L415" s="460"/>
      <c r="M415" s="460"/>
      <c r="N415" s="220"/>
      <c r="O415" s="220"/>
      <c r="P415" s="220"/>
      <c r="Q415" s="220"/>
      <c r="R415" s="221"/>
      <c r="S415" s="221"/>
      <c r="T415" s="316">
        <f t="shared" si="43"/>
        <v>0</v>
      </c>
      <c r="U415" s="217">
        <f t="shared" si="44"/>
        <v>0</v>
      </c>
      <c r="X415" s="26" t="str">
        <f t="shared" si="45"/>
        <v/>
      </c>
      <c r="Y415" s="21" t="str">
        <f>IF(MATCH(X415,X$300:$X416,0),"Si",1)</f>
        <v>Si</v>
      </c>
      <c r="Z415" s="26">
        <f t="shared" si="46"/>
        <v>0</v>
      </c>
      <c r="AA415" s="26">
        <f t="shared" si="47"/>
        <v>0</v>
      </c>
      <c r="AB415" s="26" t="str">
        <f t="shared" si="48"/>
        <v/>
      </c>
      <c r="AC415" s="26" t="str">
        <f>IF(MATCH(AB415,AB$300:$AB416,0),"0",1)</f>
        <v>0</v>
      </c>
    </row>
    <row r="416" spans="2:29" x14ac:dyDescent="0.35">
      <c r="B416" s="219"/>
      <c r="C416" s="216" t="s">
        <v>681</v>
      </c>
      <c r="D416" s="216"/>
      <c r="E416" s="220"/>
      <c r="F416" s="220"/>
      <c r="G416" s="220"/>
      <c r="H416" s="220" t="str">
        <f t="shared" si="42"/>
        <v/>
      </c>
      <c r="I416" s="460"/>
      <c r="J416" s="460"/>
      <c r="K416" s="460"/>
      <c r="L416" s="460"/>
      <c r="M416" s="460"/>
      <c r="N416" s="220"/>
      <c r="O416" s="220"/>
      <c r="P416" s="220"/>
      <c r="Q416" s="220"/>
      <c r="R416" s="221"/>
      <c r="S416" s="221"/>
      <c r="T416" s="316">
        <f t="shared" si="43"/>
        <v>0</v>
      </c>
      <c r="U416" s="217">
        <f t="shared" si="44"/>
        <v>0</v>
      </c>
      <c r="X416" s="26" t="str">
        <f t="shared" si="45"/>
        <v/>
      </c>
      <c r="Y416" s="21" t="str">
        <f>IF(MATCH(X416,X$300:$X417,0),"Si",1)</f>
        <v>Si</v>
      </c>
      <c r="Z416" s="26">
        <f t="shared" si="46"/>
        <v>0</v>
      </c>
      <c r="AA416" s="26">
        <f t="shared" si="47"/>
        <v>0</v>
      </c>
      <c r="AB416" s="26" t="str">
        <f t="shared" si="48"/>
        <v/>
      </c>
      <c r="AC416" s="26" t="str">
        <f>IF(MATCH(AB416,AB$300:$AB417,0),"0",1)</f>
        <v>0</v>
      </c>
    </row>
    <row r="417" spans="2:29" x14ac:dyDescent="0.35">
      <c r="B417" s="219"/>
      <c r="C417" s="216" t="s">
        <v>682</v>
      </c>
      <c r="D417" s="216"/>
      <c r="E417" s="220"/>
      <c r="F417" s="220"/>
      <c r="G417" s="220"/>
      <c r="H417" s="220" t="str">
        <f t="shared" si="42"/>
        <v/>
      </c>
      <c r="I417" s="460"/>
      <c r="J417" s="460"/>
      <c r="K417" s="460"/>
      <c r="L417" s="460"/>
      <c r="M417" s="460"/>
      <c r="N417" s="220"/>
      <c r="O417" s="220"/>
      <c r="P417" s="220"/>
      <c r="Q417" s="220"/>
      <c r="R417" s="221"/>
      <c r="S417" s="221"/>
      <c r="T417" s="316">
        <f t="shared" si="43"/>
        <v>0</v>
      </c>
      <c r="U417" s="217">
        <f t="shared" si="44"/>
        <v>0</v>
      </c>
      <c r="X417" s="26" t="str">
        <f t="shared" si="45"/>
        <v/>
      </c>
      <c r="Y417" s="21" t="str">
        <f>IF(MATCH(X417,X$300:$X418,0),"Si",1)</f>
        <v>Si</v>
      </c>
      <c r="Z417" s="26">
        <f t="shared" si="46"/>
        <v>0</v>
      </c>
      <c r="AA417" s="26">
        <f t="shared" si="47"/>
        <v>0</v>
      </c>
      <c r="AB417" s="26" t="str">
        <f t="shared" si="48"/>
        <v/>
      </c>
      <c r="AC417" s="26" t="str">
        <f>IF(MATCH(AB417,AB$300:$AB418,0),"0",1)</f>
        <v>0</v>
      </c>
    </row>
    <row r="418" spans="2:29" x14ac:dyDescent="0.35">
      <c r="B418" s="219"/>
      <c r="C418" s="216" t="s">
        <v>904</v>
      </c>
      <c r="D418" s="216"/>
      <c r="E418" s="220"/>
      <c r="F418" s="220"/>
      <c r="G418" s="220"/>
      <c r="H418" s="220" t="str">
        <f t="shared" si="42"/>
        <v/>
      </c>
      <c r="I418" s="460"/>
      <c r="J418" s="460"/>
      <c r="K418" s="460"/>
      <c r="L418" s="460"/>
      <c r="M418" s="460"/>
      <c r="N418" s="220"/>
      <c r="O418" s="220"/>
      <c r="P418" s="220"/>
      <c r="Q418" s="220"/>
      <c r="R418" s="221"/>
      <c r="S418" s="221"/>
      <c r="T418" s="316">
        <f t="shared" ref="T418:T436" si="49">IF(S418=0,0,IF(S418&lt;R418,"Error en fecha solución",IFERROR(AC418,NETWORKDAYS(R418,S418)-1)))</f>
        <v>0</v>
      </c>
      <c r="U418" s="217">
        <f t="shared" ref="U418:U436" si="50">IFERROR(T418*8,"Error")</f>
        <v>0</v>
      </c>
      <c r="X418" s="26" t="str">
        <f t="shared" ref="X418:X436" si="51">CONCATENATE(H418,O418,R418,S418)</f>
        <v/>
      </c>
      <c r="Y418" s="21" t="str">
        <f>IF(MATCH(X418,X$300:$X419,0),"Si",1)</f>
        <v>Si</v>
      </c>
      <c r="Z418" s="26">
        <f t="shared" ref="Z418:Z436" si="52">IF(S418=0,0,IF(S418&lt;R418,"Error en fecha solución",IF(Y418="Si",0,IFERROR(Y418,NETWORKDAYS(R418,S418)-1))))</f>
        <v>0</v>
      </c>
      <c r="AA418" s="26">
        <f t="shared" ref="AA418:AA436" si="53">IF(S418=0,0,IF(S418&lt;R418,"Error en fecha solución",IFERROR(Z418,NETWORKDAYS(R418,S418)-1)))</f>
        <v>0</v>
      </c>
      <c r="AB418" s="26" t="str">
        <f t="shared" ref="AB418:AB436" si="54">CONCATENATE(R418,S418)</f>
        <v/>
      </c>
      <c r="AC418" s="26" t="str">
        <f>IF(MATCH(AB418,AB$300:$AB419,0),"0",1)</f>
        <v>0</v>
      </c>
    </row>
    <row r="419" spans="2:29" x14ac:dyDescent="0.35">
      <c r="B419" s="219"/>
      <c r="C419" s="216" t="s">
        <v>905</v>
      </c>
      <c r="D419" s="216"/>
      <c r="E419" s="220"/>
      <c r="F419" s="220"/>
      <c r="G419" s="220"/>
      <c r="H419" s="220" t="str">
        <f t="shared" si="42"/>
        <v/>
      </c>
      <c r="I419" s="460"/>
      <c r="J419" s="460"/>
      <c r="K419" s="460"/>
      <c r="L419" s="460"/>
      <c r="M419" s="460"/>
      <c r="N419" s="220"/>
      <c r="O419" s="220"/>
      <c r="P419" s="220"/>
      <c r="Q419" s="220"/>
      <c r="R419" s="221"/>
      <c r="S419" s="221"/>
      <c r="T419" s="316">
        <f t="shared" si="49"/>
        <v>0</v>
      </c>
      <c r="U419" s="217">
        <f t="shared" si="50"/>
        <v>0</v>
      </c>
      <c r="X419" s="26" t="str">
        <f t="shared" si="51"/>
        <v/>
      </c>
      <c r="Y419" s="21" t="str">
        <f>IF(MATCH(X419,X$300:$X420,0),"Si",1)</f>
        <v>Si</v>
      </c>
      <c r="Z419" s="26">
        <f t="shared" si="52"/>
        <v>0</v>
      </c>
      <c r="AA419" s="26">
        <f t="shared" si="53"/>
        <v>0</v>
      </c>
      <c r="AB419" s="26" t="str">
        <f t="shared" si="54"/>
        <v/>
      </c>
      <c r="AC419" s="26" t="str">
        <f>IF(MATCH(AB419,AB$300:$AB420,0),"0",1)</f>
        <v>0</v>
      </c>
    </row>
    <row r="420" spans="2:29" x14ac:dyDescent="0.35">
      <c r="B420" s="219"/>
      <c r="C420" s="216" t="s">
        <v>906</v>
      </c>
      <c r="D420" s="216"/>
      <c r="E420" s="220"/>
      <c r="F420" s="220"/>
      <c r="G420" s="220"/>
      <c r="H420" s="220" t="str">
        <f t="shared" si="42"/>
        <v/>
      </c>
      <c r="I420" s="460"/>
      <c r="J420" s="460"/>
      <c r="K420" s="460"/>
      <c r="L420" s="460"/>
      <c r="M420" s="460"/>
      <c r="N420" s="220"/>
      <c r="O420" s="220"/>
      <c r="P420" s="220"/>
      <c r="Q420" s="220"/>
      <c r="R420" s="221"/>
      <c r="S420" s="221"/>
      <c r="T420" s="316">
        <f t="shared" si="49"/>
        <v>0</v>
      </c>
      <c r="U420" s="217">
        <f t="shared" si="50"/>
        <v>0</v>
      </c>
      <c r="X420" s="26" t="str">
        <f t="shared" si="51"/>
        <v/>
      </c>
      <c r="Y420" s="21" t="str">
        <f>IF(MATCH(X420,X$300:$X421,0),"Si",1)</f>
        <v>Si</v>
      </c>
      <c r="Z420" s="26">
        <f t="shared" si="52"/>
        <v>0</v>
      </c>
      <c r="AA420" s="26">
        <f t="shared" si="53"/>
        <v>0</v>
      </c>
      <c r="AB420" s="26" t="str">
        <f t="shared" si="54"/>
        <v/>
      </c>
      <c r="AC420" s="26" t="str">
        <f>IF(MATCH(AB420,AB$300:$AB421,0),"0",1)</f>
        <v>0</v>
      </c>
    </row>
    <row r="421" spans="2:29" x14ac:dyDescent="0.35">
      <c r="B421" s="219"/>
      <c r="C421" s="216" t="s">
        <v>907</v>
      </c>
      <c r="D421" s="216"/>
      <c r="E421" s="220"/>
      <c r="F421" s="220"/>
      <c r="G421" s="220"/>
      <c r="H421" s="220" t="str">
        <f t="shared" si="42"/>
        <v/>
      </c>
      <c r="I421" s="460"/>
      <c r="J421" s="460"/>
      <c r="K421" s="460"/>
      <c r="L421" s="460"/>
      <c r="M421" s="460"/>
      <c r="N421" s="220"/>
      <c r="O421" s="220"/>
      <c r="P421" s="220"/>
      <c r="Q421" s="220"/>
      <c r="R421" s="221"/>
      <c r="S421" s="221"/>
      <c r="T421" s="316">
        <f t="shared" si="49"/>
        <v>0</v>
      </c>
      <c r="U421" s="217">
        <f t="shared" si="50"/>
        <v>0</v>
      </c>
      <c r="X421" s="26" t="str">
        <f t="shared" si="51"/>
        <v/>
      </c>
      <c r="Y421" s="21" t="str">
        <f>IF(MATCH(X421,X$300:$X422,0),"Si",1)</f>
        <v>Si</v>
      </c>
      <c r="Z421" s="26">
        <f t="shared" si="52"/>
        <v>0</v>
      </c>
      <c r="AA421" s="26">
        <f t="shared" si="53"/>
        <v>0</v>
      </c>
      <c r="AB421" s="26" t="str">
        <f t="shared" si="54"/>
        <v/>
      </c>
      <c r="AC421" s="26" t="str">
        <f>IF(MATCH(AB421,AB$300:$AB422,0),"0",1)</f>
        <v>0</v>
      </c>
    </row>
    <row r="422" spans="2:29" x14ac:dyDescent="0.35">
      <c r="B422" s="219"/>
      <c r="C422" s="216" t="s">
        <v>908</v>
      </c>
      <c r="D422" s="216"/>
      <c r="E422" s="220"/>
      <c r="F422" s="220"/>
      <c r="G422" s="220"/>
      <c r="H422" s="220" t="str">
        <f t="shared" si="42"/>
        <v/>
      </c>
      <c r="I422" s="460"/>
      <c r="J422" s="460"/>
      <c r="K422" s="460"/>
      <c r="L422" s="460"/>
      <c r="M422" s="460"/>
      <c r="N422" s="220"/>
      <c r="O422" s="220"/>
      <c r="P422" s="220"/>
      <c r="Q422" s="220"/>
      <c r="R422" s="221"/>
      <c r="S422" s="221"/>
      <c r="T422" s="316">
        <f t="shared" si="49"/>
        <v>0</v>
      </c>
      <c r="U422" s="217">
        <f t="shared" si="50"/>
        <v>0</v>
      </c>
      <c r="X422" s="26" t="str">
        <f t="shared" si="51"/>
        <v/>
      </c>
      <c r="Y422" s="21" t="str">
        <f>IF(MATCH(X422,X$300:$X423,0),"Si",1)</f>
        <v>Si</v>
      </c>
      <c r="Z422" s="26">
        <f t="shared" si="52"/>
        <v>0</v>
      </c>
      <c r="AA422" s="26">
        <f t="shared" si="53"/>
        <v>0</v>
      </c>
      <c r="AB422" s="26" t="str">
        <f t="shared" si="54"/>
        <v/>
      </c>
      <c r="AC422" s="26" t="str">
        <f>IF(MATCH(AB422,AB$300:$AB423,0),"0",1)</f>
        <v>0</v>
      </c>
    </row>
    <row r="423" spans="2:29" x14ac:dyDescent="0.35">
      <c r="B423" s="219"/>
      <c r="C423" s="216" t="s">
        <v>909</v>
      </c>
      <c r="D423" s="216"/>
      <c r="E423" s="220"/>
      <c r="F423" s="220"/>
      <c r="G423" s="220"/>
      <c r="H423" s="220" t="str">
        <f t="shared" si="42"/>
        <v/>
      </c>
      <c r="I423" s="460"/>
      <c r="J423" s="460"/>
      <c r="K423" s="460"/>
      <c r="L423" s="460"/>
      <c r="M423" s="460"/>
      <c r="N423" s="220"/>
      <c r="O423" s="220"/>
      <c r="P423" s="220"/>
      <c r="Q423" s="220"/>
      <c r="R423" s="221"/>
      <c r="S423" s="221"/>
      <c r="T423" s="316">
        <f t="shared" si="49"/>
        <v>0</v>
      </c>
      <c r="U423" s="217">
        <f t="shared" si="50"/>
        <v>0</v>
      </c>
      <c r="X423" s="26" t="str">
        <f t="shared" si="51"/>
        <v/>
      </c>
      <c r="Y423" s="21" t="str">
        <f>IF(MATCH(X423,X$300:$X424,0),"Si",1)</f>
        <v>Si</v>
      </c>
      <c r="Z423" s="26">
        <f t="shared" si="52"/>
        <v>0</v>
      </c>
      <c r="AA423" s="26">
        <f t="shared" si="53"/>
        <v>0</v>
      </c>
      <c r="AB423" s="26" t="str">
        <f t="shared" si="54"/>
        <v/>
      </c>
      <c r="AC423" s="26" t="str">
        <f>IF(MATCH(AB423,AB$300:$AB424,0),"0",1)</f>
        <v>0</v>
      </c>
    </row>
    <row r="424" spans="2:29" x14ac:dyDescent="0.35">
      <c r="B424" s="219"/>
      <c r="C424" s="216" t="s">
        <v>910</v>
      </c>
      <c r="D424" s="216"/>
      <c r="E424" s="220"/>
      <c r="F424" s="220"/>
      <c r="G424" s="220"/>
      <c r="H424" s="220" t="str">
        <f t="shared" si="42"/>
        <v/>
      </c>
      <c r="I424" s="460"/>
      <c r="J424" s="460"/>
      <c r="K424" s="460"/>
      <c r="L424" s="460"/>
      <c r="M424" s="460"/>
      <c r="N424" s="220"/>
      <c r="O424" s="220"/>
      <c r="P424" s="220"/>
      <c r="Q424" s="220"/>
      <c r="R424" s="221"/>
      <c r="S424" s="221"/>
      <c r="T424" s="316">
        <f t="shared" si="49"/>
        <v>0</v>
      </c>
      <c r="U424" s="217">
        <f t="shared" si="50"/>
        <v>0</v>
      </c>
      <c r="X424" s="26" t="str">
        <f t="shared" si="51"/>
        <v/>
      </c>
      <c r="Y424" s="21" t="str">
        <f>IF(MATCH(X424,X$300:$X425,0),"Si",1)</f>
        <v>Si</v>
      </c>
      <c r="Z424" s="26">
        <f t="shared" si="52"/>
        <v>0</v>
      </c>
      <c r="AA424" s="26">
        <f t="shared" si="53"/>
        <v>0</v>
      </c>
      <c r="AB424" s="26" t="str">
        <f t="shared" si="54"/>
        <v/>
      </c>
      <c r="AC424" s="26" t="str">
        <f>IF(MATCH(AB424,AB$300:$AB425,0),"0",1)</f>
        <v>0</v>
      </c>
    </row>
    <row r="425" spans="2:29" x14ac:dyDescent="0.35">
      <c r="B425" s="219"/>
      <c r="C425" s="216" t="s">
        <v>911</v>
      </c>
      <c r="D425" s="216"/>
      <c r="E425" s="220"/>
      <c r="F425" s="220"/>
      <c r="G425" s="220"/>
      <c r="H425" s="220" t="str">
        <f t="shared" si="42"/>
        <v/>
      </c>
      <c r="I425" s="460"/>
      <c r="J425" s="460"/>
      <c r="K425" s="460"/>
      <c r="L425" s="460"/>
      <c r="M425" s="460"/>
      <c r="N425" s="220"/>
      <c r="O425" s="220"/>
      <c r="P425" s="220"/>
      <c r="Q425" s="220"/>
      <c r="R425" s="221"/>
      <c r="S425" s="221"/>
      <c r="T425" s="316">
        <f t="shared" si="49"/>
        <v>0</v>
      </c>
      <c r="U425" s="217">
        <f t="shared" si="50"/>
        <v>0</v>
      </c>
      <c r="X425" s="26" t="str">
        <f t="shared" si="51"/>
        <v/>
      </c>
      <c r="Y425" s="21" t="str">
        <f>IF(MATCH(X425,X$300:$X426,0),"Si",1)</f>
        <v>Si</v>
      </c>
      <c r="Z425" s="26">
        <f t="shared" si="52"/>
        <v>0</v>
      </c>
      <c r="AA425" s="26">
        <f t="shared" si="53"/>
        <v>0</v>
      </c>
      <c r="AB425" s="26" t="str">
        <f t="shared" si="54"/>
        <v/>
      </c>
      <c r="AC425" s="26" t="str">
        <f>IF(MATCH(AB425,AB$300:$AB426,0),"0",1)</f>
        <v>0</v>
      </c>
    </row>
    <row r="426" spans="2:29" x14ac:dyDescent="0.35">
      <c r="B426" s="219"/>
      <c r="C426" s="216" t="s">
        <v>912</v>
      </c>
      <c r="D426" s="216"/>
      <c r="E426" s="220"/>
      <c r="F426" s="220"/>
      <c r="G426" s="220"/>
      <c r="H426" s="220" t="str">
        <f t="shared" si="42"/>
        <v/>
      </c>
      <c r="I426" s="460"/>
      <c r="J426" s="460"/>
      <c r="K426" s="460"/>
      <c r="L426" s="460"/>
      <c r="M426" s="460"/>
      <c r="N426" s="220"/>
      <c r="O426" s="220"/>
      <c r="P426" s="220"/>
      <c r="Q426" s="220"/>
      <c r="R426" s="221"/>
      <c r="S426" s="221"/>
      <c r="T426" s="316">
        <f t="shared" si="49"/>
        <v>0</v>
      </c>
      <c r="U426" s="217">
        <f t="shared" si="50"/>
        <v>0</v>
      </c>
      <c r="X426" s="26" t="str">
        <f t="shared" si="51"/>
        <v/>
      </c>
      <c r="Y426" s="21" t="str">
        <f>IF(MATCH(X426,X$300:$X427,0),"Si",1)</f>
        <v>Si</v>
      </c>
      <c r="Z426" s="26">
        <f t="shared" si="52"/>
        <v>0</v>
      </c>
      <c r="AA426" s="26">
        <f t="shared" si="53"/>
        <v>0</v>
      </c>
      <c r="AB426" s="26" t="str">
        <f t="shared" si="54"/>
        <v/>
      </c>
      <c r="AC426" s="26" t="str">
        <f>IF(MATCH(AB426,AB$300:$AB427,0),"0",1)</f>
        <v>0</v>
      </c>
    </row>
    <row r="427" spans="2:29" x14ac:dyDescent="0.35">
      <c r="B427" s="219"/>
      <c r="C427" s="216" t="s">
        <v>913</v>
      </c>
      <c r="D427" s="216"/>
      <c r="E427" s="220"/>
      <c r="F427" s="220"/>
      <c r="G427" s="220"/>
      <c r="H427" s="220" t="str">
        <f t="shared" si="42"/>
        <v/>
      </c>
      <c r="I427" s="460"/>
      <c r="J427" s="460"/>
      <c r="K427" s="460"/>
      <c r="L427" s="460"/>
      <c r="M427" s="460"/>
      <c r="N427" s="220"/>
      <c r="O427" s="220"/>
      <c r="P427" s="220"/>
      <c r="Q427" s="220"/>
      <c r="R427" s="221"/>
      <c r="S427" s="221"/>
      <c r="T427" s="316">
        <f t="shared" si="49"/>
        <v>0</v>
      </c>
      <c r="U427" s="217">
        <f t="shared" si="50"/>
        <v>0</v>
      </c>
      <c r="X427" s="26" t="str">
        <f t="shared" si="51"/>
        <v/>
      </c>
      <c r="Y427" s="21" t="str">
        <f>IF(MATCH(X427,X$300:$X428,0),"Si",1)</f>
        <v>Si</v>
      </c>
      <c r="Z427" s="26">
        <f t="shared" si="52"/>
        <v>0</v>
      </c>
      <c r="AA427" s="26">
        <f t="shared" si="53"/>
        <v>0</v>
      </c>
      <c r="AB427" s="26" t="str">
        <f t="shared" si="54"/>
        <v/>
      </c>
      <c r="AC427" s="26" t="str">
        <f>IF(MATCH(AB427,AB$300:$AB428,0),"0",1)</f>
        <v>0</v>
      </c>
    </row>
    <row r="428" spans="2:29" x14ac:dyDescent="0.35">
      <c r="B428" s="219"/>
      <c r="C428" s="216" t="s">
        <v>914</v>
      </c>
      <c r="D428" s="216"/>
      <c r="E428" s="220"/>
      <c r="F428" s="220"/>
      <c r="G428" s="220"/>
      <c r="H428" s="220" t="str">
        <f t="shared" si="42"/>
        <v/>
      </c>
      <c r="I428" s="460"/>
      <c r="J428" s="460"/>
      <c r="K428" s="460"/>
      <c r="L428" s="460"/>
      <c r="M428" s="460"/>
      <c r="N428" s="220"/>
      <c r="O428" s="220"/>
      <c r="P428" s="220"/>
      <c r="Q428" s="220"/>
      <c r="R428" s="221"/>
      <c r="S428" s="221"/>
      <c r="T428" s="316">
        <f t="shared" si="49"/>
        <v>0</v>
      </c>
      <c r="U428" s="217">
        <f t="shared" si="50"/>
        <v>0</v>
      </c>
      <c r="X428" s="26" t="str">
        <f t="shared" si="51"/>
        <v/>
      </c>
      <c r="Y428" s="21" t="str">
        <f>IF(MATCH(X428,X$300:$X429,0),"Si",1)</f>
        <v>Si</v>
      </c>
      <c r="Z428" s="26">
        <f t="shared" si="52"/>
        <v>0</v>
      </c>
      <c r="AA428" s="26">
        <f t="shared" si="53"/>
        <v>0</v>
      </c>
      <c r="AB428" s="26" t="str">
        <f t="shared" si="54"/>
        <v/>
      </c>
      <c r="AC428" s="26" t="str">
        <f>IF(MATCH(AB428,AB$300:$AB429,0),"0",1)</f>
        <v>0</v>
      </c>
    </row>
    <row r="429" spans="2:29" x14ac:dyDescent="0.35">
      <c r="B429" s="219"/>
      <c r="C429" s="216" t="s">
        <v>915</v>
      </c>
      <c r="D429" s="216"/>
      <c r="E429" s="220"/>
      <c r="F429" s="220"/>
      <c r="G429" s="220"/>
      <c r="H429" s="220" t="str">
        <f t="shared" si="42"/>
        <v/>
      </c>
      <c r="I429" s="460"/>
      <c r="J429" s="460"/>
      <c r="K429" s="460"/>
      <c r="L429" s="460"/>
      <c r="M429" s="460"/>
      <c r="N429" s="220"/>
      <c r="O429" s="220"/>
      <c r="P429" s="220"/>
      <c r="Q429" s="220"/>
      <c r="R429" s="221"/>
      <c r="S429" s="221"/>
      <c r="T429" s="316">
        <f t="shared" si="49"/>
        <v>0</v>
      </c>
      <c r="U429" s="217">
        <f t="shared" si="50"/>
        <v>0</v>
      </c>
      <c r="X429" s="26" t="str">
        <f t="shared" si="51"/>
        <v/>
      </c>
      <c r="Y429" s="21" t="str">
        <f>IF(MATCH(X429,X$300:$X430,0),"Si",1)</f>
        <v>Si</v>
      </c>
      <c r="Z429" s="26">
        <f t="shared" si="52"/>
        <v>0</v>
      </c>
      <c r="AA429" s="26">
        <f t="shared" si="53"/>
        <v>0</v>
      </c>
      <c r="AB429" s="26" t="str">
        <f t="shared" si="54"/>
        <v/>
      </c>
      <c r="AC429" s="26" t="str">
        <f>IF(MATCH(AB429,AB$300:$AB430,0),"0",1)</f>
        <v>0</v>
      </c>
    </row>
    <row r="430" spans="2:29" x14ac:dyDescent="0.35">
      <c r="B430" s="219"/>
      <c r="C430" s="216" t="s">
        <v>916</v>
      </c>
      <c r="D430" s="216"/>
      <c r="E430" s="220"/>
      <c r="F430" s="220"/>
      <c r="G430" s="220"/>
      <c r="H430" s="220" t="str">
        <f t="shared" si="42"/>
        <v/>
      </c>
      <c r="I430" s="460"/>
      <c r="J430" s="460"/>
      <c r="K430" s="460"/>
      <c r="L430" s="460"/>
      <c r="M430" s="460"/>
      <c r="N430" s="220"/>
      <c r="O430" s="220"/>
      <c r="P430" s="220"/>
      <c r="Q430" s="220"/>
      <c r="R430" s="221"/>
      <c r="S430" s="221"/>
      <c r="T430" s="316">
        <f t="shared" si="49"/>
        <v>0</v>
      </c>
      <c r="U430" s="217">
        <f t="shared" si="50"/>
        <v>0</v>
      </c>
      <c r="X430" s="26" t="str">
        <f t="shared" si="51"/>
        <v/>
      </c>
      <c r="Y430" s="21" t="str">
        <f>IF(MATCH(X430,X$300:$X431,0),"Si",1)</f>
        <v>Si</v>
      </c>
      <c r="Z430" s="26">
        <f t="shared" si="52"/>
        <v>0</v>
      </c>
      <c r="AA430" s="26">
        <f t="shared" si="53"/>
        <v>0</v>
      </c>
      <c r="AB430" s="26" t="str">
        <f t="shared" si="54"/>
        <v/>
      </c>
      <c r="AC430" s="26" t="str">
        <f>IF(MATCH(AB430,AB$300:$AB431,0),"0",1)</f>
        <v>0</v>
      </c>
    </row>
    <row r="431" spans="2:29" x14ac:dyDescent="0.35">
      <c r="B431" s="219"/>
      <c r="C431" s="216" t="s">
        <v>917</v>
      </c>
      <c r="D431" s="216"/>
      <c r="E431" s="220"/>
      <c r="F431" s="220"/>
      <c r="G431" s="220"/>
      <c r="H431" s="220" t="str">
        <f t="shared" si="42"/>
        <v/>
      </c>
      <c r="I431" s="460"/>
      <c r="J431" s="460"/>
      <c r="K431" s="460"/>
      <c r="L431" s="460"/>
      <c r="M431" s="460"/>
      <c r="N431" s="220"/>
      <c r="O431" s="220"/>
      <c r="P431" s="220"/>
      <c r="Q431" s="220"/>
      <c r="R431" s="221"/>
      <c r="S431" s="221"/>
      <c r="T431" s="316">
        <f t="shared" si="49"/>
        <v>0</v>
      </c>
      <c r="U431" s="217">
        <f t="shared" si="50"/>
        <v>0</v>
      </c>
      <c r="X431" s="26" t="str">
        <f t="shared" si="51"/>
        <v/>
      </c>
      <c r="Y431" s="21" t="str">
        <f>IF(MATCH(X431,X$300:$X432,0),"Si",1)</f>
        <v>Si</v>
      </c>
      <c r="Z431" s="26">
        <f t="shared" si="52"/>
        <v>0</v>
      </c>
      <c r="AA431" s="26">
        <f t="shared" si="53"/>
        <v>0</v>
      </c>
      <c r="AB431" s="26" t="str">
        <f t="shared" si="54"/>
        <v/>
      </c>
      <c r="AC431" s="26" t="str">
        <f>IF(MATCH(AB431,AB$300:$AB432,0),"0",1)</f>
        <v>0</v>
      </c>
    </row>
    <row r="432" spans="2:29" x14ac:dyDescent="0.35">
      <c r="B432" s="219"/>
      <c r="C432" s="216" t="s">
        <v>918</v>
      </c>
      <c r="D432" s="216"/>
      <c r="E432" s="220"/>
      <c r="F432" s="220"/>
      <c r="G432" s="220"/>
      <c r="H432" s="220" t="str">
        <f t="shared" si="42"/>
        <v/>
      </c>
      <c r="I432" s="460"/>
      <c r="J432" s="460"/>
      <c r="K432" s="460"/>
      <c r="L432" s="460"/>
      <c r="M432" s="460"/>
      <c r="N432" s="220"/>
      <c r="O432" s="220"/>
      <c r="P432" s="220"/>
      <c r="Q432" s="220"/>
      <c r="R432" s="221"/>
      <c r="S432" s="221"/>
      <c r="T432" s="316">
        <f t="shared" si="49"/>
        <v>0</v>
      </c>
      <c r="U432" s="217">
        <f t="shared" si="50"/>
        <v>0</v>
      </c>
      <c r="X432" s="26" t="str">
        <f t="shared" si="51"/>
        <v/>
      </c>
      <c r="Y432" s="21" t="str">
        <f>IF(MATCH(X432,X$300:$X433,0),"Si",1)</f>
        <v>Si</v>
      </c>
      <c r="Z432" s="26">
        <f t="shared" si="52"/>
        <v>0</v>
      </c>
      <c r="AA432" s="26">
        <f t="shared" si="53"/>
        <v>0</v>
      </c>
      <c r="AB432" s="26" t="str">
        <f t="shared" si="54"/>
        <v/>
      </c>
      <c r="AC432" s="26" t="str">
        <f>IF(MATCH(AB432,AB$300:$AB433,0),"0",1)</f>
        <v>0</v>
      </c>
    </row>
    <row r="433" spans="2:29" x14ac:dyDescent="0.35">
      <c r="B433" s="219"/>
      <c r="C433" s="216" t="s">
        <v>919</v>
      </c>
      <c r="D433" s="216"/>
      <c r="E433" s="220"/>
      <c r="F433" s="220"/>
      <c r="G433" s="220"/>
      <c r="H433" s="220" t="str">
        <f t="shared" si="42"/>
        <v/>
      </c>
      <c r="I433" s="460"/>
      <c r="J433" s="460"/>
      <c r="K433" s="460"/>
      <c r="L433" s="460"/>
      <c r="M433" s="460"/>
      <c r="N433" s="220"/>
      <c r="O433" s="220"/>
      <c r="P433" s="220"/>
      <c r="Q433" s="220"/>
      <c r="R433" s="221"/>
      <c r="S433" s="221"/>
      <c r="T433" s="316">
        <f t="shared" si="49"/>
        <v>0</v>
      </c>
      <c r="U433" s="217">
        <f t="shared" si="50"/>
        <v>0</v>
      </c>
      <c r="X433" s="26" t="str">
        <f t="shared" si="51"/>
        <v/>
      </c>
      <c r="Y433" s="21" t="str">
        <f>IF(MATCH(X433,X$300:$X434,0),"Si",1)</f>
        <v>Si</v>
      </c>
      <c r="Z433" s="26">
        <f t="shared" si="52"/>
        <v>0</v>
      </c>
      <c r="AA433" s="26">
        <f t="shared" si="53"/>
        <v>0</v>
      </c>
      <c r="AB433" s="26" t="str">
        <f t="shared" si="54"/>
        <v/>
      </c>
      <c r="AC433" s="26" t="str">
        <f>IF(MATCH(AB433,AB$300:$AB434,0),"0",1)</f>
        <v>0</v>
      </c>
    </row>
    <row r="434" spans="2:29" x14ac:dyDescent="0.35">
      <c r="B434" s="219"/>
      <c r="C434" s="216" t="s">
        <v>920</v>
      </c>
      <c r="D434" s="216"/>
      <c r="E434" s="220"/>
      <c r="F434" s="220"/>
      <c r="G434" s="220"/>
      <c r="H434" s="220" t="str">
        <f t="shared" si="42"/>
        <v/>
      </c>
      <c r="I434" s="460"/>
      <c r="J434" s="460"/>
      <c r="K434" s="460"/>
      <c r="L434" s="460"/>
      <c r="M434" s="460"/>
      <c r="N434" s="220"/>
      <c r="O434" s="220"/>
      <c r="P434" s="220"/>
      <c r="Q434" s="220"/>
      <c r="R434" s="221"/>
      <c r="S434" s="221"/>
      <c r="T434" s="316">
        <f t="shared" si="49"/>
        <v>0</v>
      </c>
      <c r="U434" s="217">
        <f t="shared" si="50"/>
        <v>0</v>
      </c>
      <c r="X434" s="26" t="str">
        <f t="shared" si="51"/>
        <v/>
      </c>
      <c r="Y434" s="21" t="str">
        <f>IF(MATCH(X434,X$300:$X435,0),"Si",1)</f>
        <v>Si</v>
      </c>
      <c r="Z434" s="26">
        <f t="shared" si="52"/>
        <v>0</v>
      </c>
      <c r="AA434" s="26">
        <f t="shared" si="53"/>
        <v>0</v>
      </c>
      <c r="AB434" s="26" t="str">
        <f t="shared" si="54"/>
        <v/>
      </c>
      <c r="AC434" s="26" t="str">
        <f>IF(MATCH(AB434,AB$300:$AB435,0),"0",1)</f>
        <v>0</v>
      </c>
    </row>
    <row r="435" spans="2:29" x14ac:dyDescent="0.35">
      <c r="B435" s="219"/>
      <c r="C435" s="216" t="s">
        <v>921</v>
      </c>
      <c r="D435" s="216"/>
      <c r="E435" s="220"/>
      <c r="F435" s="220"/>
      <c r="G435" s="220"/>
      <c r="H435" s="220" t="str">
        <f t="shared" si="42"/>
        <v/>
      </c>
      <c r="I435" s="460"/>
      <c r="J435" s="460"/>
      <c r="K435" s="460"/>
      <c r="L435" s="460"/>
      <c r="M435" s="460"/>
      <c r="N435" s="220"/>
      <c r="O435" s="220"/>
      <c r="P435" s="220"/>
      <c r="Q435" s="220"/>
      <c r="R435" s="221"/>
      <c r="S435" s="221"/>
      <c r="T435" s="316">
        <f t="shared" si="49"/>
        <v>0</v>
      </c>
      <c r="U435" s="217">
        <f t="shared" si="50"/>
        <v>0</v>
      </c>
      <c r="X435" s="26" t="str">
        <f t="shared" si="51"/>
        <v/>
      </c>
      <c r="Y435" s="21" t="str">
        <f>IF(MATCH(X435,X$300:$X436,0),"Si",1)</f>
        <v>Si</v>
      </c>
      <c r="Z435" s="26">
        <f t="shared" si="52"/>
        <v>0</v>
      </c>
      <c r="AA435" s="26">
        <f t="shared" si="53"/>
        <v>0</v>
      </c>
      <c r="AB435" s="26" t="str">
        <f t="shared" si="54"/>
        <v/>
      </c>
      <c r="AC435" s="26" t="str">
        <f>IF(MATCH(AB435,AB$300:$AB436,0),"0",1)</f>
        <v>0</v>
      </c>
    </row>
    <row r="436" spans="2:29" x14ac:dyDescent="0.35">
      <c r="B436" s="219"/>
      <c r="C436" s="216" t="s">
        <v>922</v>
      </c>
      <c r="D436" s="216"/>
      <c r="E436" s="220"/>
      <c r="F436" s="220"/>
      <c r="G436" s="220"/>
      <c r="H436" s="220" t="str">
        <f t="shared" si="42"/>
        <v/>
      </c>
      <c r="I436" s="460"/>
      <c r="J436" s="460"/>
      <c r="K436" s="460"/>
      <c r="L436" s="460"/>
      <c r="M436" s="460"/>
      <c r="N436" s="220"/>
      <c r="O436" s="220"/>
      <c r="P436" s="220"/>
      <c r="Q436" s="220"/>
      <c r="R436" s="221"/>
      <c r="S436" s="221"/>
      <c r="T436" s="316">
        <f t="shared" si="49"/>
        <v>0</v>
      </c>
      <c r="U436" s="217">
        <f t="shared" si="50"/>
        <v>0</v>
      </c>
      <c r="X436" s="26" t="str">
        <f t="shared" si="51"/>
        <v/>
      </c>
      <c r="Y436" s="21" t="str">
        <f>IF(MATCH(X436,X$300:$X437,0),"Si",1)</f>
        <v>Si</v>
      </c>
      <c r="Z436" s="26">
        <f t="shared" si="52"/>
        <v>0</v>
      </c>
      <c r="AA436" s="26">
        <f t="shared" si="53"/>
        <v>0</v>
      </c>
      <c r="AB436" s="26" t="str">
        <f t="shared" si="54"/>
        <v/>
      </c>
      <c r="AC436" s="26" t="str">
        <f>IF(MATCH(AB436,AB$300:$AB437,0),"0",1)</f>
        <v>0</v>
      </c>
    </row>
    <row r="437" spans="2:29" x14ac:dyDescent="0.35">
      <c r="B437" s="219"/>
      <c r="C437" s="216" t="s">
        <v>923</v>
      </c>
      <c r="D437" s="216"/>
      <c r="E437" s="220"/>
      <c r="F437" s="220"/>
      <c r="G437" s="220"/>
      <c r="H437" s="220" t="str">
        <f t="shared" si="42"/>
        <v/>
      </c>
      <c r="I437" s="460"/>
      <c r="J437" s="460"/>
      <c r="K437" s="460"/>
      <c r="L437" s="460"/>
      <c r="M437" s="460"/>
      <c r="N437" s="220"/>
      <c r="O437" s="220"/>
      <c r="P437" s="220"/>
      <c r="Q437" s="220"/>
      <c r="R437" s="221"/>
      <c r="S437" s="221"/>
      <c r="T437" s="316">
        <f t="shared" ref="T437:T474" si="55">IF(S437=0,0,IF(S437&lt;R437,"Error en fecha solución",IFERROR(AC437,NETWORKDAYS(R437,S437)-1)))</f>
        <v>0</v>
      </c>
      <c r="U437" s="217">
        <f t="shared" ref="U437:U474" si="56">IFERROR(T437*8,"Error")</f>
        <v>0</v>
      </c>
      <c r="X437" s="26" t="str">
        <f t="shared" ref="X437:X474" si="57">CONCATENATE(H437,O437,R437,S437)</f>
        <v/>
      </c>
      <c r="Y437" s="21" t="str">
        <f>IF(MATCH(X437,X$300:$X438,0),"Si",1)</f>
        <v>Si</v>
      </c>
      <c r="Z437" s="26">
        <f t="shared" ref="Z437:Z474" si="58">IF(S437=0,0,IF(S437&lt;R437,"Error en fecha solución",IF(Y437="Si",0,IFERROR(Y437,NETWORKDAYS(R437,S437)-1))))</f>
        <v>0</v>
      </c>
      <c r="AA437" s="26">
        <f t="shared" ref="AA437:AA474" si="59">IF(S437=0,0,IF(S437&lt;R437,"Error en fecha solución",IFERROR(Z437,NETWORKDAYS(R437,S437)-1)))</f>
        <v>0</v>
      </c>
      <c r="AB437" s="26" t="str">
        <f t="shared" ref="AB437:AB474" si="60">CONCATENATE(R437,S437)</f>
        <v/>
      </c>
      <c r="AC437" s="26" t="str">
        <f>IF(MATCH(AB437,AB$300:$AB438,0),"0",1)</f>
        <v>0</v>
      </c>
    </row>
    <row r="438" spans="2:29" x14ac:dyDescent="0.35">
      <c r="B438" s="219"/>
      <c r="C438" s="216" t="s">
        <v>924</v>
      </c>
      <c r="D438" s="216"/>
      <c r="E438" s="220"/>
      <c r="F438" s="220"/>
      <c r="G438" s="220"/>
      <c r="H438" s="220" t="str">
        <f t="shared" si="42"/>
        <v/>
      </c>
      <c r="I438" s="460"/>
      <c r="J438" s="460"/>
      <c r="K438" s="460"/>
      <c r="L438" s="460"/>
      <c r="M438" s="460"/>
      <c r="N438" s="220"/>
      <c r="O438" s="220"/>
      <c r="P438" s="220"/>
      <c r="Q438" s="220"/>
      <c r="R438" s="221"/>
      <c r="S438" s="221"/>
      <c r="T438" s="316">
        <f t="shared" si="55"/>
        <v>0</v>
      </c>
      <c r="U438" s="217">
        <f t="shared" si="56"/>
        <v>0</v>
      </c>
      <c r="X438" s="26" t="str">
        <f t="shared" si="57"/>
        <v/>
      </c>
      <c r="Y438" s="21" t="str">
        <f>IF(MATCH(X438,X$300:$X439,0),"Si",1)</f>
        <v>Si</v>
      </c>
      <c r="Z438" s="26">
        <f t="shared" si="58"/>
        <v>0</v>
      </c>
      <c r="AA438" s="26">
        <f t="shared" si="59"/>
        <v>0</v>
      </c>
      <c r="AB438" s="26" t="str">
        <f t="shared" si="60"/>
        <v/>
      </c>
      <c r="AC438" s="26" t="str">
        <f>IF(MATCH(AB438,AB$300:$AB439,0),"0",1)</f>
        <v>0</v>
      </c>
    </row>
    <row r="439" spans="2:29" x14ac:dyDescent="0.35">
      <c r="B439" s="219"/>
      <c r="C439" s="216" t="s">
        <v>925</v>
      </c>
      <c r="D439" s="216"/>
      <c r="E439" s="220"/>
      <c r="F439" s="220"/>
      <c r="G439" s="220"/>
      <c r="H439" s="220" t="str">
        <f t="shared" si="42"/>
        <v/>
      </c>
      <c r="I439" s="460"/>
      <c r="J439" s="460"/>
      <c r="K439" s="460"/>
      <c r="L439" s="460"/>
      <c r="M439" s="460"/>
      <c r="N439" s="220"/>
      <c r="O439" s="220"/>
      <c r="P439" s="220"/>
      <c r="Q439" s="220"/>
      <c r="R439" s="221"/>
      <c r="S439" s="221"/>
      <c r="T439" s="316">
        <f t="shared" si="55"/>
        <v>0</v>
      </c>
      <c r="U439" s="217">
        <f t="shared" si="56"/>
        <v>0</v>
      </c>
      <c r="X439" s="26" t="str">
        <f t="shared" si="57"/>
        <v/>
      </c>
      <c r="Y439" s="21" t="str">
        <f>IF(MATCH(X439,X$300:$X440,0),"Si",1)</f>
        <v>Si</v>
      </c>
      <c r="Z439" s="26">
        <f t="shared" si="58"/>
        <v>0</v>
      </c>
      <c r="AA439" s="26">
        <f t="shared" si="59"/>
        <v>0</v>
      </c>
      <c r="AB439" s="26" t="str">
        <f t="shared" si="60"/>
        <v/>
      </c>
      <c r="AC439" s="26" t="str">
        <f>IF(MATCH(AB439,AB$300:$AB440,0),"0",1)</f>
        <v>0</v>
      </c>
    </row>
    <row r="440" spans="2:29" x14ac:dyDescent="0.35">
      <c r="B440" s="219"/>
      <c r="C440" s="216" t="s">
        <v>926</v>
      </c>
      <c r="D440" s="216"/>
      <c r="E440" s="220"/>
      <c r="F440" s="220"/>
      <c r="G440" s="220"/>
      <c r="H440" s="220" t="str">
        <f t="shared" si="42"/>
        <v/>
      </c>
      <c r="I440" s="460"/>
      <c r="J440" s="460"/>
      <c r="K440" s="460"/>
      <c r="L440" s="460"/>
      <c r="M440" s="460"/>
      <c r="N440" s="220"/>
      <c r="O440" s="220"/>
      <c r="P440" s="220"/>
      <c r="Q440" s="220"/>
      <c r="R440" s="221"/>
      <c r="S440" s="221"/>
      <c r="T440" s="316">
        <f t="shared" si="55"/>
        <v>0</v>
      </c>
      <c r="U440" s="217">
        <f t="shared" si="56"/>
        <v>0</v>
      </c>
      <c r="X440" s="26" t="str">
        <f t="shared" si="57"/>
        <v/>
      </c>
      <c r="Y440" s="21" t="str">
        <f>IF(MATCH(X440,X$300:$X441,0),"Si",1)</f>
        <v>Si</v>
      </c>
      <c r="Z440" s="26">
        <f t="shared" si="58"/>
        <v>0</v>
      </c>
      <c r="AA440" s="26">
        <f t="shared" si="59"/>
        <v>0</v>
      </c>
      <c r="AB440" s="26" t="str">
        <f t="shared" si="60"/>
        <v/>
      </c>
      <c r="AC440" s="26" t="str">
        <f>IF(MATCH(AB440,AB$300:$AB441,0),"0",1)</f>
        <v>0</v>
      </c>
    </row>
    <row r="441" spans="2:29" x14ac:dyDescent="0.35">
      <c r="B441" s="219"/>
      <c r="C441" s="216" t="s">
        <v>927</v>
      </c>
      <c r="D441" s="216"/>
      <c r="E441" s="220"/>
      <c r="F441" s="220"/>
      <c r="G441" s="220"/>
      <c r="H441" s="220" t="str">
        <f t="shared" si="42"/>
        <v/>
      </c>
      <c r="I441" s="460"/>
      <c r="J441" s="460"/>
      <c r="K441" s="460"/>
      <c r="L441" s="460"/>
      <c r="M441" s="460"/>
      <c r="N441" s="220"/>
      <c r="O441" s="220"/>
      <c r="P441" s="220"/>
      <c r="Q441" s="220"/>
      <c r="R441" s="221"/>
      <c r="S441" s="221"/>
      <c r="T441" s="316">
        <f t="shared" si="55"/>
        <v>0</v>
      </c>
      <c r="U441" s="217">
        <f t="shared" si="56"/>
        <v>0</v>
      </c>
      <c r="X441" s="26" t="str">
        <f t="shared" si="57"/>
        <v/>
      </c>
      <c r="Y441" s="21" t="str">
        <f>IF(MATCH(X441,X$300:$X442,0),"Si",1)</f>
        <v>Si</v>
      </c>
      <c r="Z441" s="26">
        <f t="shared" si="58"/>
        <v>0</v>
      </c>
      <c r="AA441" s="26">
        <f t="shared" si="59"/>
        <v>0</v>
      </c>
      <c r="AB441" s="26" t="str">
        <f t="shared" si="60"/>
        <v/>
      </c>
      <c r="AC441" s="26" t="str">
        <f>IF(MATCH(AB441,AB$300:$AB442,0),"0",1)</f>
        <v>0</v>
      </c>
    </row>
    <row r="442" spans="2:29" x14ac:dyDescent="0.35">
      <c r="B442" s="219"/>
      <c r="C442" s="216" t="s">
        <v>928</v>
      </c>
      <c r="D442" s="216"/>
      <c r="E442" s="220"/>
      <c r="F442" s="220"/>
      <c r="G442" s="220"/>
      <c r="H442" s="220" t="str">
        <f t="shared" si="42"/>
        <v/>
      </c>
      <c r="I442" s="460"/>
      <c r="J442" s="460"/>
      <c r="K442" s="460"/>
      <c r="L442" s="460"/>
      <c r="M442" s="460"/>
      <c r="N442" s="220"/>
      <c r="O442" s="220"/>
      <c r="P442" s="220"/>
      <c r="Q442" s="220"/>
      <c r="R442" s="221"/>
      <c r="S442" s="221"/>
      <c r="T442" s="316">
        <f t="shared" si="55"/>
        <v>0</v>
      </c>
      <c r="U442" s="217">
        <f t="shared" si="56"/>
        <v>0</v>
      </c>
      <c r="X442" s="26" t="str">
        <f t="shared" si="57"/>
        <v/>
      </c>
      <c r="Y442" s="21" t="str">
        <f>IF(MATCH(X442,X$300:$X443,0),"Si",1)</f>
        <v>Si</v>
      </c>
      <c r="Z442" s="26">
        <f t="shared" si="58"/>
        <v>0</v>
      </c>
      <c r="AA442" s="26">
        <f t="shared" si="59"/>
        <v>0</v>
      </c>
      <c r="AB442" s="26" t="str">
        <f t="shared" si="60"/>
        <v/>
      </c>
      <c r="AC442" s="26" t="str">
        <f>IF(MATCH(AB442,AB$300:$AB443,0),"0",1)</f>
        <v>0</v>
      </c>
    </row>
    <row r="443" spans="2:29" x14ac:dyDescent="0.35">
      <c r="B443" s="219"/>
      <c r="C443" s="216" t="s">
        <v>929</v>
      </c>
      <c r="D443" s="216"/>
      <c r="E443" s="220"/>
      <c r="F443" s="220"/>
      <c r="G443" s="220"/>
      <c r="H443" s="220" t="str">
        <f t="shared" si="42"/>
        <v/>
      </c>
      <c r="I443" s="460"/>
      <c r="J443" s="460"/>
      <c r="K443" s="460"/>
      <c r="L443" s="460"/>
      <c r="M443" s="460"/>
      <c r="N443" s="220"/>
      <c r="O443" s="220"/>
      <c r="P443" s="220"/>
      <c r="Q443" s="220"/>
      <c r="R443" s="221"/>
      <c r="S443" s="221"/>
      <c r="T443" s="316">
        <f t="shared" si="55"/>
        <v>0</v>
      </c>
      <c r="U443" s="217">
        <f t="shared" si="56"/>
        <v>0</v>
      </c>
      <c r="X443" s="26" t="str">
        <f t="shared" si="57"/>
        <v/>
      </c>
      <c r="Y443" s="21" t="str">
        <f>IF(MATCH(X443,X$300:$X444,0),"Si",1)</f>
        <v>Si</v>
      </c>
      <c r="Z443" s="26">
        <f t="shared" si="58"/>
        <v>0</v>
      </c>
      <c r="AA443" s="26">
        <f t="shared" si="59"/>
        <v>0</v>
      </c>
      <c r="AB443" s="26" t="str">
        <f t="shared" si="60"/>
        <v/>
      </c>
      <c r="AC443" s="26" t="str">
        <f>IF(MATCH(AB443,AB$300:$AB444,0),"0",1)</f>
        <v>0</v>
      </c>
    </row>
    <row r="444" spans="2:29" x14ac:dyDescent="0.35">
      <c r="B444" s="219"/>
      <c r="C444" s="216" t="s">
        <v>930</v>
      </c>
      <c r="D444" s="216"/>
      <c r="E444" s="220"/>
      <c r="F444" s="220"/>
      <c r="G444" s="220"/>
      <c r="H444" s="220" t="str">
        <f t="shared" si="42"/>
        <v/>
      </c>
      <c r="I444" s="460"/>
      <c r="J444" s="460"/>
      <c r="K444" s="460"/>
      <c r="L444" s="460"/>
      <c r="M444" s="460"/>
      <c r="N444" s="220"/>
      <c r="O444" s="220"/>
      <c r="P444" s="220"/>
      <c r="Q444" s="220"/>
      <c r="R444" s="221"/>
      <c r="S444" s="221"/>
      <c r="T444" s="316">
        <f t="shared" si="55"/>
        <v>0</v>
      </c>
      <c r="U444" s="217">
        <f t="shared" si="56"/>
        <v>0</v>
      </c>
      <c r="X444" s="26" t="str">
        <f t="shared" si="57"/>
        <v/>
      </c>
      <c r="Y444" s="21" t="str">
        <f>IF(MATCH(X444,X$300:$X445,0),"Si",1)</f>
        <v>Si</v>
      </c>
      <c r="Z444" s="26">
        <f t="shared" si="58"/>
        <v>0</v>
      </c>
      <c r="AA444" s="26">
        <f t="shared" si="59"/>
        <v>0</v>
      </c>
      <c r="AB444" s="26" t="str">
        <f t="shared" si="60"/>
        <v/>
      </c>
      <c r="AC444" s="26" t="str">
        <f>IF(MATCH(AB444,AB$300:$AB445,0),"0",1)</f>
        <v>0</v>
      </c>
    </row>
    <row r="445" spans="2:29" x14ac:dyDescent="0.35">
      <c r="B445" s="219"/>
      <c r="C445" s="216" t="s">
        <v>931</v>
      </c>
      <c r="D445" s="216"/>
      <c r="E445" s="220"/>
      <c r="F445" s="220"/>
      <c r="G445" s="220"/>
      <c r="H445" s="220" t="str">
        <f t="shared" si="42"/>
        <v/>
      </c>
      <c r="I445" s="460"/>
      <c r="J445" s="460"/>
      <c r="K445" s="460"/>
      <c r="L445" s="460"/>
      <c r="M445" s="460"/>
      <c r="N445" s="220"/>
      <c r="O445" s="220"/>
      <c r="P445" s="220"/>
      <c r="Q445" s="220"/>
      <c r="R445" s="221"/>
      <c r="S445" s="221"/>
      <c r="T445" s="316">
        <f t="shared" si="55"/>
        <v>0</v>
      </c>
      <c r="U445" s="217">
        <f t="shared" si="56"/>
        <v>0</v>
      </c>
      <c r="X445" s="26" t="str">
        <f t="shared" si="57"/>
        <v/>
      </c>
      <c r="Y445" s="21" t="str">
        <f>IF(MATCH(X445,X$300:$X446,0),"Si",1)</f>
        <v>Si</v>
      </c>
      <c r="Z445" s="26">
        <f t="shared" si="58"/>
        <v>0</v>
      </c>
      <c r="AA445" s="26">
        <f t="shared" si="59"/>
        <v>0</v>
      </c>
      <c r="AB445" s="26" t="str">
        <f t="shared" si="60"/>
        <v/>
      </c>
      <c r="AC445" s="26" t="str">
        <f>IF(MATCH(AB445,AB$300:$AB446,0),"0",1)</f>
        <v>0</v>
      </c>
    </row>
    <row r="446" spans="2:29" x14ac:dyDescent="0.35">
      <c r="B446" s="219"/>
      <c r="C446" s="216" t="s">
        <v>932</v>
      </c>
      <c r="D446" s="216"/>
      <c r="E446" s="220"/>
      <c r="F446" s="220"/>
      <c r="G446" s="220"/>
      <c r="H446" s="220" t="str">
        <f t="shared" si="42"/>
        <v/>
      </c>
      <c r="I446" s="460"/>
      <c r="J446" s="460"/>
      <c r="K446" s="460"/>
      <c r="L446" s="460"/>
      <c r="M446" s="460"/>
      <c r="N446" s="220"/>
      <c r="O446" s="220"/>
      <c r="P446" s="220"/>
      <c r="Q446" s="220"/>
      <c r="R446" s="221"/>
      <c r="S446" s="221"/>
      <c r="T446" s="316">
        <f t="shared" si="55"/>
        <v>0</v>
      </c>
      <c r="U446" s="217">
        <f t="shared" si="56"/>
        <v>0</v>
      </c>
      <c r="X446" s="26" t="str">
        <f t="shared" si="57"/>
        <v/>
      </c>
      <c r="Y446" s="21" t="str">
        <f>IF(MATCH(X446,X$300:$X447,0),"Si",1)</f>
        <v>Si</v>
      </c>
      <c r="Z446" s="26">
        <f t="shared" si="58"/>
        <v>0</v>
      </c>
      <c r="AA446" s="26">
        <f t="shared" si="59"/>
        <v>0</v>
      </c>
      <c r="AB446" s="26" t="str">
        <f t="shared" si="60"/>
        <v/>
      </c>
      <c r="AC446" s="26" t="str">
        <f>IF(MATCH(AB446,AB$300:$AB447,0),"0",1)</f>
        <v>0</v>
      </c>
    </row>
    <row r="447" spans="2:29" x14ac:dyDescent="0.35">
      <c r="B447" s="219"/>
      <c r="C447" s="216" t="s">
        <v>933</v>
      </c>
      <c r="D447" s="216"/>
      <c r="E447" s="220"/>
      <c r="F447" s="220"/>
      <c r="G447" s="220"/>
      <c r="H447" s="220" t="str">
        <f t="shared" si="42"/>
        <v/>
      </c>
      <c r="I447" s="460"/>
      <c r="J447" s="460"/>
      <c r="K447" s="460"/>
      <c r="L447" s="460"/>
      <c r="M447" s="460"/>
      <c r="N447" s="220"/>
      <c r="O447" s="220"/>
      <c r="P447" s="220"/>
      <c r="Q447" s="220"/>
      <c r="R447" s="221"/>
      <c r="S447" s="221"/>
      <c r="T447" s="316">
        <f t="shared" si="55"/>
        <v>0</v>
      </c>
      <c r="U447" s="217">
        <f t="shared" si="56"/>
        <v>0</v>
      </c>
      <c r="X447" s="26" t="str">
        <f t="shared" si="57"/>
        <v/>
      </c>
      <c r="Y447" s="21" t="str">
        <f>IF(MATCH(X447,X$300:$X448,0),"Si",1)</f>
        <v>Si</v>
      </c>
      <c r="Z447" s="26">
        <f t="shared" si="58"/>
        <v>0</v>
      </c>
      <c r="AA447" s="26">
        <f t="shared" si="59"/>
        <v>0</v>
      </c>
      <c r="AB447" s="26" t="str">
        <f t="shared" si="60"/>
        <v/>
      </c>
      <c r="AC447" s="26" t="str">
        <f>IF(MATCH(AB447,AB$300:$AB448,0),"0",1)</f>
        <v>0</v>
      </c>
    </row>
    <row r="448" spans="2:29" x14ac:dyDescent="0.35">
      <c r="B448" s="219"/>
      <c r="C448" s="216" t="s">
        <v>934</v>
      </c>
      <c r="D448" s="216"/>
      <c r="E448" s="220"/>
      <c r="F448" s="220"/>
      <c r="G448" s="220"/>
      <c r="H448" s="220" t="str">
        <f t="shared" si="42"/>
        <v/>
      </c>
      <c r="I448" s="460"/>
      <c r="J448" s="460"/>
      <c r="K448" s="460"/>
      <c r="L448" s="460"/>
      <c r="M448" s="460"/>
      <c r="N448" s="220"/>
      <c r="O448" s="220"/>
      <c r="P448" s="220"/>
      <c r="Q448" s="220"/>
      <c r="R448" s="221"/>
      <c r="S448" s="221"/>
      <c r="T448" s="316">
        <f t="shared" si="55"/>
        <v>0</v>
      </c>
      <c r="U448" s="217">
        <f t="shared" si="56"/>
        <v>0</v>
      </c>
      <c r="X448" s="26" t="str">
        <f t="shared" si="57"/>
        <v/>
      </c>
      <c r="Y448" s="21" t="str">
        <f>IF(MATCH(X448,X$300:$X449,0),"Si",1)</f>
        <v>Si</v>
      </c>
      <c r="Z448" s="26">
        <f t="shared" si="58"/>
        <v>0</v>
      </c>
      <c r="AA448" s="26">
        <f t="shared" si="59"/>
        <v>0</v>
      </c>
      <c r="AB448" s="26" t="str">
        <f t="shared" si="60"/>
        <v/>
      </c>
      <c r="AC448" s="26" t="str">
        <f>IF(MATCH(AB448,AB$300:$AB449,0),"0",1)</f>
        <v>0</v>
      </c>
    </row>
    <row r="449" spans="2:29" x14ac:dyDescent="0.35">
      <c r="B449" s="219"/>
      <c r="C449" s="216" t="s">
        <v>935</v>
      </c>
      <c r="D449" s="216"/>
      <c r="E449" s="220"/>
      <c r="F449" s="220"/>
      <c r="G449" s="220"/>
      <c r="H449" s="220" t="str">
        <f t="shared" si="42"/>
        <v/>
      </c>
      <c r="I449" s="460"/>
      <c r="J449" s="460"/>
      <c r="K449" s="460"/>
      <c r="L449" s="460"/>
      <c r="M449" s="460"/>
      <c r="N449" s="220"/>
      <c r="O449" s="220"/>
      <c r="P449" s="220"/>
      <c r="Q449" s="220"/>
      <c r="R449" s="221"/>
      <c r="S449" s="221"/>
      <c r="T449" s="316">
        <f t="shared" si="55"/>
        <v>0</v>
      </c>
      <c r="U449" s="217">
        <f t="shared" si="56"/>
        <v>0</v>
      </c>
      <c r="X449" s="26" t="str">
        <f t="shared" si="57"/>
        <v/>
      </c>
      <c r="Y449" s="21" t="str">
        <f>IF(MATCH(X449,X$300:$X450,0),"Si",1)</f>
        <v>Si</v>
      </c>
      <c r="Z449" s="26">
        <f t="shared" si="58"/>
        <v>0</v>
      </c>
      <c r="AA449" s="26">
        <f t="shared" si="59"/>
        <v>0</v>
      </c>
      <c r="AB449" s="26" t="str">
        <f t="shared" si="60"/>
        <v/>
      </c>
      <c r="AC449" s="26" t="str">
        <f>IF(MATCH(AB449,AB$300:$AB450,0),"0",1)</f>
        <v>0</v>
      </c>
    </row>
    <row r="450" spans="2:29" x14ac:dyDescent="0.35">
      <c r="B450" s="219"/>
      <c r="C450" s="216" t="s">
        <v>936</v>
      </c>
      <c r="D450" s="216"/>
      <c r="E450" s="220"/>
      <c r="F450" s="220"/>
      <c r="G450" s="220"/>
      <c r="H450" s="220" t="str">
        <f t="shared" si="42"/>
        <v/>
      </c>
      <c r="I450" s="460"/>
      <c r="J450" s="460"/>
      <c r="K450" s="460"/>
      <c r="L450" s="460"/>
      <c r="M450" s="460"/>
      <c r="N450" s="220"/>
      <c r="O450" s="220"/>
      <c r="P450" s="220"/>
      <c r="Q450" s="220"/>
      <c r="R450" s="221"/>
      <c r="S450" s="221"/>
      <c r="T450" s="316">
        <f t="shared" si="55"/>
        <v>0</v>
      </c>
      <c r="U450" s="217">
        <f t="shared" si="56"/>
        <v>0</v>
      </c>
      <c r="X450" s="26" t="str">
        <f t="shared" si="57"/>
        <v/>
      </c>
      <c r="Y450" s="21" t="str">
        <f>IF(MATCH(X450,X$300:$X451,0),"Si",1)</f>
        <v>Si</v>
      </c>
      <c r="Z450" s="26">
        <f t="shared" si="58"/>
        <v>0</v>
      </c>
      <c r="AA450" s="26">
        <f t="shared" si="59"/>
        <v>0</v>
      </c>
      <c r="AB450" s="26" t="str">
        <f t="shared" si="60"/>
        <v/>
      </c>
      <c r="AC450" s="26" t="str">
        <f>IF(MATCH(AB450,AB$300:$AB451,0),"0",1)</f>
        <v>0</v>
      </c>
    </row>
    <row r="451" spans="2:29" x14ac:dyDescent="0.35">
      <c r="B451" s="219"/>
      <c r="C451" s="216" t="s">
        <v>937</v>
      </c>
      <c r="D451" s="216"/>
      <c r="E451" s="220"/>
      <c r="F451" s="220"/>
      <c r="G451" s="220"/>
      <c r="H451" s="220" t="str">
        <f t="shared" si="42"/>
        <v/>
      </c>
      <c r="I451" s="460"/>
      <c r="J451" s="460"/>
      <c r="K451" s="460"/>
      <c r="L451" s="460"/>
      <c r="M451" s="460"/>
      <c r="N451" s="220"/>
      <c r="O451" s="220"/>
      <c r="P451" s="220"/>
      <c r="Q451" s="220"/>
      <c r="R451" s="221"/>
      <c r="S451" s="221"/>
      <c r="T451" s="316">
        <f t="shared" si="55"/>
        <v>0</v>
      </c>
      <c r="U451" s="217">
        <f t="shared" si="56"/>
        <v>0</v>
      </c>
      <c r="X451" s="26" t="str">
        <f t="shared" si="57"/>
        <v/>
      </c>
      <c r="Y451" s="21" t="str">
        <f>IF(MATCH(X451,X$300:$X452,0),"Si",1)</f>
        <v>Si</v>
      </c>
      <c r="Z451" s="26">
        <f t="shared" si="58"/>
        <v>0</v>
      </c>
      <c r="AA451" s="26">
        <f t="shared" si="59"/>
        <v>0</v>
      </c>
      <c r="AB451" s="26" t="str">
        <f t="shared" si="60"/>
        <v/>
      </c>
      <c r="AC451" s="26" t="str">
        <f>IF(MATCH(AB451,AB$300:$AB452,0),"0",1)</f>
        <v>0</v>
      </c>
    </row>
    <row r="452" spans="2:29" x14ac:dyDescent="0.35">
      <c r="B452" s="219"/>
      <c r="C452" s="216" t="s">
        <v>938</v>
      </c>
      <c r="D452" s="216"/>
      <c r="E452" s="220"/>
      <c r="F452" s="220"/>
      <c r="G452" s="220"/>
      <c r="H452" s="220" t="str">
        <f t="shared" si="42"/>
        <v/>
      </c>
      <c r="I452" s="460"/>
      <c r="J452" s="460"/>
      <c r="K452" s="460"/>
      <c r="L452" s="460"/>
      <c r="M452" s="460"/>
      <c r="N452" s="220"/>
      <c r="O452" s="220"/>
      <c r="P452" s="220"/>
      <c r="Q452" s="220"/>
      <c r="R452" s="221"/>
      <c r="S452" s="221"/>
      <c r="T452" s="316">
        <f t="shared" si="55"/>
        <v>0</v>
      </c>
      <c r="U452" s="217">
        <f t="shared" si="56"/>
        <v>0</v>
      </c>
      <c r="X452" s="26" t="str">
        <f t="shared" si="57"/>
        <v/>
      </c>
      <c r="Y452" s="21" t="str">
        <f>IF(MATCH(X452,X$300:$X453,0),"Si",1)</f>
        <v>Si</v>
      </c>
      <c r="Z452" s="26">
        <f t="shared" si="58"/>
        <v>0</v>
      </c>
      <c r="AA452" s="26">
        <f t="shared" si="59"/>
        <v>0</v>
      </c>
      <c r="AB452" s="26" t="str">
        <f t="shared" si="60"/>
        <v/>
      </c>
      <c r="AC452" s="26" t="str">
        <f>IF(MATCH(AB452,AB$300:$AB453,0),"0",1)</f>
        <v>0</v>
      </c>
    </row>
    <row r="453" spans="2:29" x14ac:dyDescent="0.35">
      <c r="B453" s="219"/>
      <c r="C453" s="216" t="s">
        <v>939</v>
      </c>
      <c r="D453" s="216"/>
      <c r="E453" s="220"/>
      <c r="F453" s="220"/>
      <c r="G453" s="220"/>
      <c r="H453" s="220" t="str">
        <f t="shared" si="42"/>
        <v/>
      </c>
      <c r="I453" s="460"/>
      <c r="J453" s="460"/>
      <c r="K453" s="460"/>
      <c r="L453" s="460"/>
      <c r="M453" s="460"/>
      <c r="N453" s="220"/>
      <c r="O453" s="220"/>
      <c r="P453" s="220"/>
      <c r="Q453" s="220"/>
      <c r="R453" s="221"/>
      <c r="S453" s="221"/>
      <c r="T453" s="316">
        <f t="shared" si="55"/>
        <v>0</v>
      </c>
      <c r="U453" s="217">
        <f t="shared" si="56"/>
        <v>0</v>
      </c>
      <c r="X453" s="26" t="str">
        <f t="shared" si="57"/>
        <v/>
      </c>
      <c r="Y453" s="21" t="str">
        <f>IF(MATCH(X453,X$300:$X454,0),"Si",1)</f>
        <v>Si</v>
      </c>
      <c r="Z453" s="26">
        <f t="shared" si="58"/>
        <v>0</v>
      </c>
      <c r="AA453" s="26">
        <f t="shared" si="59"/>
        <v>0</v>
      </c>
      <c r="AB453" s="26" t="str">
        <f t="shared" si="60"/>
        <v/>
      </c>
      <c r="AC453" s="26" t="str">
        <f>IF(MATCH(AB453,AB$300:$AB454,0),"0",1)</f>
        <v>0</v>
      </c>
    </row>
    <row r="454" spans="2:29" x14ac:dyDescent="0.35">
      <c r="B454" s="219"/>
      <c r="C454" s="216" t="s">
        <v>940</v>
      </c>
      <c r="D454" s="216"/>
      <c r="E454" s="220"/>
      <c r="F454" s="220"/>
      <c r="G454" s="220"/>
      <c r="H454" s="220" t="str">
        <f t="shared" si="42"/>
        <v/>
      </c>
      <c r="I454" s="460"/>
      <c r="J454" s="460"/>
      <c r="K454" s="460"/>
      <c r="L454" s="460"/>
      <c r="M454" s="460"/>
      <c r="N454" s="220"/>
      <c r="O454" s="220"/>
      <c r="P454" s="220"/>
      <c r="Q454" s="220"/>
      <c r="R454" s="221"/>
      <c r="S454" s="221"/>
      <c r="T454" s="316">
        <f t="shared" si="55"/>
        <v>0</v>
      </c>
      <c r="U454" s="217">
        <f t="shared" si="56"/>
        <v>0</v>
      </c>
      <c r="X454" s="26" t="str">
        <f t="shared" si="57"/>
        <v/>
      </c>
      <c r="Y454" s="21" t="str">
        <f>IF(MATCH(X454,X$300:$X455,0),"Si",1)</f>
        <v>Si</v>
      </c>
      <c r="Z454" s="26">
        <f t="shared" si="58"/>
        <v>0</v>
      </c>
      <c r="AA454" s="26">
        <f t="shared" si="59"/>
        <v>0</v>
      </c>
      <c r="AB454" s="26" t="str">
        <f t="shared" si="60"/>
        <v/>
      </c>
      <c r="AC454" s="26" t="str">
        <f>IF(MATCH(AB454,AB$300:$AB455,0),"0",1)</f>
        <v>0</v>
      </c>
    </row>
    <row r="455" spans="2:29" x14ac:dyDescent="0.35">
      <c r="B455" s="219"/>
      <c r="C455" s="216" t="s">
        <v>941</v>
      </c>
      <c r="D455" s="216"/>
      <c r="E455" s="220"/>
      <c r="F455" s="220"/>
      <c r="G455" s="220"/>
      <c r="H455" s="220" t="str">
        <f t="shared" si="42"/>
        <v/>
      </c>
      <c r="I455" s="460"/>
      <c r="J455" s="460"/>
      <c r="K455" s="460"/>
      <c r="L455" s="460"/>
      <c r="M455" s="460"/>
      <c r="N455" s="220"/>
      <c r="O455" s="220"/>
      <c r="P455" s="220"/>
      <c r="Q455" s="220"/>
      <c r="R455" s="221"/>
      <c r="S455" s="221"/>
      <c r="T455" s="316">
        <f t="shared" si="55"/>
        <v>0</v>
      </c>
      <c r="U455" s="217">
        <f t="shared" si="56"/>
        <v>0</v>
      </c>
      <c r="X455" s="26" t="str">
        <f t="shared" si="57"/>
        <v/>
      </c>
      <c r="Y455" s="21" t="str">
        <f>IF(MATCH(X455,X$300:$X456,0),"Si",1)</f>
        <v>Si</v>
      </c>
      <c r="Z455" s="26">
        <f t="shared" si="58"/>
        <v>0</v>
      </c>
      <c r="AA455" s="26">
        <f t="shared" si="59"/>
        <v>0</v>
      </c>
      <c r="AB455" s="26" t="str">
        <f t="shared" si="60"/>
        <v/>
      </c>
      <c r="AC455" s="26" t="str">
        <f>IF(MATCH(AB455,AB$300:$AB456,0),"0",1)</f>
        <v>0</v>
      </c>
    </row>
    <row r="456" spans="2:29" x14ac:dyDescent="0.35">
      <c r="B456" s="219"/>
      <c r="C456" s="216" t="s">
        <v>942</v>
      </c>
      <c r="D456" s="216"/>
      <c r="E456" s="220"/>
      <c r="F456" s="220"/>
      <c r="G456" s="220"/>
      <c r="H456" s="220" t="str">
        <f t="shared" si="42"/>
        <v/>
      </c>
      <c r="I456" s="460"/>
      <c r="J456" s="460"/>
      <c r="K456" s="460"/>
      <c r="L456" s="460"/>
      <c r="M456" s="460"/>
      <c r="N456" s="220"/>
      <c r="O456" s="220"/>
      <c r="P456" s="220"/>
      <c r="Q456" s="220"/>
      <c r="R456" s="221"/>
      <c r="S456" s="221"/>
      <c r="T456" s="316">
        <f t="shared" si="55"/>
        <v>0</v>
      </c>
      <c r="U456" s="217">
        <f t="shared" si="56"/>
        <v>0</v>
      </c>
      <c r="X456" s="26" t="str">
        <f t="shared" si="57"/>
        <v/>
      </c>
      <c r="Y456" s="21" t="str">
        <f>IF(MATCH(X456,X$300:$X457,0),"Si",1)</f>
        <v>Si</v>
      </c>
      <c r="Z456" s="26">
        <f t="shared" si="58"/>
        <v>0</v>
      </c>
      <c r="AA456" s="26">
        <f t="shared" si="59"/>
        <v>0</v>
      </c>
      <c r="AB456" s="26" t="str">
        <f t="shared" si="60"/>
        <v/>
      </c>
      <c r="AC456" s="26" t="str">
        <f>IF(MATCH(AB456,AB$300:$AB457,0),"0",1)</f>
        <v>0</v>
      </c>
    </row>
    <row r="457" spans="2:29" x14ac:dyDescent="0.35">
      <c r="B457" s="219"/>
      <c r="C457" s="216" t="s">
        <v>943</v>
      </c>
      <c r="D457" s="216"/>
      <c r="E457" s="220"/>
      <c r="F457" s="220"/>
      <c r="G457" s="220"/>
      <c r="H457" s="220" t="str">
        <f t="shared" si="42"/>
        <v/>
      </c>
      <c r="I457" s="460"/>
      <c r="J457" s="460"/>
      <c r="K457" s="460"/>
      <c r="L457" s="460"/>
      <c r="M457" s="460"/>
      <c r="N457" s="220"/>
      <c r="O457" s="220"/>
      <c r="P457" s="220"/>
      <c r="Q457" s="220"/>
      <c r="R457" s="221"/>
      <c r="S457" s="221"/>
      <c r="T457" s="316">
        <f t="shared" si="55"/>
        <v>0</v>
      </c>
      <c r="U457" s="217">
        <f t="shared" si="56"/>
        <v>0</v>
      </c>
      <c r="X457" s="26" t="str">
        <f t="shared" si="57"/>
        <v/>
      </c>
      <c r="Y457" s="21" t="str">
        <f>IF(MATCH(X457,X$300:$X458,0),"Si",1)</f>
        <v>Si</v>
      </c>
      <c r="Z457" s="26">
        <f t="shared" si="58"/>
        <v>0</v>
      </c>
      <c r="AA457" s="26">
        <f t="shared" si="59"/>
        <v>0</v>
      </c>
      <c r="AB457" s="26" t="str">
        <f t="shared" si="60"/>
        <v/>
      </c>
      <c r="AC457" s="26" t="str">
        <f>IF(MATCH(AB457,AB$300:$AB458,0),"0",1)</f>
        <v>0</v>
      </c>
    </row>
    <row r="458" spans="2:29" x14ac:dyDescent="0.35">
      <c r="B458" s="219"/>
      <c r="C458" s="216" t="s">
        <v>944</v>
      </c>
      <c r="D458" s="216"/>
      <c r="E458" s="220"/>
      <c r="F458" s="220"/>
      <c r="G458" s="220"/>
      <c r="H458" s="220" t="str">
        <f t="shared" si="42"/>
        <v/>
      </c>
      <c r="I458" s="460"/>
      <c r="J458" s="460"/>
      <c r="K458" s="460"/>
      <c r="L458" s="460"/>
      <c r="M458" s="460"/>
      <c r="N458" s="220"/>
      <c r="O458" s="220"/>
      <c r="P458" s="220"/>
      <c r="Q458" s="220"/>
      <c r="R458" s="221"/>
      <c r="S458" s="221"/>
      <c r="T458" s="316">
        <f t="shared" si="55"/>
        <v>0</v>
      </c>
      <c r="U458" s="217">
        <f t="shared" si="56"/>
        <v>0</v>
      </c>
      <c r="X458" s="26" t="str">
        <f t="shared" si="57"/>
        <v/>
      </c>
      <c r="Y458" s="21" t="str">
        <f>IF(MATCH(X458,X$300:$X459,0),"Si",1)</f>
        <v>Si</v>
      </c>
      <c r="Z458" s="26">
        <f t="shared" si="58"/>
        <v>0</v>
      </c>
      <c r="AA458" s="26">
        <f t="shared" si="59"/>
        <v>0</v>
      </c>
      <c r="AB458" s="26" t="str">
        <f t="shared" si="60"/>
        <v/>
      </c>
      <c r="AC458" s="26" t="str">
        <f>IF(MATCH(AB458,AB$300:$AB459,0),"0",1)</f>
        <v>0</v>
      </c>
    </row>
    <row r="459" spans="2:29" x14ac:dyDescent="0.35">
      <c r="B459" s="219"/>
      <c r="C459" s="216" t="s">
        <v>945</v>
      </c>
      <c r="D459" s="216"/>
      <c r="E459" s="220"/>
      <c r="F459" s="220"/>
      <c r="G459" s="220"/>
      <c r="H459" s="220" t="str">
        <f t="shared" si="42"/>
        <v/>
      </c>
      <c r="I459" s="460"/>
      <c r="J459" s="460"/>
      <c r="K459" s="460"/>
      <c r="L459" s="460"/>
      <c r="M459" s="460"/>
      <c r="N459" s="220"/>
      <c r="O459" s="220"/>
      <c r="P459" s="220"/>
      <c r="Q459" s="220"/>
      <c r="R459" s="221"/>
      <c r="S459" s="221"/>
      <c r="T459" s="316">
        <f t="shared" si="55"/>
        <v>0</v>
      </c>
      <c r="U459" s="217">
        <f t="shared" si="56"/>
        <v>0</v>
      </c>
      <c r="X459" s="26" t="str">
        <f t="shared" si="57"/>
        <v/>
      </c>
      <c r="Y459" s="21" t="str">
        <f>IF(MATCH(X459,X$300:$X460,0),"Si",1)</f>
        <v>Si</v>
      </c>
      <c r="Z459" s="26">
        <f t="shared" si="58"/>
        <v>0</v>
      </c>
      <c r="AA459" s="26">
        <f t="shared" si="59"/>
        <v>0</v>
      </c>
      <c r="AB459" s="26" t="str">
        <f t="shared" si="60"/>
        <v/>
      </c>
      <c r="AC459" s="26" t="str">
        <f>IF(MATCH(AB459,AB$300:$AB460,0),"0",1)</f>
        <v>0</v>
      </c>
    </row>
    <row r="460" spans="2:29" x14ac:dyDescent="0.35">
      <c r="B460" s="219"/>
      <c r="C460" s="216" t="s">
        <v>946</v>
      </c>
      <c r="D460" s="216"/>
      <c r="E460" s="220"/>
      <c r="F460" s="220"/>
      <c r="G460" s="220"/>
      <c r="H460" s="220" t="str">
        <f t="shared" si="42"/>
        <v/>
      </c>
      <c r="I460" s="460"/>
      <c r="J460" s="460"/>
      <c r="K460" s="460"/>
      <c r="L460" s="460"/>
      <c r="M460" s="460"/>
      <c r="N460" s="220"/>
      <c r="O460" s="220"/>
      <c r="P460" s="220"/>
      <c r="Q460" s="220"/>
      <c r="R460" s="221"/>
      <c r="S460" s="221"/>
      <c r="T460" s="316">
        <f t="shared" si="55"/>
        <v>0</v>
      </c>
      <c r="U460" s="217">
        <f t="shared" si="56"/>
        <v>0</v>
      </c>
      <c r="X460" s="26" t="str">
        <f t="shared" si="57"/>
        <v/>
      </c>
      <c r="Y460" s="21" t="str">
        <f>IF(MATCH(X460,X$300:$X461,0),"Si",1)</f>
        <v>Si</v>
      </c>
      <c r="Z460" s="26">
        <f t="shared" si="58"/>
        <v>0</v>
      </c>
      <c r="AA460" s="26">
        <f t="shared" si="59"/>
        <v>0</v>
      </c>
      <c r="AB460" s="26" t="str">
        <f t="shared" si="60"/>
        <v/>
      </c>
      <c r="AC460" s="26" t="str">
        <f>IF(MATCH(AB460,AB$300:$AB461,0),"0",1)</f>
        <v>0</v>
      </c>
    </row>
    <row r="461" spans="2:29" x14ac:dyDescent="0.35">
      <c r="B461" s="219"/>
      <c r="C461" s="216" t="s">
        <v>947</v>
      </c>
      <c r="D461" s="216"/>
      <c r="E461" s="220"/>
      <c r="F461" s="220"/>
      <c r="G461" s="220"/>
      <c r="H461" s="220" t="str">
        <f t="shared" si="42"/>
        <v/>
      </c>
      <c r="I461" s="460"/>
      <c r="J461" s="460"/>
      <c r="K461" s="460"/>
      <c r="L461" s="460"/>
      <c r="M461" s="460"/>
      <c r="N461" s="220"/>
      <c r="O461" s="220"/>
      <c r="P461" s="220"/>
      <c r="Q461" s="220"/>
      <c r="R461" s="221"/>
      <c r="S461" s="221"/>
      <c r="T461" s="316">
        <f t="shared" si="55"/>
        <v>0</v>
      </c>
      <c r="U461" s="217">
        <f t="shared" si="56"/>
        <v>0</v>
      </c>
      <c r="X461" s="26" t="str">
        <f t="shared" si="57"/>
        <v/>
      </c>
      <c r="Y461" s="21" t="str">
        <f>IF(MATCH(X461,X$300:$X462,0),"Si",1)</f>
        <v>Si</v>
      </c>
      <c r="Z461" s="26">
        <f t="shared" si="58"/>
        <v>0</v>
      </c>
      <c r="AA461" s="26">
        <f t="shared" si="59"/>
        <v>0</v>
      </c>
      <c r="AB461" s="26" t="str">
        <f t="shared" si="60"/>
        <v/>
      </c>
      <c r="AC461" s="26" t="str">
        <f>IF(MATCH(AB461,AB$300:$AB462,0),"0",1)</f>
        <v>0</v>
      </c>
    </row>
    <row r="462" spans="2:29" x14ac:dyDescent="0.35">
      <c r="B462" s="219"/>
      <c r="C462" s="216" t="s">
        <v>948</v>
      </c>
      <c r="D462" s="216"/>
      <c r="E462" s="220"/>
      <c r="F462" s="220"/>
      <c r="G462" s="220"/>
      <c r="H462" s="220" t="str">
        <f t="shared" si="42"/>
        <v/>
      </c>
      <c r="I462" s="460"/>
      <c r="J462" s="460"/>
      <c r="K462" s="460"/>
      <c r="L462" s="460"/>
      <c r="M462" s="460"/>
      <c r="N462" s="220"/>
      <c r="O462" s="220"/>
      <c r="P462" s="220"/>
      <c r="Q462" s="220"/>
      <c r="R462" s="221"/>
      <c r="S462" s="221"/>
      <c r="T462" s="316">
        <f t="shared" si="55"/>
        <v>0</v>
      </c>
      <c r="U462" s="217">
        <f t="shared" si="56"/>
        <v>0</v>
      </c>
      <c r="X462" s="26" t="str">
        <f t="shared" si="57"/>
        <v/>
      </c>
      <c r="Y462" s="21" t="str">
        <f>IF(MATCH(X462,X$300:$X463,0),"Si",1)</f>
        <v>Si</v>
      </c>
      <c r="Z462" s="26">
        <f t="shared" si="58"/>
        <v>0</v>
      </c>
      <c r="AA462" s="26">
        <f t="shared" si="59"/>
        <v>0</v>
      </c>
      <c r="AB462" s="26" t="str">
        <f t="shared" si="60"/>
        <v/>
      </c>
      <c r="AC462" s="26" t="str">
        <f>IF(MATCH(AB462,AB$300:$AB463,0),"0",1)</f>
        <v>0</v>
      </c>
    </row>
    <row r="463" spans="2:29" x14ac:dyDescent="0.35">
      <c r="B463" s="219"/>
      <c r="C463" s="216" t="s">
        <v>949</v>
      </c>
      <c r="D463" s="216"/>
      <c r="E463" s="220"/>
      <c r="F463" s="220"/>
      <c r="G463" s="220"/>
      <c r="H463" s="220" t="str">
        <f t="shared" si="42"/>
        <v/>
      </c>
      <c r="I463" s="460"/>
      <c r="J463" s="460"/>
      <c r="K463" s="460"/>
      <c r="L463" s="460"/>
      <c r="M463" s="460"/>
      <c r="N463" s="220"/>
      <c r="O463" s="220"/>
      <c r="P463" s="220"/>
      <c r="Q463" s="220"/>
      <c r="R463" s="221"/>
      <c r="S463" s="221"/>
      <c r="T463" s="316">
        <f t="shared" si="55"/>
        <v>0</v>
      </c>
      <c r="U463" s="217">
        <f t="shared" si="56"/>
        <v>0</v>
      </c>
      <c r="X463" s="26" t="str">
        <f t="shared" si="57"/>
        <v/>
      </c>
      <c r="Y463" s="21" t="str">
        <f>IF(MATCH(X463,X$300:$X464,0),"Si",1)</f>
        <v>Si</v>
      </c>
      <c r="Z463" s="26">
        <f t="shared" si="58"/>
        <v>0</v>
      </c>
      <c r="AA463" s="26">
        <f t="shared" si="59"/>
        <v>0</v>
      </c>
      <c r="AB463" s="26" t="str">
        <f t="shared" si="60"/>
        <v/>
      </c>
      <c r="AC463" s="26" t="str">
        <f>IF(MATCH(AB463,AB$300:$AB464,0),"0",1)</f>
        <v>0</v>
      </c>
    </row>
    <row r="464" spans="2:29" x14ac:dyDescent="0.35">
      <c r="B464" s="219"/>
      <c r="C464" s="216" t="s">
        <v>950</v>
      </c>
      <c r="D464" s="216"/>
      <c r="E464" s="220"/>
      <c r="F464" s="220"/>
      <c r="G464" s="220"/>
      <c r="H464" s="220" t="str">
        <f t="shared" si="42"/>
        <v/>
      </c>
      <c r="I464" s="460"/>
      <c r="J464" s="460"/>
      <c r="K464" s="460"/>
      <c r="L464" s="460"/>
      <c r="M464" s="460"/>
      <c r="N464" s="220"/>
      <c r="O464" s="220"/>
      <c r="P464" s="220"/>
      <c r="Q464" s="220"/>
      <c r="R464" s="221"/>
      <c r="S464" s="221"/>
      <c r="T464" s="316">
        <f t="shared" si="55"/>
        <v>0</v>
      </c>
      <c r="U464" s="217">
        <f t="shared" si="56"/>
        <v>0</v>
      </c>
      <c r="X464" s="26" t="str">
        <f t="shared" si="57"/>
        <v/>
      </c>
      <c r="Y464" s="21" t="str">
        <f>IF(MATCH(X464,X$300:$X465,0),"Si",1)</f>
        <v>Si</v>
      </c>
      <c r="Z464" s="26">
        <f t="shared" si="58"/>
        <v>0</v>
      </c>
      <c r="AA464" s="26">
        <f t="shared" si="59"/>
        <v>0</v>
      </c>
      <c r="AB464" s="26" t="str">
        <f t="shared" si="60"/>
        <v/>
      </c>
      <c r="AC464" s="26" t="str">
        <f>IF(MATCH(AB464,AB$300:$AB465,0),"0",1)</f>
        <v>0</v>
      </c>
    </row>
    <row r="465" spans="2:29" x14ac:dyDescent="0.35">
      <c r="B465" s="219"/>
      <c r="C465" s="216" t="s">
        <v>951</v>
      </c>
      <c r="D465" s="216"/>
      <c r="E465" s="220"/>
      <c r="F465" s="220"/>
      <c r="G465" s="220"/>
      <c r="H465" s="220" t="str">
        <f t="shared" si="42"/>
        <v/>
      </c>
      <c r="I465" s="460"/>
      <c r="J465" s="460"/>
      <c r="K465" s="460"/>
      <c r="L465" s="460"/>
      <c r="M465" s="460"/>
      <c r="N465" s="220"/>
      <c r="O465" s="220"/>
      <c r="P465" s="220"/>
      <c r="Q465" s="220"/>
      <c r="R465" s="221"/>
      <c r="S465" s="221"/>
      <c r="T465" s="316">
        <f t="shared" si="55"/>
        <v>0</v>
      </c>
      <c r="U465" s="217">
        <f t="shared" si="56"/>
        <v>0</v>
      </c>
      <c r="X465" s="26" t="str">
        <f t="shared" si="57"/>
        <v/>
      </c>
      <c r="Y465" s="21" t="str">
        <f>IF(MATCH(X465,X$300:$X466,0),"Si",1)</f>
        <v>Si</v>
      </c>
      <c r="Z465" s="26">
        <f t="shared" si="58"/>
        <v>0</v>
      </c>
      <c r="AA465" s="26">
        <f t="shared" si="59"/>
        <v>0</v>
      </c>
      <c r="AB465" s="26" t="str">
        <f t="shared" si="60"/>
        <v/>
      </c>
      <c r="AC465" s="26" t="str">
        <f>IF(MATCH(AB465,AB$300:$AB466,0),"0",1)</f>
        <v>0</v>
      </c>
    </row>
    <row r="466" spans="2:29" x14ac:dyDescent="0.35">
      <c r="B466" s="219"/>
      <c r="C466" s="216" t="s">
        <v>952</v>
      </c>
      <c r="D466" s="216"/>
      <c r="E466" s="220"/>
      <c r="F466" s="220"/>
      <c r="G466" s="220"/>
      <c r="H466" s="220" t="str">
        <f t="shared" ref="H466:H529" si="61">IF(G466=0,"",IF(G466&lt;&gt;"Error","No",""))</f>
        <v/>
      </c>
      <c r="I466" s="460"/>
      <c r="J466" s="460"/>
      <c r="K466" s="460"/>
      <c r="L466" s="460"/>
      <c r="M466" s="460"/>
      <c r="N466" s="220"/>
      <c r="O466" s="220"/>
      <c r="P466" s="220"/>
      <c r="Q466" s="220"/>
      <c r="R466" s="221"/>
      <c r="S466" s="221"/>
      <c r="T466" s="316">
        <f t="shared" si="55"/>
        <v>0</v>
      </c>
      <c r="U466" s="217">
        <f t="shared" si="56"/>
        <v>0</v>
      </c>
      <c r="X466" s="26" t="str">
        <f t="shared" si="57"/>
        <v/>
      </c>
      <c r="Y466" s="21" t="str">
        <f>IF(MATCH(X466,X$300:$X467,0),"Si",1)</f>
        <v>Si</v>
      </c>
      <c r="Z466" s="26">
        <f t="shared" si="58"/>
        <v>0</v>
      </c>
      <c r="AA466" s="26">
        <f t="shared" si="59"/>
        <v>0</v>
      </c>
      <c r="AB466" s="26" t="str">
        <f t="shared" si="60"/>
        <v/>
      </c>
      <c r="AC466" s="26" t="str">
        <f>IF(MATCH(AB466,AB$300:$AB467,0),"0",1)</f>
        <v>0</v>
      </c>
    </row>
    <row r="467" spans="2:29" x14ac:dyDescent="0.35">
      <c r="B467" s="219"/>
      <c r="C467" s="216" t="s">
        <v>953</v>
      </c>
      <c r="D467" s="216"/>
      <c r="E467" s="220"/>
      <c r="F467" s="220"/>
      <c r="G467" s="220"/>
      <c r="H467" s="220" t="str">
        <f t="shared" si="61"/>
        <v/>
      </c>
      <c r="I467" s="460"/>
      <c r="J467" s="460"/>
      <c r="K467" s="460"/>
      <c r="L467" s="460"/>
      <c r="M467" s="460"/>
      <c r="N467" s="220"/>
      <c r="O467" s="220"/>
      <c r="P467" s="220"/>
      <c r="Q467" s="220"/>
      <c r="R467" s="221"/>
      <c r="S467" s="221"/>
      <c r="T467" s="316">
        <f t="shared" si="55"/>
        <v>0</v>
      </c>
      <c r="U467" s="217">
        <f t="shared" si="56"/>
        <v>0</v>
      </c>
      <c r="X467" s="26" t="str">
        <f t="shared" si="57"/>
        <v/>
      </c>
      <c r="Y467" s="21" t="str">
        <f>IF(MATCH(X467,X$300:$X468,0),"Si",1)</f>
        <v>Si</v>
      </c>
      <c r="Z467" s="26">
        <f t="shared" si="58"/>
        <v>0</v>
      </c>
      <c r="AA467" s="26">
        <f t="shared" si="59"/>
        <v>0</v>
      </c>
      <c r="AB467" s="26" t="str">
        <f t="shared" si="60"/>
        <v/>
      </c>
      <c r="AC467" s="26" t="str">
        <f>IF(MATCH(AB467,AB$300:$AB468,0),"0",1)</f>
        <v>0</v>
      </c>
    </row>
    <row r="468" spans="2:29" x14ac:dyDescent="0.35">
      <c r="B468" s="219"/>
      <c r="C468" s="216" t="s">
        <v>954</v>
      </c>
      <c r="D468" s="216"/>
      <c r="E468" s="220"/>
      <c r="F468" s="220"/>
      <c r="G468" s="220"/>
      <c r="H468" s="220" t="str">
        <f t="shared" si="61"/>
        <v/>
      </c>
      <c r="I468" s="460"/>
      <c r="J468" s="460"/>
      <c r="K468" s="460"/>
      <c r="L468" s="460"/>
      <c r="M468" s="460"/>
      <c r="N468" s="220"/>
      <c r="O468" s="220"/>
      <c r="P468" s="220"/>
      <c r="Q468" s="220"/>
      <c r="R468" s="221"/>
      <c r="S468" s="221"/>
      <c r="T468" s="316">
        <f t="shared" si="55"/>
        <v>0</v>
      </c>
      <c r="U468" s="217">
        <f t="shared" si="56"/>
        <v>0</v>
      </c>
      <c r="X468" s="26" t="str">
        <f t="shared" si="57"/>
        <v/>
      </c>
      <c r="Y468" s="21" t="str">
        <f>IF(MATCH(X468,X$300:$X469,0),"Si",1)</f>
        <v>Si</v>
      </c>
      <c r="Z468" s="26">
        <f t="shared" si="58"/>
        <v>0</v>
      </c>
      <c r="AA468" s="26">
        <f t="shared" si="59"/>
        <v>0</v>
      </c>
      <c r="AB468" s="26" t="str">
        <f t="shared" si="60"/>
        <v/>
      </c>
      <c r="AC468" s="26" t="str">
        <f>IF(MATCH(AB468,AB$300:$AB469,0),"0",1)</f>
        <v>0</v>
      </c>
    </row>
    <row r="469" spans="2:29" x14ac:dyDescent="0.35">
      <c r="B469" s="219"/>
      <c r="C469" s="216" t="s">
        <v>955</v>
      </c>
      <c r="D469" s="216"/>
      <c r="E469" s="220"/>
      <c r="F469" s="220"/>
      <c r="G469" s="220"/>
      <c r="H469" s="220" t="str">
        <f t="shared" si="61"/>
        <v/>
      </c>
      <c r="I469" s="460"/>
      <c r="J469" s="460"/>
      <c r="K469" s="460"/>
      <c r="L469" s="460"/>
      <c r="M469" s="460"/>
      <c r="N469" s="220"/>
      <c r="O469" s="220"/>
      <c r="P469" s="220"/>
      <c r="Q469" s="220"/>
      <c r="R469" s="221"/>
      <c r="S469" s="221"/>
      <c r="T469" s="316">
        <f t="shared" si="55"/>
        <v>0</v>
      </c>
      <c r="U469" s="217">
        <f t="shared" si="56"/>
        <v>0</v>
      </c>
      <c r="X469" s="26" t="str">
        <f t="shared" si="57"/>
        <v/>
      </c>
      <c r="Y469" s="21" t="str">
        <f>IF(MATCH(X469,X$300:$X470,0),"Si",1)</f>
        <v>Si</v>
      </c>
      <c r="Z469" s="26">
        <f t="shared" si="58"/>
        <v>0</v>
      </c>
      <c r="AA469" s="26">
        <f t="shared" si="59"/>
        <v>0</v>
      </c>
      <c r="AB469" s="26" t="str">
        <f t="shared" si="60"/>
        <v/>
      </c>
      <c r="AC469" s="26" t="str">
        <f>IF(MATCH(AB469,AB$300:$AB470,0),"0",1)</f>
        <v>0</v>
      </c>
    </row>
    <row r="470" spans="2:29" x14ac:dyDescent="0.35">
      <c r="B470" s="219"/>
      <c r="C470" s="216" t="s">
        <v>956</v>
      </c>
      <c r="D470" s="216"/>
      <c r="E470" s="220"/>
      <c r="F470" s="220"/>
      <c r="G470" s="220"/>
      <c r="H470" s="220" t="str">
        <f t="shared" si="61"/>
        <v/>
      </c>
      <c r="I470" s="460"/>
      <c r="J470" s="460"/>
      <c r="K470" s="460"/>
      <c r="L470" s="460"/>
      <c r="M470" s="460"/>
      <c r="N470" s="220"/>
      <c r="O470" s="220"/>
      <c r="P470" s="220"/>
      <c r="Q470" s="220"/>
      <c r="R470" s="221"/>
      <c r="S470" s="221"/>
      <c r="T470" s="316">
        <f t="shared" si="55"/>
        <v>0</v>
      </c>
      <c r="U470" s="217">
        <f t="shared" si="56"/>
        <v>0</v>
      </c>
      <c r="X470" s="26" t="str">
        <f t="shared" si="57"/>
        <v/>
      </c>
      <c r="Y470" s="21" t="str">
        <f>IF(MATCH(X470,X$300:$X471,0),"Si",1)</f>
        <v>Si</v>
      </c>
      <c r="Z470" s="26">
        <f t="shared" si="58"/>
        <v>0</v>
      </c>
      <c r="AA470" s="26">
        <f t="shared" si="59"/>
        <v>0</v>
      </c>
      <c r="AB470" s="26" t="str">
        <f t="shared" si="60"/>
        <v/>
      </c>
      <c r="AC470" s="26" t="str">
        <f>IF(MATCH(AB470,AB$300:$AB471,0),"0",1)</f>
        <v>0</v>
      </c>
    </row>
    <row r="471" spans="2:29" x14ac:dyDescent="0.35">
      <c r="B471" s="219"/>
      <c r="C471" s="216" t="s">
        <v>957</v>
      </c>
      <c r="D471" s="216"/>
      <c r="E471" s="220"/>
      <c r="F471" s="220"/>
      <c r="G471" s="220"/>
      <c r="H471" s="220" t="str">
        <f t="shared" si="61"/>
        <v/>
      </c>
      <c r="I471" s="460"/>
      <c r="J471" s="460"/>
      <c r="K471" s="460"/>
      <c r="L471" s="460"/>
      <c r="M471" s="460"/>
      <c r="N471" s="220"/>
      <c r="O471" s="220"/>
      <c r="P471" s="220"/>
      <c r="Q471" s="220"/>
      <c r="R471" s="221"/>
      <c r="S471" s="221"/>
      <c r="T471" s="316">
        <f t="shared" si="55"/>
        <v>0</v>
      </c>
      <c r="U471" s="217">
        <f t="shared" si="56"/>
        <v>0</v>
      </c>
      <c r="X471" s="26" t="str">
        <f t="shared" si="57"/>
        <v/>
      </c>
      <c r="Y471" s="21" t="str">
        <f>IF(MATCH(X471,X$300:$X472,0),"Si",1)</f>
        <v>Si</v>
      </c>
      <c r="Z471" s="26">
        <f t="shared" si="58"/>
        <v>0</v>
      </c>
      <c r="AA471" s="26">
        <f t="shared" si="59"/>
        <v>0</v>
      </c>
      <c r="AB471" s="26" t="str">
        <f t="shared" si="60"/>
        <v/>
      </c>
      <c r="AC471" s="26" t="str">
        <f>IF(MATCH(AB471,AB$300:$AB472,0),"0",1)</f>
        <v>0</v>
      </c>
    </row>
    <row r="472" spans="2:29" x14ac:dyDescent="0.35">
      <c r="B472" s="219"/>
      <c r="C472" s="216" t="s">
        <v>958</v>
      </c>
      <c r="D472" s="216"/>
      <c r="E472" s="220"/>
      <c r="F472" s="220"/>
      <c r="G472" s="220"/>
      <c r="H472" s="220" t="str">
        <f t="shared" si="61"/>
        <v/>
      </c>
      <c r="I472" s="460"/>
      <c r="J472" s="460"/>
      <c r="K472" s="460"/>
      <c r="L472" s="460"/>
      <c r="M472" s="460"/>
      <c r="N472" s="220"/>
      <c r="O472" s="220"/>
      <c r="P472" s="220"/>
      <c r="Q472" s="220"/>
      <c r="R472" s="221"/>
      <c r="S472" s="221"/>
      <c r="T472" s="316">
        <f t="shared" si="55"/>
        <v>0</v>
      </c>
      <c r="U472" s="217">
        <f t="shared" si="56"/>
        <v>0</v>
      </c>
      <c r="X472" s="26" t="str">
        <f t="shared" si="57"/>
        <v/>
      </c>
      <c r="Y472" s="21" t="str">
        <f>IF(MATCH(X472,X$300:$X473,0),"Si",1)</f>
        <v>Si</v>
      </c>
      <c r="Z472" s="26">
        <f t="shared" si="58"/>
        <v>0</v>
      </c>
      <c r="AA472" s="26">
        <f t="shared" si="59"/>
        <v>0</v>
      </c>
      <c r="AB472" s="26" t="str">
        <f t="shared" si="60"/>
        <v/>
      </c>
      <c r="AC472" s="26" t="str">
        <f>IF(MATCH(AB472,AB$300:$AB473,0),"0",1)</f>
        <v>0</v>
      </c>
    </row>
    <row r="473" spans="2:29" x14ac:dyDescent="0.35">
      <c r="B473" s="219"/>
      <c r="C473" s="216" t="s">
        <v>959</v>
      </c>
      <c r="D473" s="216"/>
      <c r="E473" s="220"/>
      <c r="F473" s="220"/>
      <c r="G473" s="220"/>
      <c r="H473" s="220" t="str">
        <f t="shared" si="61"/>
        <v/>
      </c>
      <c r="I473" s="460"/>
      <c r="J473" s="460"/>
      <c r="K473" s="460"/>
      <c r="L473" s="460"/>
      <c r="M473" s="460"/>
      <c r="N473" s="220"/>
      <c r="O473" s="220"/>
      <c r="P473" s="220"/>
      <c r="Q473" s="220"/>
      <c r="R473" s="221"/>
      <c r="S473" s="221"/>
      <c r="T473" s="316">
        <f t="shared" si="55"/>
        <v>0</v>
      </c>
      <c r="U473" s="217">
        <f t="shared" si="56"/>
        <v>0</v>
      </c>
      <c r="X473" s="26" t="str">
        <f t="shared" si="57"/>
        <v/>
      </c>
      <c r="Y473" s="21" t="str">
        <f>IF(MATCH(X473,X$300:$X474,0),"Si",1)</f>
        <v>Si</v>
      </c>
      <c r="Z473" s="26">
        <f t="shared" si="58"/>
        <v>0</v>
      </c>
      <c r="AA473" s="26">
        <f t="shared" si="59"/>
        <v>0</v>
      </c>
      <c r="AB473" s="26" t="str">
        <f t="shared" si="60"/>
        <v/>
      </c>
      <c r="AC473" s="26" t="str">
        <f>IF(MATCH(AB473,AB$300:$AB474,0),"0",1)</f>
        <v>0</v>
      </c>
    </row>
    <row r="474" spans="2:29" x14ac:dyDescent="0.35">
      <c r="B474" s="219"/>
      <c r="C474" s="216" t="s">
        <v>960</v>
      </c>
      <c r="D474" s="216"/>
      <c r="E474" s="220"/>
      <c r="F474" s="220"/>
      <c r="G474" s="220"/>
      <c r="H474" s="220" t="str">
        <f t="shared" si="61"/>
        <v/>
      </c>
      <c r="I474" s="460"/>
      <c r="J474" s="460"/>
      <c r="K474" s="460"/>
      <c r="L474" s="460"/>
      <c r="M474" s="460"/>
      <c r="N474" s="220"/>
      <c r="O474" s="220"/>
      <c r="P474" s="220"/>
      <c r="Q474" s="220"/>
      <c r="R474" s="221"/>
      <c r="S474" s="221"/>
      <c r="T474" s="316">
        <f t="shared" si="55"/>
        <v>0</v>
      </c>
      <c r="U474" s="217">
        <f t="shared" si="56"/>
        <v>0</v>
      </c>
      <c r="X474" s="26" t="str">
        <f t="shared" si="57"/>
        <v/>
      </c>
      <c r="Y474" s="21" t="str">
        <f>IF(MATCH(X474,X$300:$X475,0),"Si",1)</f>
        <v>Si</v>
      </c>
      <c r="Z474" s="26">
        <f t="shared" si="58"/>
        <v>0</v>
      </c>
      <c r="AA474" s="26">
        <f t="shared" si="59"/>
        <v>0</v>
      </c>
      <c r="AB474" s="26" t="str">
        <f t="shared" si="60"/>
        <v/>
      </c>
      <c r="AC474" s="26" t="str">
        <f>IF(MATCH(AB474,AB$300:$AB475,0),"0",1)</f>
        <v>0</v>
      </c>
    </row>
    <row r="475" spans="2:29" x14ac:dyDescent="0.35">
      <c r="B475" s="219"/>
      <c r="C475" s="216" t="s">
        <v>961</v>
      </c>
      <c r="D475" s="216"/>
      <c r="E475" s="220"/>
      <c r="F475" s="220"/>
      <c r="G475" s="220"/>
      <c r="H475" s="220" t="str">
        <f t="shared" si="61"/>
        <v/>
      </c>
      <c r="I475" s="460"/>
      <c r="J475" s="460"/>
      <c r="K475" s="460"/>
      <c r="L475" s="460"/>
      <c r="M475" s="460"/>
      <c r="N475" s="220"/>
      <c r="O475" s="220"/>
      <c r="P475" s="220"/>
      <c r="Q475" s="220"/>
      <c r="R475" s="221"/>
      <c r="S475" s="221"/>
      <c r="T475" s="316">
        <f t="shared" ref="T475:T538" si="62">IF(S475=0,0,IF(S475&lt;R475,"Error en fecha solución",IFERROR(AC475,NETWORKDAYS(R475,S475)-1)))</f>
        <v>0</v>
      </c>
      <c r="U475" s="217">
        <f t="shared" ref="U475:U538" si="63">IFERROR(T475*8,"Error")</f>
        <v>0</v>
      </c>
      <c r="X475" s="26" t="str">
        <f t="shared" ref="X475:X538" si="64">CONCATENATE(H475,O475,R475,S475)</f>
        <v/>
      </c>
      <c r="Y475" s="21" t="str">
        <f>IF(MATCH(X475,X$300:$X476,0),"Si",1)</f>
        <v>Si</v>
      </c>
      <c r="Z475" s="26">
        <f t="shared" ref="Z475:Z538" si="65">IF(S475=0,0,IF(S475&lt;R475,"Error en fecha solución",IF(Y475="Si",0,IFERROR(Y475,NETWORKDAYS(R475,S475)-1))))</f>
        <v>0</v>
      </c>
      <c r="AA475" s="26">
        <f t="shared" ref="AA475:AA538" si="66">IF(S475=0,0,IF(S475&lt;R475,"Error en fecha solución",IFERROR(Z475,NETWORKDAYS(R475,S475)-1)))</f>
        <v>0</v>
      </c>
      <c r="AB475" s="26" t="str">
        <f t="shared" ref="AB475:AB538" si="67">CONCATENATE(R475,S475)</f>
        <v/>
      </c>
      <c r="AC475" s="26" t="str">
        <f>IF(MATCH(AB475,AB$300:$AB476,0),"0",1)</f>
        <v>0</v>
      </c>
    </row>
    <row r="476" spans="2:29" x14ac:dyDescent="0.35">
      <c r="B476" s="219"/>
      <c r="C476" s="216" t="s">
        <v>962</v>
      </c>
      <c r="D476" s="216"/>
      <c r="E476" s="220"/>
      <c r="F476" s="220"/>
      <c r="G476" s="220"/>
      <c r="H476" s="220" t="str">
        <f t="shared" si="61"/>
        <v/>
      </c>
      <c r="I476" s="460"/>
      <c r="J476" s="460"/>
      <c r="K476" s="460"/>
      <c r="L476" s="460"/>
      <c r="M476" s="460"/>
      <c r="N476" s="220"/>
      <c r="O476" s="220"/>
      <c r="P476" s="220"/>
      <c r="Q476" s="220"/>
      <c r="R476" s="221"/>
      <c r="S476" s="221"/>
      <c r="T476" s="316">
        <f t="shared" si="62"/>
        <v>0</v>
      </c>
      <c r="U476" s="217">
        <f t="shared" si="63"/>
        <v>0</v>
      </c>
      <c r="X476" s="26" t="str">
        <f t="shared" si="64"/>
        <v/>
      </c>
      <c r="Y476" s="21" t="str">
        <f>IF(MATCH(X476,X$300:$X477,0),"Si",1)</f>
        <v>Si</v>
      </c>
      <c r="Z476" s="26">
        <f t="shared" si="65"/>
        <v>0</v>
      </c>
      <c r="AA476" s="26">
        <f t="shared" si="66"/>
        <v>0</v>
      </c>
      <c r="AB476" s="26" t="str">
        <f t="shared" si="67"/>
        <v/>
      </c>
      <c r="AC476" s="26" t="str">
        <f>IF(MATCH(AB476,AB$300:$AB477,0),"0",1)</f>
        <v>0</v>
      </c>
    </row>
    <row r="477" spans="2:29" x14ac:dyDescent="0.35">
      <c r="B477" s="219"/>
      <c r="C477" s="216" t="s">
        <v>963</v>
      </c>
      <c r="D477" s="216"/>
      <c r="E477" s="220"/>
      <c r="F477" s="220"/>
      <c r="G477" s="220"/>
      <c r="H477" s="220" t="str">
        <f t="shared" si="61"/>
        <v/>
      </c>
      <c r="I477" s="460"/>
      <c r="J477" s="460"/>
      <c r="K477" s="460"/>
      <c r="L477" s="460"/>
      <c r="M477" s="460"/>
      <c r="N477" s="220"/>
      <c r="O477" s="220"/>
      <c r="P477" s="220"/>
      <c r="Q477" s="220"/>
      <c r="R477" s="221"/>
      <c r="S477" s="221"/>
      <c r="T477" s="316">
        <f t="shared" si="62"/>
        <v>0</v>
      </c>
      <c r="U477" s="217">
        <f t="shared" si="63"/>
        <v>0</v>
      </c>
      <c r="X477" s="26" t="str">
        <f t="shared" si="64"/>
        <v/>
      </c>
      <c r="Y477" s="21" t="str">
        <f>IF(MATCH(X477,X$300:$X478,0),"Si",1)</f>
        <v>Si</v>
      </c>
      <c r="Z477" s="26">
        <f t="shared" si="65"/>
        <v>0</v>
      </c>
      <c r="AA477" s="26">
        <f t="shared" si="66"/>
        <v>0</v>
      </c>
      <c r="AB477" s="26" t="str">
        <f t="shared" si="67"/>
        <v/>
      </c>
      <c r="AC477" s="26" t="str">
        <f>IF(MATCH(AB477,AB$300:$AB478,0),"0",1)</f>
        <v>0</v>
      </c>
    </row>
    <row r="478" spans="2:29" x14ac:dyDescent="0.35">
      <c r="B478" s="219"/>
      <c r="C478" s="216" t="s">
        <v>964</v>
      </c>
      <c r="D478" s="216"/>
      <c r="E478" s="220"/>
      <c r="F478" s="220"/>
      <c r="G478" s="220"/>
      <c r="H478" s="220" t="str">
        <f t="shared" si="61"/>
        <v/>
      </c>
      <c r="I478" s="460"/>
      <c r="J478" s="460"/>
      <c r="K478" s="460"/>
      <c r="L478" s="460"/>
      <c r="M478" s="460"/>
      <c r="N478" s="220"/>
      <c r="O478" s="220"/>
      <c r="P478" s="220"/>
      <c r="Q478" s="220"/>
      <c r="R478" s="221"/>
      <c r="S478" s="221"/>
      <c r="T478" s="316">
        <f t="shared" si="62"/>
        <v>0</v>
      </c>
      <c r="U478" s="217">
        <f t="shared" si="63"/>
        <v>0</v>
      </c>
      <c r="X478" s="26" t="str">
        <f t="shared" si="64"/>
        <v/>
      </c>
      <c r="Y478" s="21" t="str">
        <f>IF(MATCH(X478,X$300:$X479,0),"Si",1)</f>
        <v>Si</v>
      </c>
      <c r="Z478" s="26">
        <f t="shared" si="65"/>
        <v>0</v>
      </c>
      <c r="AA478" s="26">
        <f t="shared" si="66"/>
        <v>0</v>
      </c>
      <c r="AB478" s="26" t="str">
        <f t="shared" si="67"/>
        <v/>
      </c>
      <c r="AC478" s="26" t="str">
        <f>IF(MATCH(AB478,AB$300:$AB479,0),"0",1)</f>
        <v>0</v>
      </c>
    </row>
    <row r="479" spans="2:29" x14ac:dyDescent="0.35">
      <c r="B479" s="219"/>
      <c r="C479" s="216" t="s">
        <v>965</v>
      </c>
      <c r="D479" s="216"/>
      <c r="E479" s="220"/>
      <c r="F479" s="220"/>
      <c r="G479" s="220"/>
      <c r="H479" s="220" t="str">
        <f t="shared" si="61"/>
        <v/>
      </c>
      <c r="I479" s="460"/>
      <c r="J479" s="460"/>
      <c r="K479" s="460"/>
      <c r="L479" s="460"/>
      <c r="M479" s="460"/>
      <c r="N479" s="220"/>
      <c r="O479" s="220"/>
      <c r="P479" s="220"/>
      <c r="Q479" s="220"/>
      <c r="R479" s="221"/>
      <c r="S479" s="221"/>
      <c r="T479" s="316">
        <f t="shared" si="62"/>
        <v>0</v>
      </c>
      <c r="U479" s="217">
        <f t="shared" si="63"/>
        <v>0</v>
      </c>
      <c r="X479" s="26" t="str">
        <f t="shared" si="64"/>
        <v/>
      </c>
      <c r="Y479" s="21" t="str">
        <f>IF(MATCH(X479,X$300:$X480,0),"Si",1)</f>
        <v>Si</v>
      </c>
      <c r="Z479" s="26">
        <f t="shared" si="65"/>
        <v>0</v>
      </c>
      <c r="AA479" s="26">
        <f t="shared" si="66"/>
        <v>0</v>
      </c>
      <c r="AB479" s="26" t="str">
        <f t="shared" si="67"/>
        <v/>
      </c>
      <c r="AC479" s="26" t="str">
        <f>IF(MATCH(AB479,AB$300:$AB480,0),"0",1)</f>
        <v>0</v>
      </c>
    </row>
    <row r="480" spans="2:29" x14ac:dyDescent="0.35">
      <c r="B480" s="219"/>
      <c r="C480" s="216" t="s">
        <v>966</v>
      </c>
      <c r="D480" s="216"/>
      <c r="E480" s="220"/>
      <c r="F480" s="220"/>
      <c r="G480" s="220"/>
      <c r="H480" s="220" t="str">
        <f t="shared" si="61"/>
        <v/>
      </c>
      <c r="I480" s="460"/>
      <c r="J480" s="460"/>
      <c r="K480" s="460"/>
      <c r="L480" s="460"/>
      <c r="M480" s="460"/>
      <c r="N480" s="220"/>
      <c r="O480" s="220"/>
      <c r="P480" s="220"/>
      <c r="Q480" s="220"/>
      <c r="R480" s="221"/>
      <c r="S480" s="221"/>
      <c r="T480" s="316">
        <f t="shared" si="62"/>
        <v>0</v>
      </c>
      <c r="U480" s="217">
        <f t="shared" si="63"/>
        <v>0</v>
      </c>
      <c r="X480" s="26" t="str">
        <f t="shared" si="64"/>
        <v/>
      </c>
      <c r="Y480" s="21" t="str">
        <f>IF(MATCH(X480,X$300:$X481,0),"Si",1)</f>
        <v>Si</v>
      </c>
      <c r="Z480" s="26">
        <f t="shared" si="65"/>
        <v>0</v>
      </c>
      <c r="AA480" s="26">
        <f t="shared" si="66"/>
        <v>0</v>
      </c>
      <c r="AB480" s="26" t="str">
        <f t="shared" si="67"/>
        <v/>
      </c>
      <c r="AC480" s="26" t="str">
        <f>IF(MATCH(AB480,AB$300:$AB481,0),"0",1)</f>
        <v>0</v>
      </c>
    </row>
    <row r="481" spans="2:29" x14ac:dyDescent="0.35">
      <c r="B481" s="219"/>
      <c r="C481" s="216" t="s">
        <v>967</v>
      </c>
      <c r="D481" s="216"/>
      <c r="E481" s="220"/>
      <c r="F481" s="220"/>
      <c r="G481" s="220"/>
      <c r="H481" s="220" t="str">
        <f t="shared" si="61"/>
        <v/>
      </c>
      <c r="I481" s="460"/>
      <c r="J481" s="460"/>
      <c r="K481" s="460"/>
      <c r="L481" s="460"/>
      <c r="M481" s="460"/>
      <c r="N481" s="220"/>
      <c r="O481" s="220"/>
      <c r="P481" s="220"/>
      <c r="Q481" s="220"/>
      <c r="R481" s="221"/>
      <c r="S481" s="221"/>
      <c r="T481" s="316">
        <f t="shared" si="62"/>
        <v>0</v>
      </c>
      <c r="U481" s="217">
        <f t="shared" si="63"/>
        <v>0</v>
      </c>
      <c r="X481" s="26" t="str">
        <f t="shared" si="64"/>
        <v/>
      </c>
      <c r="Y481" s="21" t="str">
        <f>IF(MATCH(X481,X$300:$X482,0),"Si",1)</f>
        <v>Si</v>
      </c>
      <c r="Z481" s="26">
        <f t="shared" si="65"/>
        <v>0</v>
      </c>
      <c r="AA481" s="26">
        <f t="shared" si="66"/>
        <v>0</v>
      </c>
      <c r="AB481" s="26" t="str">
        <f t="shared" si="67"/>
        <v/>
      </c>
      <c r="AC481" s="26" t="str">
        <f>IF(MATCH(AB481,AB$300:$AB482,0),"0",1)</f>
        <v>0</v>
      </c>
    </row>
    <row r="482" spans="2:29" x14ac:dyDescent="0.35">
      <c r="B482" s="219"/>
      <c r="C482" s="216" t="s">
        <v>968</v>
      </c>
      <c r="D482" s="216"/>
      <c r="E482" s="220"/>
      <c r="F482" s="220"/>
      <c r="G482" s="220"/>
      <c r="H482" s="220" t="str">
        <f t="shared" si="61"/>
        <v/>
      </c>
      <c r="I482" s="460"/>
      <c r="J482" s="460"/>
      <c r="K482" s="460"/>
      <c r="L482" s="460"/>
      <c r="M482" s="460"/>
      <c r="N482" s="220"/>
      <c r="O482" s="220"/>
      <c r="P482" s="220"/>
      <c r="Q482" s="220"/>
      <c r="R482" s="221"/>
      <c r="S482" s="221"/>
      <c r="T482" s="316">
        <f t="shared" si="62"/>
        <v>0</v>
      </c>
      <c r="U482" s="217">
        <f t="shared" si="63"/>
        <v>0</v>
      </c>
      <c r="X482" s="26" t="str">
        <f t="shared" si="64"/>
        <v/>
      </c>
      <c r="Y482" s="21" t="str">
        <f>IF(MATCH(X482,X$300:$X483,0),"Si",1)</f>
        <v>Si</v>
      </c>
      <c r="Z482" s="26">
        <f t="shared" si="65"/>
        <v>0</v>
      </c>
      <c r="AA482" s="26">
        <f t="shared" si="66"/>
        <v>0</v>
      </c>
      <c r="AB482" s="26" t="str">
        <f t="shared" si="67"/>
        <v/>
      </c>
      <c r="AC482" s="26" t="str">
        <f>IF(MATCH(AB482,AB$300:$AB483,0),"0",1)</f>
        <v>0</v>
      </c>
    </row>
    <row r="483" spans="2:29" x14ac:dyDescent="0.35">
      <c r="B483" s="219"/>
      <c r="C483" s="216" t="s">
        <v>969</v>
      </c>
      <c r="D483" s="216"/>
      <c r="E483" s="220"/>
      <c r="F483" s="220"/>
      <c r="G483" s="220"/>
      <c r="H483" s="220" t="str">
        <f t="shared" si="61"/>
        <v/>
      </c>
      <c r="I483" s="460"/>
      <c r="J483" s="460"/>
      <c r="K483" s="460"/>
      <c r="L483" s="460"/>
      <c r="M483" s="460"/>
      <c r="N483" s="220"/>
      <c r="O483" s="220"/>
      <c r="P483" s="220"/>
      <c r="Q483" s="220"/>
      <c r="R483" s="221"/>
      <c r="S483" s="221"/>
      <c r="T483" s="316">
        <f t="shared" si="62"/>
        <v>0</v>
      </c>
      <c r="U483" s="217">
        <f t="shared" si="63"/>
        <v>0</v>
      </c>
      <c r="X483" s="26" t="str">
        <f t="shared" si="64"/>
        <v/>
      </c>
      <c r="Y483" s="21" t="str">
        <f>IF(MATCH(X483,X$300:$X484,0),"Si",1)</f>
        <v>Si</v>
      </c>
      <c r="Z483" s="26">
        <f t="shared" si="65"/>
        <v>0</v>
      </c>
      <c r="AA483" s="26">
        <f t="shared" si="66"/>
        <v>0</v>
      </c>
      <c r="AB483" s="26" t="str">
        <f t="shared" si="67"/>
        <v/>
      </c>
      <c r="AC483" s="26" t="str">
        <f>IF(MATCH(AB483,AB$300:$AB484,0),"0",1)</f>
        <v>0</v>
      </c>
    </row>
    <row r="484" spans="2:29" x14ac:dyDescent="0.35">
      <c r="B484" s="219"/>
      <c r="C484" s="216" t="s">
        <v>970</v>
      </c>
      <c r="D484" s="216"/>
      <c r="E484" s="220"/>
      <c r="F484" s="220"/>
      <c r="G484" s="220"/>
      <c r="H484" s="220" t="str">
        <f t="shared" si="61"/>
        <v/>
      </c>
      <c r="I484" s="460"/>
      <c r="J484" s="460"/>
      <c r="K484" s="460"/>
      <c r="L484" s="460"/>
      <c r="M484" s="460"/>
      <c r="N484" s="220"/>
      <c r="O484" s="220"/>
      <c r="P484" s="220"/>
      <c r="Q484" s="220"/>
      <c r="R484" s="221"/>
      <c r="S484" s="221"/>
      <c r="T484" s="316">
        <f t="shared" si="62"/>
        <v>0</v>
      </c>
      <c r="U484" s="217">
        <f t="shared" si="63"/>
        <v>0</v>
      </c>
      <c r="X484" s="26" t="str">
        <f t="shared" si="64"/>
        <v/>
      </c>
      <c r="Y484" s="21" t="str">
        <f>IF(MATCH(X484,X$300:$X485,0),"Si",1)</f>
        <v>Si</v>
      </c>
      <c r="Z484" s="26">
        <f t="shared" si="65"/>
        <v>0</v>
      </c>
      <c r="AA484" s="26">
        <f t="shared" si="66"/>
        <v>0</v>
      </c>
      <c r="AB484" s="26" t="str">
        <f t="shared" si="67"/>
        <v/>
      </c>
      <c r="AC484" s="26" t="str">
        <f>IF(MATCH(AB484,AB$300:$AB485,0),"0",1)</f>
        <v>0</v>
      </c>
    </row>
    <row r="485" spans="2:29" x14ac:dyDescent="0.35">
      <c r="B485" s="219"/>
      <c r="C485" s="216" t="s">
        <v>971</v>
      </c>
      <c r="D485" s="216"/>
      <c r="E485" s="220"/>
      <c r="F485" s="220"/>
      <c r="G485" s="220"/>
      <c r="H485" s="220" t="str">
        <f t="shared" si="61"/>
        <v/>
      </c>
      <c r="I485" s="460"/>
      <c r="J485" s="460"/>
      <c r="K485" s="460"/>
      <c r="L485" s="460"/>
      <c r="M485" s="460"/>
      <c r="N485" s="220"/>
      <c r="O485" s="220"/>
      <c r="P485" s="220"/>
      <c r="Q485" s="220"/>
      <c r="R485" s="221"/>
      <c r="S485" s="221"/>
      <c r="T485" s="316">
        <f t="shared" si="62"/>
        <v>0</v>
      </c>
      <c r="U485" s="217">
        <f t="shared" si="63"/>
        <v>0</v>
      </c>
      <c r="X485" s="26" t="str">
        <f t="shared" si="64"/>
        <v/>
      </c>
      <c r="Y485" s="21" t="str">
        <f>IF(MATCH(X485,X$300:$X486,0),"Si",1)</f>
        <v>Si</v>
      </c>
      <c r="Z485" s="26">
        <f t="shared" si="65"/>
        <v>0</v>
      </c>
      <c r="AA485" s="26">
        <f t="shared" si="66"/>
        <v>0</v>
      </c>
      <c r="AB485" s="26" t="str">
        <f t="shared" si="67"/>
        <v/>
      </c>
      <c r="AC485" s="26" t="str">
        <f>IF(MATCH(AB485,AB$300:$AB486,0),"0",1)</f>
        <v>0</v>
      </c>
    </row>
    <row r="486" spans="2:29" x14ac:dyDescent="0.35">
      <c r="B486" s="219"/>
      <c r="C486" s="216" t="s">
        <v>972</v>
      </c>
      <c r="D486" s="216"/>
      <c r="E486" s="220"/>
      <c r="F486" s="220"/>
      <c r="G486" s="220"/>
      <c r="H486" s="220" t="str">
        <f t="shared" si="61"/>
        <v/>
      </c>
      <c r="I486" s="460"/>
      <c r="J486" s="460"/>
      <c r="K486" s="460"/>
      <c r="L486" s="460"/>
      <c r="M486" s="460"/>
      <c r="N486" s="220"/>
      <c r="O486" s="220"/>
      <c r="P486" s="220"/>
      <c r="Q486" s="220"/>
      <c r="R486" s="221"/>
      <c r="S486" s="221"/>
      <c r="T486" s="316">
        <f t="shared" si="62"/>
        <v>0</v>
      </c>
      <c r="U486" s="217">
        <f t="shared" si="63"/>
        <v>0</v>
      </c>
      <c r="X486" s="26" t="str">
        <f t="shared" si="64"/>
        <v/>
      </c>
      <c r="Y486" s="21" t="str">
        <f>IF(MATCH(X486,X$300:$X487,0),"Si",1)</f>
        <v>Si</v>
      </c>
      <c r="Z486" s="26">
        <f t="shared" si="65"/>
        <v>0</v>
      </c>
      <c r="AA486" s="26">
        <f t="shared" si="66"/>
        <v>0</v>
      </c>
      <c r="AB486" s="26" t="str">
        <f t="shared" si="67"/>
        <v/>
      </c>
      <c r="AC486" s="26" t="str">
        <f>IF(MATCH(AB486,AB$300:$AB487,0),"0",1)</f>
        <v>0</v>
      </c>
    </row>
    <row r="487" spans="2:29" x14ac:dyDescent="0.35">
      <c r="B487" s="219"/>
      <c r="C487" s="216" t="s">
        <v>973</v>
      </c>
      <c r="D487" s="216"/>
      <c r="E487" s="220"/>
      <c r="F487" s="220"/>
      <c r="G487" s="220"/>
      <c r="H487" s="220" t="str">
        <f t="shared" si="61"/>
        <v/>
      </c>
      <c r="I487" s="460"/>
      <c r="J487" s="460"/>
      <c r="K487" s="460"/>
      <c r="L487" s="460"/>
      <c r="M487" s="460"/>
      <c r="N487" s="220"/>
      <c r="O487" s="220"/>
      <c r="P487" s="220"/>
      <c r="Q487" s="220"/>
      <c r="R487" s="221"/>
      <c r="S487" s="221"/>
      <c r="T487" s="316">
        <f t="shared" si="62"/>
        <v>0</v>
      </c>
      <c r="U487" s="217">
        <f t="shared" si="63"/>
        <v>0</v>
      </c>
      <c r="X487" s="26" t="str">
        <f t="shared" si="64"/>
        <v/>
      </c>
      <c r="Y487" s="21" t="str">
        <f>IF(MATCH(X487,X$300:$X488,0),"Si",1)</f>
        <v>Si</v>
      </c>
      <c r="Z487" s="26">
        <f t="shared" si="65"/>
        <v>0</v>
      </c>
      <c r="AA487" s="26">
        <f t="shared" si="66"/>
        <v>0</v>
      </c>
      <c r="AB487" s="26" t="str">
        <f t="shared" si="67"/>
        <v/>
      </c>
      <c r="AC487" s="26" t="str">
        <f>IF(MATCH(AB487,AB$300:$AB488,0),"0",1)</f>
        <v>0</v>
      </c>
    </row>
    <row r="488" spans="2:29" x14ac:dyDescent="0.35">
      <c r="B488" s="219"/>
      <c r="C488" s="216" t="s">
        <v>974</v>
      </c>
      <c r="D488" s="216"/>
      <c r="E488" s="220"/>
      <c r="F488" s="220"/>
      <c r="G488" s="220"/>
      <c r="H488" s="220" t="str">
        <f t="shared" si="61"/>
        <v/>
      </c>
      <c r="I488" s="460"/>
      <c r="J488" s="460"/>
      <c r="K488" s="460"/>
      <c r="L488" s="460"/>
      <c r="M488" s="460"/>
      <c r="N488" s="220"/>
      <c r="O488" s="220"/>
      <c r="P488" s="220"/>
      <c r="Q488" s="220"/>
      <c r="R488" s="221"/>
      <c r="S488" s="221"/>
      <c r="T488" s="316">
        <f t="shared" si="62"/>
        <v>0</v>
      </c>
      <c r="U488" s="217">
        <f t="shared" si="63"/>
        <v>0</v>
      </c>
      <c r="X488" s="26" t="str">
        <f t="shared" si="64"/>
        <v/>
      </c>
      <c r="Y488" s="21" t="str">
        <f>IF(MATCH(X488,X$300:$X489,0),"Si",1)</f>
        <v>Si</v>
      </c>
      <c r="Z488" s="26">
        <f t="shared" si="65"/>
        <v>0</v>
      </c>
      <c r="AA488" s="26">
        <f t="shared" si="66"/>
        <v>0</v>
      </c>
      <c r="AB488" s="26" t="str">
        <f t="shared" si="67"/>
        <v/>
      </c>
      <c r="AC488" s="26" t="str">
        <f>IF(MATCH(AB488,AB$300:$AB489,0),"0",1)</f>
        <v>0</v>
      </c>
    </row>
    <row r="489" spans="2:29" x14ac:dyDescent="0.35">
      <c r="B489" s="219"/>
      <c r="C489" s="216" t="s">
        <v>975</v>
      </c>
      <c r="D489" s="216"/>
      <c r="E489" s="220"/>
      <c r="F489" s="220"/>
      <c r="G489" s="220"/>
      <c r="H489" s="220" t="str">
        <f t="shared" si="61"/>
        <v/>
      </c>
      <c r="I489" s="460"/>
      <c r="J489" s="460"/>
      <c r="K489" s="460"/>
      <c r="L489" s="460"/>
      <c r="M489" s="460"/>
      <c r="N489" s="220"/>
      <c r="O489" s="220"/>
      <c r="P489" s="220"/>
      <c r="Q489" s="220"/>
      <c r="R489" s="221"/>
      <c r="S489" s="221"/>
      <c r="T489" s="316">
        <f t="shared" si="62"/>
        <v>0</v>
      </c>
      <c r="U489" s="217">
        <f t="shared" si="63"/>
        <v>0</v>
      </c>
      <c r="X489" s="26" t="str">
        <f t="shared" si="64"/>
        <v/>
      </c>
      <c r="Y489" s="21" t="str">
        <f>IF(MATCH(X489,X$300:$X490,0),"Si",1)</f>
        <v>Si</v>
      </c>
      <c r="Z489" s="26">
        <f t="shared" si="65"/>
        <v>0</v>
      </c>
      <c r="AA489" s="26">
        <f t="shared" si="66"/>
        <v>0</v>
      </c>
      <c r="AB489" s="26" t="str">
        <f t="shared" si="67"/>
        <v/>
      </c>
      <c r="AC489" s="26" t="str">
        <f>IF(MATCH(AB489,AB$300:$AB490,0),"0",1)</f>
        <v>0</v>
      </c>
    </row>
    <row r="490" spans="2:29" x14ac:dyDescent="0.35">
      <c r="B490" s="219"/>
      <c r="C490" s="216" t="s">
        <v>976</v>
      </c>
      <c r="D490" s="216"/>
      <c r="E490" s="220"/>
      <c r="F490" s="220"/>
      <c r="G490" s="220"/>
      <c r="H490" s="220" t="str">
        <f t="shared" si="61"/>
        <v/>
      </c>
      <c r="I490" s="460"/>
      <c r="J490" s="460"/>
      <c r="K490" s="460"/>
      <c r="L490" s="460"/>
      <c r="M490" s="460"/>
      <c r="N490" s="220"/>
      <c r="O490" s="220"/>
      <c r="P490" s="220"/>
      <c r="Q490" s="220"/>
      <c r="R490" s="221"/>
      <c r="S490" s="221"/>
      <c r="T490" s="316">
        <f t="shared" si="62"/>
        <v>0</v>
      </c>
      <c r="U490" s="217">
        <f t="shared" si="63"/>
        <v>0</v>
      </c>
      <c r="X490" s="26" t="str">
        <f t="shared" si="64"/>
        <v/>
      </c>
      <c r="Y490" s="21" t="str">
        <f>IF(MATCH(X490,X$300:$X491,0),"Si",1)</f>
        <v>Si</v>
      </c>
      <c r="Z490" s="26">
        <f t="shared" si="65"/>
        <v>0</v>
      </c>
      <c r="AA490" s="26">
        <f t="shared" si="66"/>
        <v>0</v>
      </c>
      <c r="AB490" s="26" t="str">
        <f t="shared" si="67"/>
        <v/>
      </c>
      <c r="AC490" s="26" t="str">
        <f>IF(MATCH(AB490,AB$300:$AB491,0),"0",1)</f>
        <v>0</v>
      </c>
    </row>
    <row r="491" spans="2:29" x14ac:dyDescent="0.35">
      <c r="B491" s="219"/>
      <c r="C491" s="216" t="s">
        <v>977</v>
      </c>
      <c r="D491" s="216"/>
      <c r="E491" s="220"/>
      <c r="F491" s="220"/>
      <c r="G491" s="220"/>
      <c r="H491" s="220" t="str">
        <f t="shared" si="61"/>
        <v/>
      </c>
      <c r="I491" s="460"/>
      <c r="J491" s="460"/>
      <c r="K491" s="460"/>
      <c r="L491" s="460"/>
      <c r="M491" s="460"/>
      <c r="N491" s="220"/>
      <c r="O491" s="220"/>
      <c r="P491" s="220"/>
      <c r="Q491" s="220"/>
      <c r="R491" s="221"/>
      <c r="S491" s="221"/>
      <c r="T491" s="316">
        <f t="shared" si="62"/>
        <v>0</v>
      </c>
      <c r="U491" s="217">
        <f t="shared" si="63"/>
        <v>0</v>
      </c>
      <c r="X491" s="26" t="str">
        <f t="shared" si="64"/>
        <v/>
      </c>
      <c r="Y491" s="21" t="str">
        <f>IF(MATCH(X491,X$300:$X492,0),"Si",1)</f>
        <v>Si</v>
      </c>
      <c r="Z491" s="26">
        <f t="shared" si="65"/>
        <v>0</v>
      </c>
      <c r="AA491" s="26">
        <f t="shared" si="66"/>
        <v>0</v>
      </c>
      <c r="AB491" s="26" t="str">
        <f t="shared" si="67"/>
        <v/>
      </c>
      <c r="AC491" s="26" t="str">
        <f>IF(MATCH(AB491,AB$300:$AB492,0),"0",1)</f>
        <v>0</v>
      </c>
    </row>
    <row r="492" spans="2:29" x14ac:dyDescent="0.35">
      <c r="B492" s="219"/>
      <c r="C492" s="216" t="s">
        <v>978</v>
      </c>
      <c r="D492" s="216"/>
      <c r="E492" s="220"/>
      <c r="F492" s="220"/>
      <c r="G492" s="220"/>
      <c r="H492" s="220" t="str">
        <f t="shared" si="61"/>
        <v/>
      </c>
      <c r="I492" s="460"/>
      <c r="J492" s="460"/>
      <c r="K492" s="460"/>
      <c r="L492" s="460"/>
      <c r="M492" s="460"/>
      <c r="N492" s="220"/>
      <c r="O492" s="220"/>
      <c r="P492" s="220"/>
      <c r="Q492" s="220"/>
      <c r="R492" s="221"/>
      <c r="S492" s="221"/>
      <c r="T492" s="316">
        <f t="shared" si="62"/>
        <v>0</v>
      </c>
      <c r="U492" s="217">
        <f t="shared" si="63"/>
        <v>0</v>
      </c>
      <c r="X492" s="26" t="str">
        <f t="shared" si="64"/>
        <v/>
      </c>
      <c r="Y492" s="21" t="str">
        <f>IF(MATCH(X492,X$300:$X493,0),"Si",1)</f>
        <v>Si</v>
      </c>
      <c r="Z492" s="26">
        <f t="shared" si="65"/>
        <v>0</v>
      </c>
      <c r="AA492" s="26">
        <f t="shared" si="66"/>
        <v>0</v>
      </c>
      <c r="AB492" s="26" t="str">
        <f t="shared" si="67"/>
        <v/>
      </c>
      <c r="AC492" s="26" t="str">
        <f>IF(MATCH(AB492,AB$300:$AB493,0),"0",1)</f>
        <v>0</v>
      </c>
    </row>
    <row r="493" spans="2:29" x14ac:dyDescent="0.35">
      <c r="B493" s="219"/>
      <c r="C493" s="216" t="s">
        <v>979</v>
      </c>
      <c r="D493" s="216"/>
      <c r="E493" s="220"/>
      <c r="F493" s="220"/>
      <c r="G493" s="220"/>
      <c r="H493" s="220" t="str">
        <f t="shared" si="61"/>
        <v/>
      </c>
      <c r="I493" s="460"/>
      <c r="J493" s="460"/>
      <c r="K493" s="460"/>
      <c r="L493" s="460"/>
      <c r="M493" s="460"/>
      <c r="N493" s="220"/>
      <c r="O493" s="220"/>
      <c r="P493" s="220"/>
      <c r="Q493" s="220"/>
      <c r="R493" s="221"/>
      <c r="S493" s="221"/>
      <c r="T493" s="316">
        <f t="shared" si="62"/>
        <v>0</v>
      </c>
      <c r="U493" s="217">
        <f t="shared" si="63"/>
        <v>0</v>
      </c>
      <c r="X493" s="26" t="str">
        <f t="shared" si="64"/>
        <v/>
      </c>
      <c r="Y493" s="21" t="str">
        <f>IF(MATCH(X493,X$300:$X494,0),"Si",1)</f>
        <v>Si</v>
      </c>
      <c r="Z493" s="26">
        <f t="shared" si="65"/>
        <v>0</v>
      </c>
      <c r="AA493" s="26">
        <f t="shared" si="66"/>
        <v>0</v>
      </c>
      <c r="AB493" s="26" t="str">
        <f t="shared" si="67"/>
        <v/>
      </c>
      <c r="AC493" s="26" t="str">
        <f>IF(MATCH(AB493,AB$300:$AB494,0),"0",1)</f>
        <v>0</v>
      </c>
    </row>
    <row r="494" spans="2:29" x14ac:dyDescent="0.35">
      <c r="B494" s="219"/>
      <c r="C494" s="216" t="s">
        <v>980</v>
      </c>
      <c r="D494" s="216"/>
      <c r="E494" s="220"/>
      <c r="F494" s="220"/>
      <c r="G494" s="220"/>
      <c r="H494" s="220" t="str">
        <f t="shared" si="61"/>
        <v/>
      </c>
      <c r="I494" s="460"/>
      <c r="J494" s="460"/>
      <c r="K494" s="460"/>
      <c r="L494" s="460"/>
      <c r="M494" s="460"/>
      <c r="N494" s="220"/>
      <c r="O494" s="220"/>
      <c r="P494" s="220"/>
      <c r="Q494" s="220"/>
      <c r="R494" s="221"/>
      <c r="S494" s="221"/>
      <c r="T494" s="316">
        <f t="shared" si="62"/>
        <v>0</v>
      </c>
      <c r="U494" s="217">
        <f t="shared" si="63"/>
        <v>0</v>
      </c>
      <c r="X494" s="26" t="str">
        <f t="shared" si="64"/>
        <v/>
      </c>
      <c r="Y494" s="21" t="str">
        <f>IF(MATCH(X494,X$300:$X495,0),"Si",1)</f>
        <v>Si</v>
      </c>
      <c r="Z494" s="26">
        <f t="shared" si="65"/>
        <v>0</v>
      </c>
      <c r="AA494" s="26">
        <f t="shared" si="66"/>
        <v>0</v>
      </c>
      <c r="AB494" s="26" t="str">
        <f t="shared" si="67"/>
        <v/>
      </c>
      <c r="AC494" s="26" t="str">
        <f>IF(MATCH(AB494,AB$300:$AB495,0),"0",1)</f>
        <v>0</v>
      </c>
    </row>
    <row r="495" spans="2:29" x14ac:dyDescent="0.35">
      <c r="B495" s="219"/>
      <c r="C495" s="216" t="s">
        <v>981</v>
      </c>
      <c r="D495" s="216"/>
      <c r="E495" s="220"/>
      <c r="F495" s="220"/>
      <c r="G495" s="220"/>
      <c r="H495" s="220" t="str">
        <f t="shared" si="61"/>
        <v/>
      </c>
      <c r="I495" s="460"/>
      <c r="J495" s="460"/>
      <c r="K495" s="460"/>
      <c r="L495" s="460"/>
      <c r="M495" s="460"/>
      <c r="N495" s="220"/>
      <c r="O495" s="220"/>
      <c r="P495" s="220"/>
      <c r="Q495" s="220"/>
      <c r="R495" s="221"/>
      <c r="S495" s="221"/>
      <c r="T495" s="316">
        <f t="shared" si="62"/>
        <v>0</v>
      </c>
      <c r="U495" s="217">
        <f t="shared" si="63"/>
        <v>0</v>
      </c>
      <c r="X495" s="26" t="str">
        <f t="shared" si="64"/>
        <v/>
      </c>
      <c r="Y495" s="21" t="str">
        <f>IF(MATCH(X495,X$300:$X496,0),"Si",1)</f>
        <v>Si</v>
      </c>
      <c r="Z495" s="26">
        <f t="shared" si="65"/>
        <v>0</v>
      </c>
      <c r="AA495" s="26">
        <f t="shared" si="66"/>
        <v>0</v>
      </c>
      <c r="AB495" s="26" t="str">
        <f t="shared" si="67"/>
        <v/>
      </c>
      <c r="AC495" s="26" t="str">
        <f>IF(MATCH(AB495,AB$300:$AB496,0),"0",1)</f>
        <v>0</v>
      </c>
    </row>
    <row r="496" spans="2:29" x14ac:dyDescent="0.35">
      <c r="B496" s="219"/>
      <c r="C496" s="216" t="s">
        <v>982</v>
      </c>
      <c r="D496" s="216"/>
      <c r="E496" s="220"/>
      <c r="F496" s="220"/>
      <c r="G496" s="220"/>
      <c r="H496" s="220" t="str">
        <f t="shared" si="61"/>
        <v/>
      </c>
      <c r="I496" s="460"/>
      <c r="J496" s="460"/>
      <c r="K496" s="460"/>
      <c r="L496" s="460"/>
      <c r="M496" s="460"/>
      <c r="N496" s="220"/>
      <c r="O496" s="220"/>
      <c r="P496" s="220"/>
      <c r="Q496" s="220"/>
      <c r="R496" s="221"/>
      <c r="S496" s="221"/>
      <c r="T496" s="316">
        <f t="shared" si="62"/>
        <v>0</v>
      </c>
      <c r="U496" s="217">
        <f t="shared" si="63"/>
        <v>0</v>
      </c>
      <c r="X496" s="26" t="str">
        <f t="shared" si="64"/>
        <v/>
      </c>
      <c r="Y496" s="21" t="str">
        <f>IF(MATCH(X496,X$300:$X497,0),"Si",1)</f>
        <v>Si</v>
      </c>
      <c r="Z496" s="26">
        <f t="shared" si="65"/>
        <v>0</v>
      </c>
      <c r="AA496" s="26">
        <f t="shared" si="66"/>
        <v>0</v>
      </c>
      <c r="AB496" s="26" t="str">
        <f t="shared" si="67"/>
        <v/>
      </c>
      <c r="AC496" s="26" t="str">
        <f>IF(MATCH(AB496,AB$300:$AB497,0),"0",1)</f>
        <v>0</v>
      </c>
    </row>
    <row r="497" spans="2:29" x14ac:dyDescent="0.35">
      <c r="B497" s="219"/>
      <c r="C497" s="216" t="s">
        <v>983</v>
      </c>
      <c r="D497" s="216"/>
      <c r="E497" s="220"/>
      <c r="F497" s="220"/>
      <c r="G497" s="220"/>
      <c r="H497" s="220" t="str">
        <f t="shared" si="61"/>
        <v/>
      </c>
      <c r="I497" s="460"/>
      <c r="J497" s="460"/>
      <c r="K497" s="460"/>
      <c r="L497" s="460"/>
      <c r="M497" s="460"/>
      <c r="N497" s="220"/>
      <c r="O497" s="220"/>
      <c r="P497" s="220"/>
      <c r="Q497" s="220"/>
      <c r="R497" s="221"/>
      <c r="S497" s="221"/>
      <c r="T497" s="316">
        <f t="shared" si="62"/>
        <v>0</v>
      </c>
      <c r="U497" s="217">
        <f t="shared" si="63"/>
        <v>0</v>
      </c>
      <c r="X497" s="26" t="str">
        <f t="shared" si="64"/>
        <v/>
      </c>
      <c r="Y497" s="21" t="str">
        <f>IF(MATCH(X497,X$300:$X498,0),"Si",1)</f>
        <v>Si</v>
      </c>
      <c r="Z497" s="26">
        <f t="shared" si="65"/>
        <v>0</v>
      </c>
      <c r="AA497" s="26">
        <f t="shared" si="66"/>
        <v>0</v>
      </c>
      <c r="AB497" s="26" t="str">
        <f t="shared" si="67"/>
        <v/>
      </c>
      <c r="AC497" s="26" t="str">
        <f>IF(MATCH(AB497,AB$300:$AB498,0),"0",1)</f>
        <v>0</v>
      </c>
    </row>
    <row r="498" spans="2:29" x14ac:dyDescent="0.35">
      <c r="B498" s="219"/>
      <c r="C498" s="216" t="s">
        <v>984</v>
      </c>
      <c r="D498" s="216"/>
      <c r="E498" s="220"/>
      <c r="F498" s="220"/>
      <c r="G498" s="220"/>
      <c r="H498" s="220" t="str">
        <f t="shared" si="61"/>
        <v/>
      </c>
      <c r="I498" s="460"/>
      <c r="J498" s="460"/>
      <c r="K498" s="460"/>
      <c r="L498" s="460"/>
      <c r="M498" s="460"/>
      <c r="N498" s="220"/>
      <c r="O498" s="220"/>
      <c r="P498" s="220"/>
      <c r="Q498" s="220"/>
      <c r="R498" s="221"/>
      <c r="S498" s="221"/>
      <c r="T498" s="316">
        <f t="shared" si="62"/>
        <v>0</v>
      </c>
      <c r="U498" s="217">
        <f t="shared" si="63"/>
        <v>0</v>
      </c>
      <c r="X498" s="26" t="str">
        <f t="shared" si="64"/>
        <v/>
      </c>
      <c r="Y498" s="21" t="str">
        <f>IF(MATCH(X498,X$300:$X499,0),"Si",1)</f>
        <v>Si</v>
      </c>
      <c r="Z498" s="26">
        <f t="shared" si="65"/>
        <v>0</v>
      </c>
      <c r="AA498" s="26">
        <f t="shared" si="66"/>
        <v>0</v>
      </c>
      <c r="AB498" s="26" t="str">
        <f t="shared" si="67"/>
        <v/>
      </c>
      <c r="AC498" s="26" t="str">
        <f>IF(MATCH(AB498,AB$300:$AB499,0),"0",1)</f>
        <v>0</v>
      </c>
    </row>
    <row r="499" spans="2:29" x14ac:dyDescent="0.35">
      <c r="B499" s="219"/>
      <c r="C499" s="216" t="s">
        <v>985</v>
      </c>
      <c r="D499" s="216"/>
      <c r="E499" s="220"/>
      <c r="F499" s="220"/>
      <c r="G499" s="220"/>
      <c r="H499" s="220" t="str">
        <f t="shared" si="61"/>
        <v/>
      </c>
      <c r="I499" s="460"/>
      <c r="J499" s="460"/>
      <c r="K499" s="460"/>
      <c r="L499" s="460"/>
      <c r="M499" s="460"/>
      <c r="N499" s="220"/>
      <c r="O499" s="220"/>
      <c r="P499" s="220"/>
      <c r="Q499" s="220"/>
      <c r="R499" s="221"/>
      <c r="S499" s="221"/>
      <c r="T499" s="316">
        <f t="shared" si="62"/>
        <v>0</v>
      </c>
      <c r="U499" s="217">
        <f t="shared" si="63"/>
        <v>0</v>
      </c>
      <c r="X499" s="26" t="str">
        <f t="shared" si="64"/>
        <v/>
      </c>
      <c r="Y499" s="21" t="str">
        <f>IF(MATCH(X499,X$300:$X500,0),"Si",1)</f>
        <v>Si</v>
      </c>
      <c r="Z499" s="26">
        <f t="shared" si="65"/>
        <v>0</v>
      </c>
      <c r="AA499" s="26">
        <f t="shared" si="66"/>
        <v>0</v>
      </c>
      <c r="AB499" s="26" t="str">
        <f t="shared" si="67"/>
        <v/>
      </c>
      <c r="AC499" s="26" t="str">
        <f>IF(MATCH(AB499,AB$300:$AB500,0),"0",1)</f>
        <v>0</v>
      </c>
    </row>
    <row r="500" spans="2:29" x14ac:dyDescent="0.35">
      <c r="B500" s="219"/>
      <c r="C500" s="216" t="s">
        <v>986</v>
      </c>
      <c r="D500" s="216"/>
      <c r="E500" s="220"/>
      <c r="F500" s="220"/>
      <c r="G500" s="220"/>
      <c r="H500" s="220" t="str">
        <f t="shared" si="61"/>
        <v/>
      </c>
      <c r="I500" s="460"/>
      <c r="J500" s="460"/>
      <c r="K500" s="460"/>
      <c r="L500" s="460"/>
      <c r="M500" s="460"/>
      <c r="N500" s="220"/>
      <c r="O500" s="220"/>
      <c r="P500" s="220"/>
      <c r="Q500" s="220"/>
      <c r="R500" s="221"/>
      <c r="S500" s="221"/>
      <c r="T500" s="316">
        <f t="shared" si="62"/>
        <v>0</v>
      </c>
      <c r="U500" s="217">
        <f t="shared" si="63"/>
        <v>0</v>
      </c>
      <c r="X500" s="26" t="str">
        <f t="shared" si="64"/>
        <v/>
      </c>
      <c r="Y500" s="21" t="str">
        <f>IF(MATCH(X500,X$300:$X501,0),"Si",1)</f>
        <v>Si</v>
      </c>
      <c r="Z500" s="26">
        <f t="shared" si="65"/>
        <v>0</v>
      </c>
      <c r="AA500" s="26">
        <f t="shared" si="66"/>
        <v>0</v>
      </c>
      <c r="AB500" s="26" t="str">
        <f t="shared" si="67"/>
        <v/>
      </c>
      <c r="AC500" s="26" t="str">
        <f>IF(MATCH(AB500,AB$300:$AB501,0),"0",1)</f>
        <v>0</v>
      </c>
    </row>
    <row r="501" spans="2:29" x14ac:dyDescent="0.35">
      <c r="B501" s="219"/>
      <c r="C501" s="216" t="s">
        <v>987</v>
      </c>
      <c r="D501" s="216"/>
      <c r="E501" s="220"/>
      <c r="F501" s="220"/>
      <c r="G501" s="220"/>
      <c r="H501" s="220" t="str">
        <f t="shared" si="61"/>
        <v/>
      </c>
      <c r="I501" s="460"/>
      <c r="J501" s="460"/>
      <c r="K501" s="460"/>
      <c r="L501" s="460"/>
      <c r="M501" s="460"/>
      <c r="N501" s="220"/>
      <c r="O501" s="220"/>
      <c r="P501" s="220"/>
      <c r="Q501" s="220"/>
      <c r="R501" s="221"/>
      <c r="S501" s="221"/>
      <c r="T501" s="316">
        <f t="shared" si="62"/>
        <v>0</v>
      </c>
      <c r="U501" s="217">
        <f t="shared" si="63"/>
        <v>0</v>
      </c>
      <c r="X501" s="26" t="str">
        <f t="shared" si="64"/>
        <v/>
      </c>
      <c r="Y501" s="21" t="str">
        <f>IF(MATCH(X501,X$300:$X502,0),"Si",1)</f>
        <v>Si</v>
      </c>
      <c r="Z501" s="26">
        <f t="shared" si="65"/>
        <v>0</v>
      </c>
      <c r="AA501" s="26">
        <f t="shared" si="66"/>
        <v>0</v>
      </c>
      <c r="AB501" s="26" t="str">
        <f t="shared" si="67"/>
        <v/>
      </c>
      <c r="AC501" s="26" t="str">
        <f>IF(MATCH(AB501,AB$300:$AB502,0),"0",1)</f>
        <v>0</v>
      </c>
    </row>
    <row r="502" spans="2:29" x14ac:dyDescent="0.35">
      <c r="B502" s="219"/>
      <c r="C502" s="216" t="s">
        <v>988</v>
      </c>
      <c r="D502" s="216"/>
      <c r="E502" s="220"/>
      <c r="F502" s="220"/>
      <c r="G502" s="220"/>
      <c r="H502" s="220" t="str">
        <f t="shared" si="61"/>
        <v/>
      </c>
      <c r="I502" s="460"/>
      <c r="J502" s="460"/>
      <c r="K502" s="460"/>
      <c r="L502" s="460"/>
      <c r="M502" s="460"/>
      <c r="N502" s="220"/>
      <c r="O502" s="220"/>
      <c r="P502" s="220"/>
      <c r="Q502" s="220"/>
      <c r="R502" s="221"/>
      <c r="S502" s="221"/>
      <c r="T502" s="316">
        <f t="shared" si="62"/>
        <v>0</v>
      </c>
      <c r="U502" s="217">
        <f t="shared" si="63"/>
        <v>0</v>
      </c>
      <c r="X502" s="26" t="str">
        <f t="shared" si="64"/>
        <v/>
      </c>
      <c r="Y502" s="21" t="str">
        <f>IF(MATCH(X502,X$300:$X503,0),"Si",1)</f>
        <v>Si</v>
      </c>
      <c r="Z502" s="26">
        <f t="shared" si="65"/>
        <v>0</v>
      </c>
      <c r="AA502" s="26">
        <f t="shared" si="66"/>
        <v>0</v>
      </c>
      <c r="AB502" s="26" t="str">
        <f t="shared" si="67"/>
        <v/>
      </c>
      <c r="AC502" s="26" t="str">
        <f>IF(MATCH(AB502,AB$300:$AB503,0),"0",1)</f>
        <v>0</v>
      </c>
    </row>
    <row r="503" spans="2:29" x14ac:dyDescent="0.35">
      <c r="B503" s="219"/>
      <c r="C503" s="216" t="s">
        <v>989</v>
      </c>
      <c r="D503" s="216"/>
      <c r="E503" s="220"/>
      <c r="F503" s="220"/>
      <c r="G503" s="220"/>
      <c r="H503" s="220" t="str">
        <f t="shared" si="61"/>
        <v/>
      </c>
      <c r="I503" s="460"/>
      <c r="J503" s="460"/>
      <c r="K503" s="460"/>
      <c r="L503" s="460"/>
      <c r="M503" s="460"/>
      <c r="N503" s="220"/>
      <c r="O503" s="220"/>
      <c r="P503" s="220"/>
      <c r="Q503" s="220"/>
      <c r="R503" s="221"/>
      <c r="S503" s="221"/>
      <c r="T503" s="316">
        <f t="shared" si="62"/>
        <v>0</v>
      </c>
      <c r="U503" s="217">
        <f t="shared" si="63"/>
        <v>0</v>
      </c>
      <c r="X503" s="26" t="str">
        <f t="shared" si="64"/>
        <v/>
      </c>
      <c r="Y503" s="21" t="str">
        <f>IF(MATCH(X503,X$300:$X504,0),"Si",1)</f>
        <v>Si</v>
      </c>
      <c r="Z503" s="26">
        <f t="shared" si="65"/>
        <v>0</v>
      </c>
      <c r="AA503" s="26">
        <f t="shared" si="66"/>
        <v>0</v>
      </c>
      <c r="AB503" s="26" t="str">
        <f t="shared" si="67"/>
        <v/>
      </c>
      <c r="AC503" s="26" t="str">
        <f>IF(MATCH(AB503,AB$300:$AB504,0),"0",1)</f>
        <v>0</v>
      </c>
    </row>
    <row r="504" spans="2:29" x14ac:dyDescent="0.35">
      <c r="B504" s="219"/>
      <c r="C504" s="216" t="s">
        <v>990</v>
      </c>
      <c r="D504" s="216"/>
      <c r="E504" s="220"/>
      <c r="F504" s="220"/>
      <c r="G504" s="220"/>
      <c r="H504" s="220" t="str">
        <f t="shared" si="61"/>
        <v/>
      </c>
      <c r="I504" s="460"/>
      <c r="J504" s="460"/>
      <c r="K504" s="460"/>
      <c r="L504" s="460"/>
      <c r="M504" s="460"/>
      <c r="N504" s="220"/>
      <c r="O504" s="220"/>
      <c r="P504" s="220"/>
      <c r="Q504" s="220"/>
      <c r="R504" s="221"/>
      <c r="S504" s="221"/>
      <c r="T504" s="316">
        <f t="shared" si="62"/>
        <v>0</v>
      </c>
      <c r="U504" s="217">
        <f t="shared" si="63"/>
        <v>0</v>
      </c>
      <c r="X504" s="26" t="str">
        <f t="shared" si="64"/>
        <v/>
      </c>
      <c r="Y504" s="21" t="str">
        <f>IF(MATCH(X504,X$300:$X505,0),"Si",1)</f>
        <v>Si</v>
      </c>
      <c r="Z504" s="26">
        <f t="shared" si="65"/>
        <v>0</v>
      </c>
      <c r="AA504" s="26">
        <f t="shared" si="66"/>
        <v>0</v>
      </c>
      <c r="AB504" s="26" t="str">
        <f t="shared" si="67"/>
        <v/>
      </c>
      <c r="AC504" s="26" t="str">
        <f>IF(MATCH(AB504,AB$300:$AB505,0),"0",1)</f>
        <v>0</v>
      </c>
    </row>
    <row r="505" spans="2:29" x14ac:dyDescent="0.35">
      <c r="B505" s="219"/>
      <c r="C505" s="216" t="s">
        <v>991</v>
      </c>
      <c r="D505" s="216"/>
      <c r="E505" s="220"/>
      <c r="F505" s="220"/>
      <c r="G505" s="220"/>
      <c r="H505" s="220" t="str">
        <f t="shared" si="61"/>
        <v/>
      </c>
      <c r="I505" s="460"/>
      <c r="J505" s="460"/>
      <c r="K505" s="460"/>
      <c r="L505" s="460"/>
      <c r="M505" s="460"/>
      <c r="N505" s="220"/>
      <c r="O505" s="220"/>
      <c r="P505" s="220"/>
      <c r="Q505" s="220"/>
      <c r="R505" s="221"/>
      <c r="S505" s="221"/>
      <c r="T505" s="316">
        <f t="shared" si="62"/>
        <v>0</v>
      </c>
      <c r="U505" s="217">
        <f t="shared" si="63"/>
        <v>0</v>
      </c>
      <c r="X505" s="26" t="str">
        <f t="shared" si="64"/>
        <v/>
      </c>
      <c r="Y505" s="21" t="str">
        <f>IF(MATCH(X505,X$300:$X506,0),"Si",1)</f>
        <v>Si</v>
      </c>
      <c r="Z505" s="26">
        <f t="shared" si="65"/>
        <v>0</v>
      </c>
      <c r="AA505" s="26">
        <f t="shared" si="66"/>
        <v>0</v>
      </c>
      <c r="AB505" s="26" t="str">
        <f t="shared" si="67"/>
        <v/>
      </c>
      <c r="AC505" s="26" t="str">
        <f>IF(MATCH(AB505,AB$300:$AB506,0),"0",1)</f>
        <v>0</v>
      </c>
    </row>
    <row r="506" spans="2:29" x14ac:dyDescent="0.35">
      <c r="B506" s="219"/>
      <c r="C506" s="216" t="s">
        <v>992</v>
      </c>
      <c r="D506" s="216"/>
      <c r="E506" s="220"/>
      <c r="F506" s="220"/>
      <c r="G506" s="220"/>
      <c r="H506" s="220" t="str">
        <f t="shared" si="61"/>
        <v/>
      </c>
      <c r="I506" s="460"/>
      <c r="J506" s="460"/>
      <c r="K506" s="460"/>
      <c r="L506" s="460"/>
      <c r="M506" s="460"/>
      <c r="N506" s="220"/>
      <c r="O506" s="220"/>
      <c r="P506" s="220"/>
      <c r="Q506" s="220"/>
      <c r="R506" s="221"/>
      <c r="S506" s="221"/>
      <c r="T506" s="316">
        <f t="shared" si="62"/>
        <v>0</v>
      </c>
      <c r="U506" s="217">
        <f t="shared" si="63"/>
        <v>0</v>
      </c>
      <c r="X506" s="26" t="str">
        <f t="shared" si="64"/>
        <v/>
      </c>
      <c r="Y506" s="21" t="str">
        <f>IF(MATCH(X506,X$300:$X507,0),"Si",1)</f>
        <v>Si</v>
      </c>
      <c r="Z506" s="26">
        <f t="shared" si="65"/>
        <v>0</v>
      </c>
      <c r="AA506" s="26">
        <f t="shared" si="66"/>
        <v>0</v>
      </c>
      <c r="AB506" s="26" t="str">
        <f t="shared" si="67"/>
        <v/>
      </c>
      <c r="AC506" s="26" t="str">
        <f>IF(MATCH(AB506,AB$300:$AB507,0),"0",1)</f>
        <v>0</v>
      </c>
    </row>
    <row r="507" spans="2:29" x14ac:dyDescent="0.35">
      <c r="B507" s="219"/>
      <c r="C507" s="216" t="s">
        <v>993</v>
      </c>
      <c r="D507" s="216"/>
      <c r="E507" s="220"/>
      <c r="F507" s="220"/>
      <c r="G507" s="220"/>
      <c r="H507" s="220" t="str">
        <f t="shared" si="61"/>
        <v/>
      </c>
      <c r="I507" s="460"/>
      <c r="J507" s="460"/>
      <c r="K507" s="460"/>
      <c r="L507" s="460"/>
      <c r="M507" s="460"/>
      <c r="N507" s="220"/>
      <c r="O507" s="220"/>
      <c r="P507" s="220"/>
      <c r="Q507" s="220"/>
      <c r="R507" s="221"/>
      <c r="S507" s="221"/>
      <c r="T507" s="316">
        <f t="shared" si="62"/>
        <v>0</v>
      </c>
      <c r="U507" s="217">
        <f t="shared" si="63"/>
        <v>0</v>
      </c>
      <c r="X507" s="26" t="str">
        <f t="shared" si="64"/>
        <v/>
      </c>
      <c r="Y507" s="21" t="str">
        <f>IF(MATCH(X507,X$300:$X508,0),"Si",1)</f>
        <v>Si</v>
      </c>
      <c r="Z507" s="26">
        <f t="shared" si="65"/>
        <v>0</v>
      </c>
      <c r="AA507" s="26">
        <f t="shared" si="66"/>
        <v>0</v>
      </c>
      <c r="AB507" s="26" t="str">
        <f t="shared" si="67"/>
        <v/>
      </c>
      <c r="AC507" s="26" t="str">
        <f>IF(MATCH(AB507,AB$300:$AB508,0),"0",1)</f>
        <v>0</v>
      </c>
    </row>
    <row r="508" spans="2:29" x14ac:dyDescent="0.35">
      <c r="B508" s="219"/>
      <c r="C508" s="216" t="s">
        <v>994</v>
      </c>
      <c r="D508" s="216"/>
      <c r="E508" s="220"/>
      <c r="F508" s="220"/>
      <c r="G508" s="220"/>
      <c r="H508" s="220" t="str">
        <f t="shared" si="61"/>
        <v/>
      </c>
      <c r="I508" s="460"/>
      <c r="J508" s="460"/>
      <c r="K508" s="460"/>
      <c r="L508" s="460"/>
      <c r="M508" s="460"/>
      <c r="N508" s="220"/>
      <c r="O508" s="220"/>
      <c r="P508" s="220"/>
      <c r="Q508" s="220"/>
      <c r="R508" s="221"/>
      <c r="S508" s="221"/>
      <c r="T508" s="316">
        <f t="shared" si="62"/>
        <v>0</v>
      </c>
      <c r="U508" s="217">
        <f t="shared" si="63"/>
        <v>0</v>
      </c>
      <c r="X508" s="26" t="str">
        <f t="shared" si="64"/>
        <v/>
      </c>
      <c r="Y508" s="21" t="str">
        <f>IF(MATCH(X508,X$300:$X509,0),"Si",1)</f>
        <v>Si</v>
      </c>
      <c r="Z508" s="26">
        <f t="shared" si="65"/>
        <v>0</v>
      </c>
      <c r="AA508" s="26">
        <f t="shared" si="66"/>
        <v>0</v>
      </c>
      <c r="AB508" s="26" t="str">
        <f t="shared" si="67"/>
        <v/>
      </c>
      <c r="AC508" s="26" t="str">
        <f>IF(MATCH(AB508,AB$300:$AB509,0),"0",1)</f>
        <v>0</v>
      </c>
    </row>
    <row r="509" spans="2:29" x14ac:dyDescent="0.35">
      <c r="B509" s="219"/>
      <c r="C509" s="216" t="s">
        <v>995</v>
      </c>
      <c r="D509" s="216"/>
      <c r="E509" s="220"/>
      <c r="F509" s="220"/>
      <c r="G509" s="220"/>
      <c r="H509" s="220" t="str">
        <f t="shared" si="61"/>
        <v/>
      </c>
      <c r="I509" s="460"/>
      <c r="J509" s="460"/>
      <c r="K509" s="460"/>
      <c r="L509" s="460"/>
      <c r="M509" s="460"/>
      <c r="N509" s="220"/>
      <c r="O509" s="220"/>
      <c r="P509" s="220"/>
      <c r="Q509" s="220"/>
      <c r="R509" s="221"/>
      <c r="S509" s="221"/>
      <c r="T509" s="316">
        <f t="shared" si="62"/>
        <v>0</v>
      </c>
      <c r="U509" s="217">
        <f t="shared" si="63"/>
        <v>0</v>
      </c>
      <c r="X509" s="26" t="str">
        <f t="shared" si="64"/>
        <v/>
      </c>
      <c r="Y509" s="21" t="str">
        <f>IF(MATCH(X509,X$300:$X510,0),"Si",1)</f>
        <v>Si</v>
      </c>
      <c r="Z509" s="26">
        <f t="shared" si="65"/>
        <v>0</v>
      </c>
      <c r="AA509" s="26">
        <f t="shared" si="66"/>
        <v>0</v>
      </c>
      <c r="AB509" s="26" t="str">
        <f t="shared" si="67"/>
        <v/>
      </c>
      <c r="AC509" s="26" t="str">
        <f>IF(MATCH(AB509,AB$300:$AB510,0),"0",1)</f>
        <v>0</v>
      </c>
    </row>
    <row r="510" spans="2:29" x14ac:dyDescent="0.35">
      <c r="B510" s="219"/>
      <c r="C510" s="216" t="s">
        <v>996</v>
      </c>
      <c r="D510" s="216"/>
      <c r="E510" s="220"/>
      <c r="F510" s="220"/>
      <c r="G510" s="220"/>
      <c r="H510" s="220" t="str">
        <f t="shared" si="61"/>
        <v/>
      </c>
      <c r="I510" s="460"/>
      <c r="J510" s="460"/>
      <c r="K510" s="460"/>
      <c r="L510" s="460"/>
      <c r="M510" s="460"/>
      <c r="N510" s="220"/>
      <c r="O510" s="220"/>
      <c r="P510" s="220"/>
      <c r="Q510" s="220"/>
      <c r="R510" s="221"/>
      <c r="S510" s="221"/>
      <c r="T510" s="316">
        <f t="shared" si="62"/>
        <v>0</v>
      </c>
      <c r="U510" s="217">
        <f t="shared" si="63"/>
        <v>0</v>
      </c>
      <c r="X510" s="26" t="str">
        <f t="shared" si="64"/>
        <v/>
      </c>
      <c r="Y510" s="21" t="str">
        <f>IF(MATCH(X510,X$300:$X511,0),"Si",1)</f>
        <v>Si</v>
      </c>
      <c r="Z510" s="26">
        <f t="shared" si="65"/>
        <v>0</v>
      </c>
      <c r="AA510" s="26">
        <f t="shared" si="66"/>
        <v>0</v>
      </c>
      <c r="AB510" s="26" t="str">
        <f t="shared" si="67"/>
        <v/>
      </c>
      <c r="AC510" s="26" t="str">
        <f>IF(MATCH(AB510,AB$300:$AB511,0),"0",1)</f>
        <v>0</v>
      </c>
    </row>
    <row r="511" spans="2:29" x14ac:dyDescent="0.35">
      <c r="B511" s="219"/>
      <c r="C511" s="216" t="s">
        <v>997</v>
      </c>
      <c r="D511" s="216"/>
      <c r="E511" s="220"/>
      <c r="F511" s="220"/>
      <c r="G511" s="220"/>
      <c r="H511" s="220" t="str">
        <f t="shared" si="61"/>
        <v/>
      </c>
      <c r="I511" s="460"/>
      <c r="J511" s="460"/>
      <c r="K511" s="460"/>
      <c r="L511" s="460"/>
      <c r="M511" s="460"/>
      <c r="N511" s="220"/>
      <c r="O511" s="220"/>
      <c r="P511" s="220"/>
      <c r="Q511" s="220"/>
      <c r="R511" s="221"/>
      <c r="S511" s="221"/>
      <c r="T511" s="316">
        <f t="shared" si="62"/>
        <v>0</v>
      </c>
      <c r="U511" s="217">
        <f t="shared" si="63"/>
        <v>0</v>
      </c>
      <c r="X511" s="26" t="str">
        <f t="shared" si="64"/>
        <v/>
      </c>
      <c r="Y511" s="21" t="str">
        <f>IF(MATCH(X511,X$300:$X512,0),"Si",1)</f>
        <v>Si</v>
      </c>
      <c r="Z511" s="26">
        <f t="shared" si="65"/>
        <v>0</v>
      </c>
      <c r="AA511" s="26">
        <f t="shared" si="66"/>
        <v>0</v>
      </c>
      <c r="AB511" s="26" t="str">
        <f t="shared" si="67"/>
        <v/>
      </c>
      <c r="AC511" s="26" t="str">
        <f>IF(MATCH(AB511,AB$300:$AB512,0),"0",1)</f>
        <v>0</v>
      </c>
    </row>
    <row r="512" spans="2:29" x14ac:dyDescent="0.35">
      <c r="B512" s="219"/>
      <c r="C512" s="216" t="s">
        <v>998</v>
      </c>
      <c r="D512" s="216"/>
      <c r="E512" s="220"/>
      <c r="F512" s="220"/>
      <c r="G512" s="220"/>
      <c r="H512" s="220" t="str">
        <f t="shared" si="61"/>
        <v/>
      </c>
      <c r="I512" s="460"/>
      <c r="J512" s="460"/>
      <c r="K512" s="460"/>
      <c r="L512" s="460"/>
      <c r="M512" s="460"/>
      <c r="N512" s="220"/>
      <c r="O512" s="220"/>
      <c r="P512" s="220"/>
      <c r="Q512" s="220"/>
      <c r="R512" s="221"/>
      <c r="S512" s="221"/>
      <c r="T512" s="316">
        <f t="shared" si="62"/>
        <v>0</v>
      </c>
      <c r="U512" s="217">
        <f t="shared" si="63"/>
        <v>0</v>
      </c>
      <c r="X512" s="26" t="str">
        <f t="shared" si="64"/>
        <v/>
      </c>
      <c r="Y512" s="21" t="str">
        <f>IF(MATCH(X512,X$300:$X513,0),"Si",1)</f>
        <v>Si</v>
      </c>
      <c r="Z512" s="26">
        <f t="shared" si="65"/>
        <v>0</v>
      </c>
      <c r="AA512" s="26">
        <f t="shared" si="66"/>
        <v>0</v>
      </c>
      <c r="AB512" s="26" t="str">
        <f t="shared" si="67"/>
        <v/>
      </c>
      <c r="AC512" s="26" t="str">
        <f>IF(MATCH(AB512,AB$300:$AB513,0),"0",1)</f>
        <v>0</v>
      </c>
    </row>
    <row r="513" spans="2:29" x14ac:dyDescent="0.35">
      <c r="B513" s="219"/>
      <c r="C513" s="216" t="s">
        <v>999</v>
      </c>
      <c r="D513" s="216"/>
      <c r="E513" s="220"/>
      <c r="F513" s="220"/>
      <c r="G513" s="220"/>
      <c r="H513" s="220" t="str">
        <f t="shared" si="61"/>
        <v/>
      </c>
      <c r="I513" s="460"/>
      <c r="J513" s="460"/>
      <c r="K513" s="460"/>
      <c r="L513" s="460"/>
      <c r="M513" s="460"/>
      <c r="N513" s="220"/>
      <c r="O513" s="220"/>
      <c r="P513" s="220"/>
      <c r="Q513" s="220"/>
      <c r="R513" s="221"/>
      <c r="S513" s="221"/>
      <c r="T513" s="316">
        <f t="shared" si="62"/>
        <v>0</v>
      </c>
      <c r="U513" s="217">
        <f t="shared" si="63"/>
        <v>0</v>
      </c>
      <c r="X513" s="26" t="str">
        <f t="shared" si="64"/>
        <v/>
      </c>
      <c r="Y513" s="21" t="str">
        <f>IF(MATCH(X513,X$300:$X514,0),"Si",1)</f>
        <v>Si</v>
      </c>
      <c r="Z513" s="26">
        <f t="shared" si="65"/>
        <v>0</v>
      </c>
      <c r="AA513" s="26">
        <f t="shared" si="66"/>
        <v>0</v>
      </c>
      <c r="AB513" s="26" t="str">
        <f t="shared" si="67"/>
        <v/>
      </c>
      <c r="AC513" s="26" t="str">
        <f>IF(MATCH(AB513,AB$300:$AB514,0),"0",1)</f>
        <v>0</v>
      </c>
    </row>
    <row r="514" spans="2:29" x14ac:dyDescent="0.35">
      <c r="B514" s="219"/>
      <c r="C514" s="216" t="s">
        <v>1000</v>
      </c>
      <c r="D514" s="216"/>
      <c r="E514" s="220"/>
      <c r="F514" s="220"/>
      <c r="G514" s="220"/>
      <c r="H514" s="220" t="str">
        <f t="shared" si="61"/>
        <v/>
      </c>
      <c r="I514" s="460"/>
      <c r="J514" s="460"/>
      <c r="K514" s="460"/>
      <c r="L514" s="460"/>
      <c r="M514" s="460"/>
      <c r="N514" s="220"/>
      <c r="O514" s="220"/>
      <c r="P514" s="220"/>
      <c r="Q514" s="220"/>
      <c r="R514" s="221"/>
      <c r="S514" s="221"/>
      <c r="T514" s="316">
        <f t="shared" si="62"/>
        <v>0</v>
      </c>
      <c r="U514" s="217">
        <f t="shared" si="63"/>
        <v>0</v>
      </c>
      <c r="X514" s="26" t="str">
        <f t="shared" si="64"/>
        <v/>
      </c>
      <c r="Y514" s="21" t="str">
        <f>IF(MATCH(X514,X$300:$X515,0),"Si",1)</f>
        <v>Si</v>
      </c>
      <c r="Z514" s="26">
        <f t="shared" si="65"/>
        <v>0</v>
      </c>
      <c r="AA514" s="26">
        <f t="shared" si="66"/>
        <v>0</v>
      </c>
      <c r="AB514" s="26" t="str">
        <f t="shared" si="67"/>
        <v/>
      </c>
      <c r="AC514" s="26" t="str">
        <f>IF(MATCH(AB514,AB$300:$AB515,0),"0",1)</f>
        <v>0</v>
      </c>
    </row>
    <row r="515" spans="2:29" x14ac:dyDescent="0.35">
      <c r="B515" s="219"/>
      <c r="C515" s="216" t="s">
        <v>1001</v>
      </c>
      <c r="D515" s="216"/>
      <c r="E515" s="220"/>
      <c r="F515" s="220"/>
      <c r="G515" s="220"/>
      <c r="H515" s="220" t="str">
        <f t="shared" si="61"/>
        <v/>
      </c>
      <c r="I515" s="460"/>
      <c r="J515" s="460"/>
      <c r="K515" s="460"/>
      <c r="L515" s="460"/>
      <c r="M515" s="460"/>
      <c r="N515" s="220"/>
      <c r="O515" s="220"/>
      <c r="P515" s="220"/>
      <c r="Q515" s="220"/>
      <c r="R515" s="221"/>
      <c r="S515" s="221"/>
      <c r="T515" s="316">
        <f t="shared" si="62"/>
        <v>0</v>
      </c>
      <c r="U515" s="217">
        <f t="shared" si="63"/>
        <v>0</v>
      </c>
      <c r="X515" s="26" t="str">
        <f t="shared" si="64"/>
        <v/>
      </c>
      <c r="Y515" s="21" t="str">
        <f>IF(MATCH(X515,X$300:$X516,0),"Si",1)</f>
        <v>Si</v>
      </c>
      <c r="Z515" s="26">
        <f t="shared" si="65"/>
        <v>0</v>
      </c>
      <c r="AA515" s="26">
        <f t="shared" si="66"/>
        <v>0</v>
      </c>
      <c r="AB515" s="26" t="str">
        <f t="shared" si="67"/>
        <v/>
      </c>
      <c r="AC515" s="26" t="str">
        <f>IF(MATCH(AB515,AB$300:$AB516,0),"0",1)</f>
        <v>0</v>
      </c>
    </row>
    <row r="516" spans="2:29" x14ac:dyDescent="0.35">
      <c r="B516" s="219"/>
      <c r="C516" s="216" t="s">
        <v>1002</v>
      </c>
      <c r="D516" s="216"/>
      <c r="E516" s="220"/>
      <c r="F516" s="220"/>
      <c r="G516" s="220"/>
      <c r="H516" s="220" t="str">
        <f t="shared" si="61"/>
        <v/>
      </c>
      <c r="I516" s="460"/>
      <c r="J516" s="460"/>
      <c r="K516" s="460"/>
      <c r="L516" s="460"/>
      <c r="M516" s="460"/>
      <c r="N516" s="220"/>
      <c r="O516" s="220"/>
      <c r="P516" s="220"/>
      <c r="Q516" s="220"/>
      <c r="R516" s="221"/>
      <c r="S516" s="221"/>
      <c r="T516" s="316">
        <f t="shared" si="62"/>
        <v>0</v>
      </c>
      <c r="U516" s="217">
        <f t="shared" si="63"/>
        <v>0</v>
      </c>
      <c r="X516" s="26" t="str">
        <f t="shared" si="64"/>
        <v/>
      </c>
      <c r="Y516" s="21" t="str">
        <f>IF(MATCH(X516,X$300:$X517,0),"Si",1)</f>
        <v>Si</v>
      </c>
      <c r="Z516" s="26">
        <f t="shared" si="65"/>
        <v>0</v>
      </c>
      <c r="AA516" s="26">
        <f t="shared" si="66"/>
        <v>0</v>
      </c>
      <c r="AB516" s="26" t="str">
        <f t="shared" si="67"/>
        <v/>
      </c>
      <c r="AC516" s="26" t="str">
        <f>IF(MATCH(AB516,AB$300:$AB517,0),"0",1)</f>
        <v>0</v>
      </c>
    </row>
    <row r="517" spans="2:29" x14ac:dyDescent="0.35">
      <c r="B517" s="219"/>
      <c r="C517" s="216" t="s">
        <v>1003</v>
      </c>
      <c r="D517" s="216"/>
      <c r="E517" s="220"/>
      <c r="F517" s="220"/>
      <c r="G517" s="220"/>
      <c r="H517" s="220" t="str">
        <f t="shared" si="61"/>
        <v/>
      </c>
      <c r="I517" s="460"/>
      <c r="J517" s="460"/>
      <c r="K517" s="460"/>
      <c r="L517" s="460"/>
      <c r="M517" s="460"/>
      <c r="N517" s="220"/>
      <c r="O517" s="220"/>
      <c r="P517" s="220"/>
      <c r="Q517" s="220"/>
      <c r="R517" s="221"/>
      <c r="S517" s="221"/>
      <c r="T517" s="316">
        <f t="shared" si="62"/>
        <v>0</v>
      </c>
      <c r="U517" s="217">
        <f t="shared" si="63"/>
        <v>0</v>
      </c>
      <c r="X517" s="26" t="str">
        <f t="shared" si="64"/>
        <v/>
      </c>
      <c r="Y517" s="21" t="str">
        <f>IF(MATCH(X517,X$300:$X518,0),"Si",1)</f>
        <v>Si</v>
      </c>
      <c r="Z517" s="26">
        <f t="shared" si="65"/>
        <v>0</v>
      </c>
      <c r="AA517" s="26">
        <f t="shared" si="66"/>
        <v>0</v>
      </c>
      <c r="AB517" s="26" t="str">
        <f t="shared" si="67"/>
        <v/>
      </c>
      <c r="AC517" s="26" t="str">
        <f>IF(MATCH(AB517,AB$300:$AB518,0),"0",1)</f>
        <v>0</v>
      </c>
    </row>
    <row r="518" spans="2:29" x14ac:dyDescent="0.35">
      <c r="B518" s="219"/>
      <c r="C518" s="216" t="s">
        <v>1004</v>
      </c>
      <c r="D518" s="216"/>
      <c r="E518" s="220"/>
      <c r="F518" s="220"/>
      <c r="G518" s="220"/>
      <c r="H518" s="220" t="str">
        <f t="shared" si="61"/>
        <v/>
      </c>
      <c r="I518" s="460"/>
      <c r="J518" s="460"/>
      <c r="K518" s="460"/>
      <c r="L518" s="460"/>
      <c r="M518" s="460"/>
      <c r="N518" s="220"/>
      <c r="O518" s="220"/>
      <c r="P518" s="220"/>
      <c r="Q518" s="220"/>
      <c r="R518" s="221"/>
      <c r="S518" s="221"/>
      <c r="T518" s="316">
        <f t="shared" si="62"/>
        <v>0</v>
      </c>
      <c r="U518" s="217">
        <f t="shared" si="63"/>
        <v>0</v>
      </c>
      <c r="X518" s="26" t="str">
        <f t="shared" si="64"/>
        <v/>
      </c>
      <c r="Y518" s="21" t="str">
        <f>IF(MATCH(X518,X$300:$X519,0),"Si",1)</f>
        <v>Si</v>
      </c>
      <c r="Z518" s="26">
        <f t="shared" si="65"/>
        <v>0</v>
      </c>
      <c r="AA518" s="26">
        <f t="shared" si="66"/>
        <v>0</v>
      </c>
      <c r="AB518" s="26" t="str">
        <f t="shared" si="67"/>
        <v/>
      </c>
      <c r="AC518" s="26" t="str">
        <f>IF(MATCH(AB518,AB$300:$AB519,0),"0",1)</f>
        <v>0</v>
      </c>
    </row>
    <row r="519" spans="2:29" x14ac:dyDescent="0.35">
      <c r="B519" s="219"/>
      <c r="C519" s="216" t="s">
        <v>1005</v>
      </c>
      <c r="D519" s="216"/>
      <c r="E519" s="220"/>
      <c r="F519" s="220"/>
      <c r="G519" s="220"/>
      <c r="H519" s="220" t="str">
        <f t="shared" si="61"/>
        <v/>
      </c>
      <c r="I519" s="460"/>
      <c r="J519" s="460"/>
      <c r="K519" s="460"/>
      <c r="L519" s="460"/>
      <c r="M519" s="460"/>
      <c r="N519" s="220"/>
      <c r="O519" s="220"/>
      <c r="P519" s="220"/>
      <c r="Q519" s="220"/>
      <c r="R519" s="221"/>
      <c r="S519" s="221"/>
      <c r="T519" s="316">
        <f t="shared" si="62"/>
        <v>0</v>
      </c>
      <c r="U519" s="217">
        <f t="shared" si="63"/>
        <v>0</v>
      </c>
      <c r="X519" s="26" t="str">
        <f t="shared" si="64"/>
        <v/>
      </c>
      <c r="Y519" s="21" t="str">
        <f>IF(MATCH(X519,X$300:$X520,0),"Si",1)</f>
        <v>Si</v>
      </c>
      <c r="Z519" s="26">
        <f t="shared" si="65"/>
        <v>0</v>
      </c>
      <c r="AA519" s="26">
        <f t="shared" si="66"/>
        <v>0</v>
      </c>
      <c r="AB519" s="26" t="str">
        <f t="shared" si="67"/>
        <v/>
      </c>
      <c r="AC519" s="26" t="str">
        <f>IF(MATCH(AB519,AB$300:$AB520,0),"0",1)</f>
        <v>0</v>
      </c>
    </row>
    <row r="520" spans="2:29" x14ac:dyDescent="0.35">
      <c r="B520" s="219"/>
      <c r="C520" s="216" t="s">
        <v>1006</v>
      </c>
      <c r="D520" s="216"/>
      <c r="E520" s="220"/>
      <c r="F520" s="220"/>
      <c r="G520" s="220"/>
      <c r="H520" s="220" t="str">
        <f t="shared" si="61"/>
        <v/>
      </c>
      <c r="I520" s="460"/>
      <c r="J520" s="460"/>
      <c r="K520" s="460"/>
      <c r="L520" s="460"/>
      <c r="M520" s="460"/>
      <c r="N520" s="220"/>
      <c r="O520" s="220"/>
      <c r="P520" s="220"/>
      <c r="Q520" s="220"/>
      <c r="R520" s="221"/>
      <c r="S520" s="221"/>
      <c r="T520" s="316">
        <f t="shared" si="62"/>
        <v>0</v>
      </c>
      <c r="U520" s="217">
        <f t="shared" si="63"/>
        <v>0</v>
      </c>
      <c r="X520" s="26" t="str">
        <f t="shared" si="64"/>
        <v/>
      </c>
      <c r="Y520" s="21" t="str">
        <f>IF(MATCH(X520,X$300:$X521,0),"Si",1)</f>
        <v>Si</v>
      </c>
      <c r="Z520" s="26">
        <f t="shared" si="65"/>
        <v>0</v>
      </c>
      <c r="AA520" s="26">
        <f t="shared" si="66"/>
        <v>0</v>
      </c>
      <c r="AB520" s="26" t="str">
        <f t="shared" si="67"/>
        <v/>
      </c>
      <c r="AC520" s="26" t="str">
        <f>IF(MATCH(AB520,AB$300:$AB521,0),"0",1)</f>
        <v>0</v>
      </c>
    </row>
    <row r="521" spans="2:29" x14ac:dyDescent="0.35">
      <c r="B521" s="219"/>
      <c r="C521" s="216" t="s">
        <v>1007</v>
      </c>
      <c r="D521" s="216"/>
      <c r="E521" s="220"/>
      <c r="F521" s="220"/>
      <c r="G521" s="220"/>
      <c r="H521" s="220" t="str">
        <f t="shared" si="61"/>
        <v/>
      </c>
      <c r="I521" s="460"/>
      <c r="J521" s="460"/>
      <c r="K521" s="460"/>
      <c r="L521" s="460"/>
      <c r="M521" s="460"/>
      <c r="N521" s="220"/>
      <c r="O521" s="220"/>
      <c r="P521" s="220"/>
      <c r="Q521" s="220"/>
      <c r="R521" s="221"/>
      <c r="S521" s="221"/>
      <c r="T521" s="316">
        <f t="shared" si="62"/>
        <v>0</v>
      </c>
      <c r="U521" s="217">
        <f t="shared" si="63"/>
        <v>0</v>
      </c>
      <c r="X521" s="26" t="str">
        <f t="shared" si="64"/>
        <v/>
      </c>
      <c r="Y521" s="21" t="str">
        <f>IF(MATCH(X521,X$300:$X522,0),"Si",1)</f>
        <v>Si</v>
      </c>
      <c r="Z521" s="26">
        <f t="shared" si="65"/>
        <v>0</v>
      </c>
      <c r="AA521" s="26">
        <f t="shared" si="66"/>
        <v>0</v>
      </c>
      <c r="AB521" s="26" t="str">
        <f t="shared" si="67"/>
        <v/>
      </c>
      <c r="AC521" s="26" t="str">
        <f>IF(MATCH(AB521,AB$300:$AB522,0),"0",1)</f>
        <v>0</v>
      </c>
    </row>
    <row r="522" spans="2:29" x14ac:dyDescent="0.35">
      <c r="B522" s="219"/>
      <c r="C522" s="216" t="s">
        <v>1008</v>
      </c>
      <c r="D522" s="216"/>
      <c r="E522" s="220"/>
      <c r="F522" s="220"/>
      <c r="G522" s="220"/>
      <c r="H522" s="220" t="str">
        <f t="shared" si="61"/>
        <v/>
      </c>
      <c r="I522" s="460"/>
      <c r="J522" s="460"/>
      <c r="K522" s="460"/>
      <c r="L522" s="460"/>
      <c r="M522" s="460"/>
      <c r="N522" s="220"/>
      <c r="O522" s="220"/>
      <c r="P522" s="220"/>
      <c r="Q522" s="220"/>
      <c r="R522" s="221"/>
      <c r="S522" s="221"/>
      <c r="T522" s="316">
        <f t="shared" si="62"/>
        <v>0</v>
      </c>
      <c r="U522" s="217">
        <f t="shared" si="63"/>
        <v>0</v>
      </c>
      <c r="X522" s="26" t="str">
        <f t="shared" si="64"/>
        <v/>
      </c>
      <c r="Y522" s="21" t="str">
        <f>IF(MATCH(X522,X$300:$X523,0),"Si",1)</f>
        <v>Si</v>
      </c>
      <c r="Z522" s="26">
        <f t="shared" si="65"/>
        <v>0</v>
      </c>
      <c r="AA522" s="26">
        <f t="shared" si="66"/>
        <v>0</v>
      </c>
      <c r="AB522" s="26" t="str">
        <f t="shared" si="67"/>
        <v/>
      </c>
      <c r="AC522" s="26" t="str">
        <f>IF(MATCH(AB522,AB$300:$AB523,0),"0",1)</f>
        <v>0</v>
      </c>
    </row>
    <row r="523" spans="2:29" x14ac:dyDescent="0.35">
      <c r="B523" s="219"/>
      <c r="C523" s="216" t="s">
        <v>1009</v>
      </c>
      <c r="D523" s="216"/>
      <c r="E523" s="220"/>
      <c r="F523" s="220"/>
      <c r="G523" s="220"/>
      <c r="H523" s="220" t="str">
        <f t="shared" si="61"/>
        <v/>
      </c>
      <c r="I523" s="460"/>
      <c r="J523" s="460"/>
      <c r="K523" s="460"/>
      <c r="L523" s="460"/>
      <c r="M523" s="460"/>
      <c r="N523" s="220"/>
      <c r="O523" s="220"/>
      <c r="P523" s="220"/>
      <c r="Q523" s="220"/>
      <c r="R523" s="221"/>
      <c r="S523" s="221"/>
      <c r="T523" s="316">
        <f t="shared" si="62"/>
        <v>0</v>
      </c>
      <c r="U523" s="217">
        <f t="shared" si="63"/>
        <v>0</v>
      </c>
      <c r="X523" s="26" t="str">
        <f t="shared" si="64"/>
        <v/>
      </c>
      <c r="Y523" s="21" t="str">
        <f>IF(MATCH(X523,X$300:$X524,0),"Si",1)</f>
        <v>Si</v>
      </c>
      <c r="Z523" s="26">
        <f t="shared" si="65"/>
        <v>0</v>
      </c>
      <c r="AA523" s="26">
        <f t="shared" si="66"/>
        <v>0</v>
      </c>
      <c r="AB523" s="26" t="str">
        <f t="shared" si="67"/>
        <v/>
      </c>
      <c r="AC523" s="26" t="str">
        <f>IF(MATCH(AB523,AB$300:$AB524,0),"0",1)</f>
        <v>0</v>
      </c>
    </row>
    <row r="524" spans="2:29" x14ac:dyDescent="0.35">
      <c r="B524" s="219"/>
      <c r="C524" s="216" t="s">
        <v>1010</v>
      </c>
      <c r="D524" s="216"/>
      <c r="E524" s="220"/>
      <c r="F524" s="220"/>
      <c r="G524" s="220"/>
      <c r="H524" s="220" t="str">
        <f t="shared" si="61"/>
        <v/>
      </c>
      <c r="I524" s="460"/>
      <c r="J524" s="460"/>
      <c r="K524" s="460"/>
      <c r="L524" s="460"/>
      <c r="M524" s="460"/>
      <c r="N524" s="220"/>
      <c r="O524" s="220"/>
      <c r="P524" s="220"/>
      <c r="Q524" s="220"/>
      <c r="R524" s="221"/>
      <c r="S524" s="221"/>
      <c r="T524" s="316">
        <f t="shared" si="62"/>
        <v>0</v>
      </c>
      <c r="U524" s="217">
        <f t="shared" si="63"/>
        <v>0</v>
      </c>
      <c r="X524" s="26" t="str">
        <f t="shared" si="64"/>
        <v/>
      </c>
      <c r="Y524" s="21" t="str">
        <f>IF(MATCH(X524,X$300:$X525,0),"Si",1)</f>
        <v>Si</v>
      </c>
      <c r="Z524" s="26">
        <f t="shared" si="65"/>
        <v>0</v>
      </c>
      <c r="AA524" s="26">
        <f t="shared" si="66"/>
        <v>0</v>
      </c>
      <c r="AB524" s="26" t="str">
        <f t="shared" si="67"/>
        <v/>
      </c>
      <c r="AC524" s="26" t="str">
        <f>IF(MATCH(AB524,AB$300:$AB525,0),"0",1)</f>
        <v>0</v>
      </c>
    </row>
    <row r="525" spans="2:29" x14ac:dyDescent="0.35">
      <c r="B525" s="219"/>
      <c r="C525" s="216" t="s">
        <v>1011</v>
      </c>
      <c r="D525" s="216"/>
      <c r="E525" s="220"/>
      <c r="F525" s="220"/>
      <c r="G525" s="220"/>
      <c r="H525" s="220" t="str">
        <f t="shared" si="61"/>
        <v/>
      </c>
      <c r="I525" s="460"/>
      <c r="J525" s="460"/>
      <c r="K525" s="460"/>
      <c r="L525" s="460"/>
      <c r="M525" s="460"/>
      <c r="N525" s="220"/>
      <c r="O525" s="220"/>
      <c r="P525" s="220"/>
      <c r="Q525" s="220"/>
      <c r="R525" s="221"/>
      <c r="S525" s="221"/>
      <c r="T525" s="316">
        <f t="shared" si="62"/>
        <v>0</v>
      </c>
      <c r="U525" s="217">
        <f t="shared" si="63"/>
        <v>0</v>
      </c>
      <c r="X525" s="26" t="str">
        <f t="shared" si="64"/>
        <v/>
      </c>
      <c r="Y525" s="21" t="str">
        <f>IF(MATCH(X525,X$300:$X526,0),"Si",1)</f>
        <v>Si</v>
      </c>
      <c r="Z525" s="26">
        <f t="shared" si="65"/>
        <v>0</v>
      </c>
      <c r="AA525" s="26">
        <f t="shared" si="66"/>
        <v>0</v>
      </c>
      <c r="AB525" s="26" t="str">
        <f t="shared" si="67"/>
        <v/>
      </c>
      <c r="AC525" s="26" t="str">
        <f>IF(MATCH(AB525,AB$300:$AB526,0),"0",1)</f>
        <v>0</v>
      </c>
    </row>
    <row r="526" spans="2:29" x14ac:dyDescent="0.35">
      <c r="B526" s="219"/>
      <c r="C526" s="216" t="s">
        <v>1012</v>
      </c>
      <c r="D526" s="216"/>
      <c r="E526" s="220"/>
      <c r="F526" s="220"/>
      <c r="G526" s="220"/>
      <c r="H526" s="220" t="str">
        <f t="shared" si="61"/>
        <v/>
      </c>
      <c r="I526" s="460"/>
      <c r="J526" s="460"/>
      <c r="K526" s="460"/>
      <c r="L526" s="460"/>
      <c r="M526" s="460"/>
      <c r="N526" s="220"/>
      <c r="O526" s="220"/>
      <c r="P526" s="220"/>
      <c r="Q526" s="220"/>
      <c r="R526" s="221"/>
      <c r="S526" s="221"/>
      <c r="T526" s="316">
        <f t="shared" si="62"/>
        <v>0</v>
      </c>
      <c r="U526" s="217">
        <f t="shared" si="63"/>
        <v>0</v>
      </c>
      <c r="X526" s="26" t="str">
        <f t="shared" si="64"/>
        <v/>
      </c>
      <c r="Y526" s="21" t="str">
        <f>IF(MATCH(X526,X$300:$X527,0),"Si",1)</f>
        <v>Si</v>
      </c>
      <c r="Z526" s="26">
        <f t="shared" si="65"/>
        <v>0</v>
      </c>
      <c r="AA526" s="26">
        <f t="shared" si="66"/>
        <v>0</v>
      </c>
      <c r="AB526" s="26" t="str">
        <f t="shared" si="67"/>
        <v/>
      </c>
      <c r="AC526" s="26" t="str">
        <f>IF(MATCH(AB526,AB$300:$AB527,0),"0",1)</f>
        <v>0</v>
      </c>
    </row>
    <row r="527" spans="2:29" x14ac:dyDescent="0.35">
      <c r="B527" s="219"/>
      <c r="C527" s="216" t="s">
        <v>1013</v>
      </c>
      <c r="D527" s="216"/>
      <c r="E527" s="220"/>
      <c r="F527" s="220"/>
      <c r="G527" s="220"/>
      <c r="H527" s="220" t="str">
        <f t="shared" si="61"/>
        <v/>
      </c>
      <c r="I527" s="460"/>
      <c r="J527" s="460"/>
      <c r="K527" s="460"/>
      <c r="L527" s="460"/>
      <c r="M527" s="460"/>
      <c r="N527" s="220"/>
      <c r="O527" s="220"/>
      <c r="P527" s="220"/>
      <c r="Q527" s="220"/>
      <c r="R527" s="221"/>
      <c r="S527" s="221"/>
      <c r="T527" s="316">
        <f t="shared" si="62"/>
        <v>0</v>
      </c>
      <c r="U527" s="217">
        <f t="shared" si="63"/>
        <v>0</v>
      </c>
      <c r="X527" s="26" t="str">
        <f t="shared" si="64"/>
        <v/>
      </c>
      <c r="Y527" s="21" t="str">
        <f>IF(MATCH(X527,X$300:$X528,0),"Si",1)</f>
        <v>Si</v>
      </c>
      <c r="Z527" s="26">
        <f t="shared" si="65"/>
        <v>0</v>
      </c>
      <c r="AA527" s="26">
        <f t="shared" si="66"/>
        <v>0</v>
      </c>
      <c r="AB527" s="26" t="str">
        <f t="shared" si="67"/>
        <v/>
      </c>
      <c r="AC527" s="26" t="str">
        <f>IF(MATCH(AB527,AB$300:$AB528,0),"0",1)</f>
        <v>0</v>
      </c>
    </row>
    <row r="528" spans="2:29" x14ac:dyDescent="0.35">
      <c r="B528" s="219"/>
      <c r="C528" s="216" t="s">
        <v>1014</v>
      </c>
      <c r="D528" s="216"/>
      <c r="E528" s="220"/>
      <c r="F528" s="220"/>
      <c r="G528" s="220"/>
      <c r="H528" s="220" t="str">
        <f t="shared" si="61"/>
        <v/>
      </c>
      <c r="I528" s="460"/>
      <c r="J528" s="460"/>
      <c r="K528" s="460"/>
      <c r="L528" s="460"/>
      <c r="M528" s="460"/>
      <c r="N528" s="220"/>
      <c r="O528" s="220"/>
      <c r="P528" s="220"/>
      <c r="Q528" s="220"/>
      <c r="R528" s="221"/>
      <c r="S528" s="221"/>
      <c r="T528" s="316">
        <f t="shared" si="62"/>
        <v>0</v>
      </c>
      <c r="U528" s="217">
        <f t="shared" si="63"/>
        <v>0</v>
      </c>
      <c r="X528" s="26" t="str">
        <f t="shared" si="64"/>
        <v/>
      </c>
      <c r="Y528" s="21" t="str">
        <f>IF(MATCH(X528,X$300:$X529,0),"Si",1)</f>
        <v>Si</v>
      </c>
      <c r="Z528" s="26">
        <f t="shared" si="65"/>
        <v>0</v>
      </c>
      <c r="AA528" s="26">
        <f t="shared" si="66"/>
        <v>0</v>
      </c>
      <c r="AB528" s="26" t="str">
        <f t="shared" si="67"/>
        <v/>
      </c>
      <c r="AC528" s="26" t="str">
        <f>IF(MATCH(AB528,AB$300:$AB529,0),"0",1)</f>
        <v>0</v>
      </c>
    </row>
    <row r="529" spans="2:29" x14ac:dyDescent="0.35">
      <c r="B529" s="219"/>
      <c r="C529" s="216" t="s">
        <v>1015</v>
      </c>
      <c r="D529" s="216"/>
      <c r="E529" s="220"/>
      <c r="F529" s="220"/>
      <c r="G529" s="220"/>
      <c r="H529" s="220" t="str">
        <f t="shared" si="61"/>
        <v/>
      </c>
      <c r="I529" s="460"/>
      <c r="J529" s="460"/>
      <c r="K529" s="460"/>
      <c r="L529" s="460"/>
      <c r="M529" s="460"/>
      <c r="N529" s="220"/>
      <c r="O529" s="220"/>
      <c r="P529" s="220"/>
      <c r="Q529" s="220"/>
      <c r="R529" s="221"/>
      <c r="S529" s="221"/>
      <c r="T529" s="316">
        <f t="shared" si="62"/>
        <v>0</v>
      </c>
      <c r="U529" s="217">
        <f t="shared" si="63"/>
        <v>0</v>
      </c>
      <c r="X529" s="26" t="str">
        <f t="shared" si="64"/>
        <v/>
      </c>
      <c r="Y529" s="21" t="str">
        <f>IF(MATCH(X529,X$300:$X530,0),"Si",1)</f>
        <v>Si</v>
      </c>
      <c r="Z529" s="26">
        <f t="shared" si="65"/>
        <v>0</v>
      </c>
      <c r="AA529" s="26">
        <f t="shared" si="66"/>
        <v>0</v>
      </c>
      <c r="AB529" s="26" t="str">
        <f t="shared" si="67"/>
        <v/>
      </c>
      <c r="AC529" s="26" t="str">
        <f>IF(MATCH(AB529,AB$300:$AB530,0),"0",1)</f>
        <v>0</v>
      </c>
    </row>
    <row r="530" spans="2:29" x14ac:dyDescent="0.35">
      <c r="B530" s="219"/>
      <c r="C530" s="216" t="s">
        <v>1016</v>
      </c>
      <c r="D530" s="216"/>
      <c r="E530" s="220"/>
      <c r="F530" s="220"/>
      <c r="G530" s="220"/>
      <c r="H530" s="220" t="str">
        <f t="shared" ref="H530:H593" si="68">IF(G530=0,"",IF(G530&lt;&gt;"Error","No",""))</f>
        <v/>
      </c>
      <c r="I530" s="460"/>
      <c r="J530" s="460"/>
      <c r="K530" s="460"/>
      <c r="L530" s="460"/>
      <c r="M530" s="460"/>
      <c r="N530" s="220"/>
      <c r="O530" s="220"/>
      <c r="P530" s="220"/>
      <c r="Q530" s="220"/>
      <c r="R530" s="221"/>
      <c r="S530" s="221"/>
      <c r="T530" s="316">
        <f t="shared" si="62"/>
        <v>0</v>
      </c>
      <c r="U530" s="217">
        <f t="shared" si="63"/>
        <v>0</v>
      </c>
      <c r="X530" s="26" t="str">
        <f t="shared" si="64"/>
        <v/>
      </c>
      <c r="Y530" s="21" t="str">
        <f>IF(MATCH(X530,X$300:$X531,0),"Si",1)</f>
        <v>Si</v>
      </c>
      <c r="Z530" s="26">
        <f t="shared" si="65"/>
        <v>0</v>
      </c>
      <c r="AA530" s="26">
        <f t="shared" si="66"/>
        <v>0</v>
      </c>
      <c r="AB530" s="26" t="str">
        <f t="shared" si="67"/>
        <v/>
      </c>
      <c r="AC530" s="26" t="str">
        <f>IF(MATCH(AB530,AB$300:$AB531,0),"0",1)</f>
        <v>0</v>
      </c>
    </row>
    <row r="531" spans="2:29" x14ac:dyDescent="0.35">
      <c r="B531" s="219"/>
      <c r="C531" s="216" t="s">
        <v>1017</v>
      </c>
      <c r="D531" s="216"/>
      <c r="E531" s="220"/>
      <c r="F531" s="220"/>
      <c r="G531" s="220"/>
      <c r="H531" s="220" t="str">
        <f t="shared" si="68"/>
        <v/>
      </c>
      <c r="I531" s="460"/>
      <c r="J531" s="460"/>
      <c r="K531" s="460"/>
      <c r="L531" s="460"/>
      <c r="M531" s="460"/>
      <c r="N531" s="220"/>
      <c r="O531" s="220"/>
      <c r="P531" s="220"/>
      <c r="Q531" s="220"/>
      <c r="R531" s="221"/>
      <c r="S531" s="221"/>
      <c r="T531" s="316">
        <f t="shared" si="62"/>
        <v>0</v>
      </c>
      <c r="U531" s="217">
        <f t="shared" si="63"/>
        <v>0</v>
      </c>
      <c r="X531" s="26" t="str">
        <f t="shared" si="64"/>
        <v/>
      </c>
      <c r="Y531" s="21" t="str">
        <f>IF(MATCH(X531,X$300:$X532,0),"Si",1)</f>
        <v>Si</v>
      </c>
      <c r="Z531" s="26">
        <f t="shared" si="65"/>
        <v>0</v>
      </c>
      <c r="AA531" s="26">
        <f t="shared" si="66"/>
        <v>0</v>
      </c>
      <c r="AB531" s="26" t="str">
        <f t="shared" si="67"/>
        <v/>
      </c>
      <c r="AC531" s="26" t="str">
        <f>IF(MATCH(AB531,AB$300:$AB532,0),"0",1)</f>
        <v>0</v>
      </c>
    </row>
    <row r="532" spans="2:29" x14ac:dyDescent="0.35">
      <c r="B532" s="219"/>
      <c r="C532" s="216" t="s">
        <v>1018</v>
      </c>
      <c r="D532" s="216"/>
      <c r="E532" s="220"/>
      <c r="F532" s="220"/>
      <c r="G532" s="220"/>
      <c r="H532" s="220" t="str">
        <f t="shared" si="68"/>
        <v/>
      </c>
      <c r="I532" s="460"/>
      <c r="J532" s="460"/>
      <c r="K532" s="460"/>
      <c r="L532" s="460"/>
      <c r="M532" s="460"/>
      <c r="N532" s="220"/>
      <c r="O532" s="220"/>
      <c r="P532" s="220"/>
      <c r="Q532" s="220"/>
      <c r="R532" s="221"/>
      <c r="S532" s="221"/>
      <c r="T532" s="316">
        <f t="shared" si="62"/>
        <v>0</v>
      </c>
      <c r="U532" s="217">
        <f t="shared" si="63"/>
        <v>0</v>
      </c>
      <c r="X532" s="26" t="str">
        <f t="shared" si="64"/>
        <v/>
      </c>
      <c r="Y532" s="21" t="str">
        <f>IF(MATCH(X532,X$300:$X533,0),"Si",1)</f>
        <v>Si</v>
      </c>
      <c r="Z532" s="26">
        <f t="shared" si="65"/>
        <v>0</v>
      </c>
      <c r="AA532" s="26">
        <f t="shared" si="66"/>
        <v>0</v>
      </c>
      <c r="AB532" s="26" t="str">
        <f t="shared" si="67"/>
        <v/>
      </c>
      <c r="AC532" s="26" t="str">
        <f>IF(MATCH(AB532,AB$300:$AB533,0),"0",1)</f>
        <v>0</v>
      </c>
    </row>
    <row r="533" spans="2:29" x14ac:dyDescent="0.35">
      <c r="B533" s="219"/>
      <c r="C533" s="216" t="s">
        <v>1019</v>
      </c>
      <c r="D533" s="216"/>
      <c r="E533" s="220"/>
      <c r="F533" s="220"/>
      <c r="G533" s="220"/>
      <c r="H533" s="220" t="str">
        <f t="shared" si="68"/>
        <v/>
      </c>
      <c r="I533" s="460"/>
      <c r="J533" s="460"/>
      <c r="K533" s="460"/>
      <c r="L533" s="460"/>
      <c r="M533" s="460"/>
      <c r="N533" s="220"/>
      <c r="O533" s="220"/>
      <c r="P533" s="220"/>
      <c r="Q533" s="220"/>
      <c r="R533" s="221"/>
      <c r="S533" s="221"/>
      <c r="T533" s="316">
        <f t="shared" si="62"/>
        <v>0</v>
      </c>
      <c r="U533" s="217">
        <f t="shared" si="63"/>
        <v>0</v>
      </c>
      <c r="X533" s="26" t="str">
        <f t="shared" si="64"/>
        <v/>
      </c>
      <c r="Y533" s="21" t="str">
        <f>IF(MATCH(X533,X$300:$X534,0),"Si",1)</f>
        <v>Si</v>
      </c>
      <c r="Z533" s="26">
        <f t="shared" si="65"/>
        <v>0</v>
      </c>
      <c r="AA533" s="26">
        <f t="shared" si="66"/>
        <v>0</v>
      </c>
      <c r="AB533" s="26" t="str">
        <f t="shared" si="67"/>
        <v/>
      </c>
      <c r="AC533" s="26" t="str">
        <f>IF(MATCH(AB533,AB$300:$AB534,0),"0",1)</f>
        <v>0</v>
      </c>
    </row>
    <row r="534" spans="2:29" x14ac:dyDescent="0.35">
      <c r="B534" s="219"/>
      <c r="C534" s="216" t="s">
        <v>1020</v>
      </c>
      <c r="D534" s="216"/>
      <c r="E534" s="220"/>
      <c r="F534" s="220"/>
      <c r="G534" s="220"/>
      <c r="H534" s="220" t="str">
        <f t="shared" si="68"/>
        <v/>
      </c>
      <c r="I534" s="460"/>
      <c r="J534" s="460"/>
      <c r="K534" s="460"/>
      <c r="L534" s="460"/>
      <c r="M534" s="460"/>
      <c r="N534" s="220"/>
      <c r="O534" s="220"/>
      <c r="P534" s="220"/>
      <c r="Q534" s="220"/>
      <c r="R534" s="221"/>
      <c r="S534" s="221"/>
      <c r="T534" s="316">
        <f t="shared" si="62"/>
        <v>0</v>
      </c>
      <c r="U534" s="217">
        <f t="shared" si="63"/>
        <v>0</v>
      </c>
      <c r="X534" s="26" t="str">
        <f t="shared" si="64"/>
        <v/>
      </c>
      <c r="Y534" s="21" t="str">
        <f>IF(MATCH(X534,X$300:$X535,0),"Si",1)</f>
        <v>Si</v>
      </c>
      <c r="Z534" s="26">
        <f t="shared" si="65"/>
        <v>0</v>
      </c>
      <c r="AA534" s="26">
        <f t="shared" si="66"/>
        <v>0</v>
      </c>
      <c r="AB534" s="26" t="str">
        <f t="shared" si="67"/>
        <v/>
      </c>
      <c r="AC534" s="26" t="str">
        <f>IF(MATCH(AB534,AB$300:$AB535,0),"0",1)</f>
        <v>0</v>
      </c>
    </row>
    <row r="535" spans="2:29" x14ac:dyDescent="0.35">
      <c r="B535" s="219"/>
      <c r="C535" s="216" t="s">
        <v>1021</v>
      </c>
      <c r="D535" s="216"/>
      <c r="E535" s="220"/>
      <c r="F535" s="220"/>
      <c r="G535" s="220"/>
      <c r="H535" s="220" t="str">
        <f t="shared" si="68"/>
        <v/>
      </c>
      <c r="I535" s="460"/>
      <c r="J535" s="460"/>
      <c r="K535" s="460"/>
      <c r="L535" s="460"/>
      <c r="M535" s="460"/>
      <c r="N535" s="220"/>
      <c r="O535" s="220"/>
      <c r="P535" s="220"/>
      <c r="Q535" s="220"/>
      <c r="R535" s="221"/>
      <c r="S535" s="221"/>
      <c r="T535" s="316">
        <f t="shared" si="62"/>
        <v>0</v>
      </c>
      <c r="U535" s="217">
        <f t="shared" si="63"/>
        <v>0</v>
      </c>
      <c r="X535" s="26" t="str">
        <f t="shared" si="64"/>
        <v/>
      </c>
      <c r="Y535" s="21" t="str">
        <f>IF(MATCH(X535,X$300:$X536,0),"Si",1)</f>
        <v>Si</v>
      </c>
      <c r="Z535" s="26">
        <f t="shared" si="65"/>
        <v>0</v>
      </c>
      <c r="AA535" s="26">
        <f t="shared" si="66"/>
        <v>0</v>
      </c>
      <c r="AB535" s="26" t="str">
        <f t="shared" si="67"/>
        <v/>
      </c>
      <c r="AC535" s="26" t="str">
        <f>IF(MATCH(AB535,AB$300:$AB536,0),"0",1)</f>
        <v>0</v>
      </c>
    </row>
    <row r="536" spans="2:29" x14ac:dyDescent="0.35">
      <c r="B536" s="219"/>
      <c r="C536" s="216" t="s">
        <v>1022</v>
      </c>
      <c r="D536" s="216"/>
      <c r="E536" s="220"/>
      <c r="F536" s="220"/>
      <c r="G536" s="220"/>
      <c r="H536" s="220" t="str">
        <f t="shared" si="68"/>
        <v/>
      </c>
      <c r="I536" s="460"/>
      <c r="J536" s="460"/>
      <c r="K536" s="460"/>
      <c r="L536" s="460"/>
      <c r="M536" s="460"/>
      <c r="N536" s="220"/>
      <c r="O536" s="220"/>
      <c r="P536" s="220"/>
      <c r="Q536" s="220"/>
      <c r="R536" s="221"/>
      <c r="S536" s="221"/>
      <c r="T536" s="316">
        <f t="shared" si="62"/>
        <v>0</v>
      </c>
      <c r="U536" s="217">
        <f t="shared" si="63"/>
        <v>0</v>
      </c>
      <c r="X536" s="26" t="str">
        <f t="shared" si="64"/>
        <v/>
      </c>
      <c r="Y536" s="21" t="str">
        <f>IF(MATCH(X536,X$300:$X537,0),"Si",1)</f>
        <v>Si</v>
      </c>
      <c r="Z536" s="26">
        <f t="shared" si="65"/>
        <v>0</v>
      </c>
      <c r="AA536" s="26">
        <f t="shared" si="66"/>
        <v>0</v>
      </c>
      <c r="AB536" s="26" t="str">
        <f t="shared" si="67"/>
        <v/>
      </c>
      <c r="AC536" s="26" t="str">
        <f>IF(MATCH(AB536,AB$300:$AB537,0),"0",1)</f>
        <v>0</v>
      </c>
    </row>
    <row r="537" spans="2:29" x14ac:dyDescent="0.35">
      <c r="B537" s="219"/>
      <c r="C537" s="216" t="s">
        <v>1023</v>
      </c>
      <c r="D537" s="216"/>
      <c r="E537" s="220"/>
      <c r="F537" s="220"/>
      <c r="G537" s="220"/>
      <c r="H537" s="220" t="str">
        <f t="shared" si="68"/>
        <v/>
      </c>
      <c r="I537" s="460"/>
      <c r="J537" s="460"/>
      <c r="K537" s="460"/>
      <c r="L537" s="460"/>
      <c r="M537" s="460"/>
      <c r="N537" s="220"/>
      <c r="O537" s="220"/>
      <c r="P537" s="220"/>
      <c r="Q537" s="220"/>
      <c r="R537" s="221"/>
      <c r="S537" s="221"/>
      <c r="T537" s="316">
        <f t="shared" si="62"/>
        <v>0</v>
      </c>
      <c r="U537" s="217">
        <f t="shared" si="63"/>
        <v>0</v>
      </c>
      <c r="X537" s="26" t="str">
        <f t="shared" si="64"/>
        <v/>
      </c>
      <c r="Y537" s="21" t="str">
        <f>IF(MATCH(X537,X$300:$X538,0),"Si",1)</f>
        <v>Si</v>
      </c>
      <c r="Z537" s="26">
        <f t="shared" si="65"/>
        <v>0</v>
      </c>
      <c r="AA537" s="26">
        <f t="shared" si="66"/>
        <v>0</v>
      </c>
      <c r="AB537" s="26" t="str">
        <f t="shared" si="67"/>
        <v/>
      </c>
      <c r="AC537" s="26" t="str">
        <f>IF(MATCH(AB537,AB$300:$AB538,0),"0",1)</f>
        <v>0</v>
      </c>
    </row>
    <row r="538" spans="2:29" x14ac:dyDescent="0.35">
      <c r="B538" s="219"/>
      <c r="C538" s="216" t="s">
        <v>1024</v>
      </c>
      <c r="D538" s="216"/>
      <c r="E538" s="220"/>
      <c r="F538" s="220"/>
      <c r="G538" s="220"/>
      <c r="H538" s="220" t="str">
        <f t="shared" si="68"/>
        <v/>
      </c>
      <c r="I538" s="460"/>
      <c r="J538" s="460"/>
      <c r="K538" s="460"/>
      <c r="L538" s="460"/>
      <c r="M538" s="460"/>
      <c r="N538" s="220"/>
      <c r="O538" s="220"/>
      <c r="P538" s="220"/>
      <c r="Q538" s="220"/>
      <c r="R538" s="221"/>
      <c r="S538" s="221"/>
      <c r="T538" s="316">
        <f t="shared" si="62"/>
        <v>0</v>
      </c>
      <c r="U538" s="217">
        <f t="shared" si="63"/>
        <v>0</v>
      </c>
      <c r="X538" s="26" t="str">
        <f t="shared" si="64"/>
        <v/>
      </c>
      <c r="Y538" s="21" t="str">
        <f>IF(MATCH(X538,X$300:$X539,0),"Si",1)</f>
        <v>Si</v>
      </c>
      <c r="Z538" s="26">
        <f t="shared" si="65"/>
        <v>0</v>
      </c>
      <c r="AA538" s="26">
        <f t="shared" si="66"/>
        <v>0</v>
      </c>
      <c r="AB538" s="26" t="str">
        <f t="shared" si="67"/>
        <v/>
      </c>
      <c r="AC538" s="26" t="str">
        <f>IF(MATCH(AB538,AB$300:$AB539,0),"0",1)</f>
        <v>0</v>
      </c>
    </row>
    <row r="539" spans="2:29" x14ac:dyDescent="0.35">
      <c r="B539" s="219"/>
      <c r="C539" s="216" t="s">
        <v>1025</v>
      </c>
      <c r="D539" s="216"/>
      <c r="E539" s="220"/>
      <c r="F539" s="220"/>
      <c r="G539" s="220"/>
      <c r="H539" s="220" t="str">
        <f t="shared" si="68"/>
        <v/>
      </c>
      <c r="I539" s="460"/>
      <c r="J539" s="460"/>
      <c r="K539" s="460"/>
      <c r="L539" s="460"/>
      <c r="M539" s="460"/>
      <c r="N539" s="220"/>
      <c r="O539" s="220"/>
      <c r="P539" s="220"/>
      <c r="Q539" s="220"/>
      <c r="R539" s="221"/>
      <c r="S539" s="221"/>
      <c r="T539" s="316">
        <f t="shared" ref="T539:T602" si="69">IF(S539=0,0,IF(S539&lt;R539,"Error en fecha solución",IFERROR(AC539,NETWORKDAYS(R539,S539)-1)))</f>
        <v>0</v>
      </c>
      <c r="U539" s="217">
        <f t="shared" ref="U539:U602" si="70">IFERROR(T539*8,"Error")</f>
        <v>0</v>
      </c>
      <c r="X539" s="26" t="str">
        <f t="shared" ref="X539:X602" si="71">CONCATENATE(H539,O539,R539,S539)</f>
        <v/>
      </c>
      <c r="Y539" s="21" t="str">
        <f>IF(MATCH(X539,X$300:$X540,0),"Si",1)</f>
        <v>Si</v>
      </c>
      <c r="Z539" s="26">
        <f t="shared" ref="Z539:Z602" si="72">IF(S539=0,0,IF(S539&lt;R539,"Error en fecha solución",IF(Y539="Si",0,IFERROR(Y539,NETWORKDAYS(R539,S539)-1))))</f>
        <v>0</v>
      </c>
      <c r="AA539" s="26">
        <f t="shared" ref="AA539:AA602" si="73">IF(S539=0,0,IF(S539&lt;R539,"Error en fecha solución",IFERROR(Z539,NETWORKDAYS(R539,S539)-1)))</f>
        <v>0</v>
      </c>
      <c r="AB539" s="26" t="str">
        <f t="shared" ref="AB539:AB602" si="74">CONCATENATE(R539,S539)</f>
        <v/>
      </c>
      <c r="AC539" s="26" t="str">
        <f>IF(MATCH(AB539,AB$300:$AB540,0),"0",1)</f>
        <v>0</v>
      </c>
    </row>
    <row r="540" spans="2:29" x14ac:dyDescent="0.35">
      <c r="B540" s="219"/>
      <c r="C540" s="216" t="s">
        <v>1026</v>
      </c>
      <c r="D540" s="216"/>
      <c r="E540" s="220"/>
      <c r="F540" s="220"/>
      <c r="G540" s="220"/>
      <c r="H540" s="220" t="str">
        <f t="shared" si="68"/>
        <v/>
      </c>
      <c r="I540" s="460"/>
      <c r="J540" s="460"/>
      <c r="K540" s="460"/>
      <c r="L540" s="460"/>
      <c r="M540" s="460"/>
      <c r="N540" s="220"/>
      <c r="O540" s="220"/>
      <c r="P540" s="220"/>
      <c r="Q540" s="220"/>
      <c r="R540" s="221"/>
      <c r="S540" s="221"/>
      <c r="T540" s="316">
        <f t="shared" si="69"/>
        <v>0</v>
      </c>
      <c r="U540" s="217">
        <f t="shared" si="70"/>
        <v>0</v>
      </c>
      <c r="X540" s="26" t="str">
        <f t="shared" si="71"/>
        <v/>
      </c>
      <c r="Y540" s="21" t="str">
        <f>IF(MATCH(X540,X$300:$X541,0),"Si",1)</f>
        <v>Si</v>
      </c>
      <c r="Z540" s="26">
        <f t="shared" si="72"/>
        <v>0</v>
      </c>
      <c r="AA540" s="26">
        <f t="shared" si="73"/>
        <v>0</v>
      </c>
      <c r="AB540" s="26" t="str">
        <f t="shared" si="74"/>
        <v/>
      </c>
      <c r="AC540" s="26" t="str">
        <f>IF(MATCH(AB540,AB$300:$AB541,0),"0",1)</f>
        <v>0</v>
      </c>
    </row>
    <row r="541" spans="2:29" x14ac:dyDescent="0.35">
      <c r="B541" s="219"/>
      <c r="C541" s="216" t="s">
        <v>1027</v>
      </c>
      <c r="D541" s="216"/>
      <c r="E541" s="220"/>
      <c r="F541" s="220"/>
      <c r="G541" s="220"/>
      <c r="H541" s="220" t="str">
        <f t="shared" si="68"/>
        <v/>
      </c>
      <c r="I541" s="460"/>
      <c r="J541" s="460"/>
      <c r="K541" s="460"/>
      <c r="L541" s="460"/>
      <c r="M541" s="460"/>
      <c r="N541" s="220"/>
      <c r="O541" s="220"/>
      <c r="P541" s="220"/>
      <c r="Q541" s="220"/>
      <c r="R541" s="221"/>
      <c r="S541" s="221"/>
      <c r="T541" s="316">
        <f t="shared" si="69"/>
        <v>0</v>
      </c>
      <c r="U541" s="217">
        <f t="shared" si="70"/>
        <v>0</v>
      </c>
      <c r="X541" s="26" t="str">
        <f t="shared" si="71"/>
        <v/>
      </c>
      <c r="Y541" s="21" t="str">
        <f>IF(MATCH(X541,X$300:$X542,0),"Si",1)</f>
        <v>Si</v>
      </c>
      <c r="Z541" s="26">
        <f t="shared" si="72"/>
        <v>0</v>
      </c>
      <c r="AA541" s="26">
        <f t="shared" si="73"/>
        <v>0</v>
      </c>
      <c r="AB541" s="26" t="str">
        <f t="shared" si="74"/>
        <v/>
      </c>
      <c r="AC541" s="26" t="str">
        <f>IF(MATCH(AB541,AB$300:$AB542,0),"0",1)</f>
        <v>0</v>
      </c>
    </row>
    <row r="542" spans="2:29" x14ac:dyDescent="0.35">
      <c r="B542" s="219"/>
      <c r="C542" s="216" t="s">
        <v>1028</v>
      </c>
      <c r="D542" s="216"/>
      <c r="E542" s="220"/>
      <c r="F542" s="220"/>
      <c r="G542" s="220"/>
      <c r="H542" s="220" t="str">
        <f t="shared" si="68"/>
        <v/>
      </c>
      <c r="I542" s="460"/>
      <c r="J542" s="460"/>
      <c r="K542" s="460"/>
      <c r="L542" s="460"/>
      <c r="M542" s="460"/>
      <c r="N542" s="220"/>
      <c r="O542" s="220"/>
      <c r="P542" s="220"/>
      <c r="Q542" s="220"/>
      <c r="R542" s="221"/>
      <c r="S542" s="221"/>
      <c r="T542" s="316">
        <f t="shared" si="69"/>
        <v>0</v>
      </c>
      <c r="U542" s="217">
        <f t="shared" si="70"/>
        <v>0</v>
      </c>
      <c r="X542" s="26" t="str">
        <f t="shared" si="71"/>
        <v/>
      </c>
      <c r="Y542" s="21" t="str">
        <f>IF(MATCH(X542,X$300:$X543,0),"Si",1)</f>
        <v>Si</v>
      </c>
      <c r="Z542" s="26">
        <f t="shared" si="72"/>
        <v>0</v>
      </c>
      <c r="AA542" s="26">
        <f t="shared" si="73"/>
        <v>0</v>
      </c>
      <c r="AB542" s="26" t="str">
        <f t="shared" si="74"/>
        <v/>
      </c>
      <c r="AC542" s="26" t="str">
        <f>IF(MATCH(AB542,AB$300:$AB543,0),"0",1)</f>
        <v>0</v>
      </c>
    </row>
    <row r="543" spans="2:29" x14ac:dyDescent="0.35">
      <c r="B543" s="219"/>
      <c r="C543" s="216" t="s">
        <v>1029</v>
      </c>
      <c r="D543" s="216"/>
      <c r="E543" s="220"/>
      <c r="F543" s="220"/>
      <c r="G543" s="220"/>
      <c r="H543" s="220" t="str">
        <f t="shared" si="68"/>
        <v/>
      </c>
      <c r="I543" s="460"/>
      <c r="J543" s="460"/>
      <c r="K543" s="460"/>
      <c r="L543" s="460"/>
      <c r="M543" s="460"/>
      <c r="N543" s="220"/>
      <c r="O543" s="220"/>
      <c r="P543" s="220"/>
      <c r="Q543" s="220"/>
      <c r="R543" s="221"/>
      <c r="S543" s="221"/>
      <c r="T543" s="316">
        <f t="shared" si="69"/>
        <v>0</v>
      </c>
      <c r="U543" s="217">
        <f t="shared" si="70"/>
        <v>0</v>
      </c>
      <c r="X543" s="26" t="str">
        <f t="shared" si="71"/>
        <v/>
      </c>
      <c r="Y543" s="21" t="str">
        <f>IF(MATCH(X543,X$300:$X544,0),"Si",1)</f>
        <v>Si</v>
      </c>
      <c r="Z543" s="26">
        <f t="shared" si="72"/>
        <v>0</v>
      </c>
      <c r="AA543" s="26">
        <f t="shared" si="73"/>
        <v>0</v>
      </c>
      <c r="AB543" s="26" t="str">
        <f t="shared" si="74"/>
        <v/>
      </c>
      <c r="AC543" s="26" t="str">
        <f>IF(MATCH(AB543,AB$300:$AB544,0),"0",1)</f>
        <v>0</v>
      </c>
    </row>
    <row r="544" spans="2:29" x14ac:dyDescent="0.35">
      <c r="B544" s="219"/>
      <c r="C544" s="216" t="s">
        <v>1030</v>
      </c>
      <c r="D544" s="216"/>
      <c r="E544" s="220"/>
      <c r="F544" s="220"/>
      <c r="G544" s="220"/>
      <c r="H544" s="220" t="str">
        <f t="shared" si="68"/>
        <v/>
      </c>
      <c r="I544" s="460"/>
      <c r="J544" s="460"/>
      <c r="K544" s="460"/>
      <c r="L544" s="460"/>
      <c r="M544" s="460"/>
      <c r="N544" s="220"/>
      <c r="O544" s="220"/>
      <c r="P544" s="220"/>
      <c r="Q544" s="220"/>
      <c r="R544" s="221"/>
      <c r="S544" s="221"/>
      <c r="T544" s="316">
        <f t="shared" si="69"/>
        <v>0</v>
      </c>
      <c r="U544" s="217">
        <f t="shared" si="70"/>
        <v>0</v>
      </c>
      <c r="X544" s="26" t="str">
        <f t="shared" si="71"/>
        <v/>
      </c>
      <c r="Y544" s="21" t="str">
        <f>IF(MATCH(X544,X$300:$X545,0),"Si",1)</f>
        <v>Si</v>
      </c>
      <c r="Z544" s="26">
        <f t="shared" si="72"/>
        <v>0</v>
      </c>
      <c r="AA544" s="26">
        <f t="shared" si="73"/>
        <v>0</v>
      </c>
      <c r="AB544" s="26" t="str">
        <f t="shared" si="74"/>
        <v/>
      </c>
      <c r="AC544" s="26" t="str">
        <f>IF(MATCH(AB544,AB$300:$AB545,0),"0",1)</f>
        <v>0</v>
      </c>
    </row>
    <row r="545" spans="2:29" x14ac:dyDescent="0.35">
      <c r="B545" s="219"/>
      <c r="C545" s="216" t="s">
        <v>1031</v>
      </c>
      <c r="D545" s="216"/>
      <c r="E545" s="220"/>
      <c r="F545" s="220"/>
      <c r="G545" s="220"/>
      <c r="H545" s="220" t="str">
        <f t="shared" si="68"/>
        <v/>
      </c>
      <c r="I545" s="460"/>
      <c r="J545" s="460"/>
      <c r="K545" s="460"/>
      <c r="L545" s="460"/>
      <c r="M545" s="460"/>
      <c r="N545" s="220"/>
      <c r="O545" s="220"/>
      <c r="P545" s="220"/>
      <c r="Q545" s="220"/>
      <c r="R545" s="221"/>
      <c r="S545" s="221"/>
      <c r="T545" s="316">
        <f t="shared" si="69"/>
        <v>0</v>
      </c>
      <c r="U545" s="217">
        <f t="shared" si="70"/>
        <v>0</v>
      </c>
      <c r="X545" s="26" t="str">
        <f t="shared" si="71"/>
        <v/>
      </c>
      <c r="Y545" s="21" t="str">
        <f>IF(MATCH(X545,X$300:$X546,0),"Si",1)</f>
        <v>Si</v>
      </c>
      <c r="Z545" s="26">
        <f t="shared" si="72"/>
        <v>0</v>
      </c>
      <c r="AA545" s="26">
        <f t="shared" si="73"/>
        <v>0</v>
      </c>
      <c r="AB545" s="26" t="str">
        <f t="shared" si="74"/>
        <v/>
      </c>
      <c r="AC545" s="26" t="str">
        <f>IF(MATCH(AB545,AB$300:$AB546,0),"0",1)</f>
        <v>0</v>
      </c>
    </row>
    <row r="546" spans="2:29" x14ac:dyDescent="0.35">
      <c r="B546" s="219"/>
      <c r="C546" s="216" t="s">
        <v>1032</v>
      </c>
      <c r="D546" s="216"/>
      <c r="E546" s="220"/>
      <c r="F546" s="220"/>
      <c r="G546" s="220"/>
      <c r="H546" s="220" t="str">
        <f t="shared" si="68"/>
        <v/>
      </c>
      <c r="I546" s="460"/>
      <c r="J546" s="460"/>
      <c r="K546" s="460"/>
      <c r="L546" s="460"/>
      <c r="M546" s="460"/>
      <c r="N546" s="220"/>
      <c r="O546" s="220"/>
      <c r="P546" s="220"/>
      <c r="Q546" s="220"/>
      <c r="R546" s="221"/>
      <c r="S546" s="221"/>
      <c r="T546" s="316">
        <f t="shared" si="69"/>
        <v>0</v>
      </c>
      <c r="U546" s="217">
        <f t="shared" si="70"/>
        <v>0</v>
      </c>
      <c r="X546" s="26" t="str">
        <f t="shared" si="71"/>
        <v/>
      </c>
      <c r="Y546" s="21" t="str">
        <f>IF(MATCH(X546,X$300:$X547,0),"Si",1)</f>
        <v>Si</v>
      </c>
      <c r="Z546" s="26">
        <f t="shared" si="72"/>
        <v>0</v>
      </c>
      <c r="AA546" s="26">
        <f t="shared" si="73"/>
        <v>0</v>
      </c>
      <c r="AB546" s="26" t="str">
        <f t="shared" si="74"/>
        <v/>
      </c>
      <c r="AC546" s="26" t="str">
        <f>IF(MATCH(AB546,AB$300:$AB547,0),"0",1)</f>
        <v>0</v>
      </c>
    </row>
    <row r="547" spans="2:29" x14ac:dyDescent="0.35">
      <c r="B547" s="219"/>
      <c r="C547" s="216" t="s">
        <v>1033</v>
      </c>
      <c r="D547" s="216"/>
      <c r="E547" s="220"/>
      <c r="F547" s="220"/>
      <c r="G547" s="220"/>
      <c r="H547" s="220" t="str">
        <f t="shared" si="68"/>
        <v/>
      </c>
      <c r="I547" s="460"/>
      <c r="J547" s="460"/>
      <c r="K547" s="460"/>
      <c r="L547" s="460"/>
      <c r="M547" s="460"/>
      <c r="N547" s="220"/>
      <c r="O547" s="220"/>
      <c r="P547" s="220"/>
      <c r="Q547" s="220"/>
      <c r="R547" s="221"/>
      <c r="S547" s="221"/>
      <c r="T547" s="316">
        <f t="shared" si="69"/>
        <v>0</v>
      </c>
      <c r="U547" s="217">
        <f t="shared" si="70"/>
        <v>0</v>
      </c>
      <c r="X547" s="26" t="str">
        <f t="shared" si="71"/>
        <v/>
      </c>
      <c r="Y547" s="21" t="str">
        <f>IF(MATCH(X547,X$300:$X548,0),"Si",1)</f>
        <v>Si</v>
      </c>
      <c r="Z547" s="26">
        <f t="shared" si="72"/>
        <v>0</v>
      </c>
      <c r="AA547" s="26">
        <f t="shared" si="73"/>
        <v>0</v>
      </c>
      <c r="AB547" s="26" t="str">
        <f t="shared" si="74"/>
        <v/>
      </c>
      <c r="AC547" s="26" t="str">
        <f>IF(MATCH(AB547,AB$300:$AB548,0),"0",1)</f>
        <v>0</v>
      </c>
    </row>
    <row r="548" spans="2:29" x14ac:dyDescent="0.35">
      <c r="B548" s="219"/>
      <c r="C548" s="216" t="s">
        <v>1034</v>
      </c>
      <c r="D548" s="216"/>
      <c r="E548" s="220"/>
      <c r="F548" s="220"/>
      <c r="G548" s="220"/>
      <c r="H548" s="220" t="str">
        <f t="shared" si="68"/>
        <v/>
      </c>
      <c r="I548" s="460"/>
      <c r="J548" s="460"/>
      <c r="K548" s="460"/>
      <c r="L548" s="460"/>
      <c r="M548" s="460"/>
      <c r="N548" s="220"/>
      <c r="O548" s="220"/>
      <c r="P548" s="220"/>
      <c r="Q548" s="220"/>
      <c r="R548" s="221"/>
      <c r="S548" s="221"/>
      <c r="T548" s="316">
        <f t="shared" si="69"/>
        <v>0</v>
      </c>
      <c r="U548" s="217">
        <f t="shared" si="70"/>
        <v>0</v>
      </c>
      <c r="X548" s="26" t="str">
        <f t="shared" si="71"/>
        <v/>
      </c>
      <c r="Y548" s="21" t="str">
        <f>IF(MATCH(X548,X$300:$X549,0),"Si",1)</f>
        <v>Si</v>
      </c>
      <c r="Z548" s="26">
        <f t="shared" si="72"/>
        <v>0</v>
      </c>
      <c r="AA548" s="26">
        <f t="shared" si="73"/>
        <v>0</v>
      </c>
      <c r="AB548" s="26" t="str">
        <f t="shared" si="74"/>
        <v/>
      </c>
      <c r="AC548" s="26" t="str">
        <f>IF(MATCH(AB548,AB$300:$AB549,0),"0",1)</f>
        <v>0</v>
      </c>
    </row>
    <row r="549" spans="2:29" x14ac:dyDescent="0.35">
      <c r="B549" s="219"/>
      <c r="C549" s="216" t="s">
        <v>1035</v>
      </c>
      <c r="D549" s="216"/>
      <c r="E549" s="220"/>
      <c r="F549" s="220"/>
      <c r="G549" s="220"/>
      <c r="H549" s="220" t="str">
        <f t="shared" si="68"/>
        <v/>
      </c>
      <c r="I549" s="460"/>
      <c r="J549" s="460"/>
      <c r="K549" s="460"/>
      <c r="L549" s="460"/>
      <c r="M549" s="460"/>
      <c r="N549" s="220"/>
      <c r="O549" s="220"/>
      <c r="P549" s="220"/>
      <c r="Q549" s="220"/>
      <c r="R549" s="221"/>
      <c r="S549" s="221"/>
      <c r="T549" s="316">
        <f t="shared" si="69"/>
        <v>0</v>
      </c>
      <c r="U549" s="217">
        <f t="shared" si="70"/>
        <v>0</v>
      </c>
      <c r="X549" s="26" t="str">
        <f t="shared" si="71"/>
        <v/>
      </c>
      <c r="Y549" s="21" t="str">
        <f>IF(MATCH(X549,X$300:$X550,0),"Si",1)</f>
        <v>Si</v>
      </c>
      <c r="Z549" s="26">
        <f t="shared" si="72"/>
        <v>0</v>
      </c>
      <c r="AA549" s="26">
        <f t="shared" si="73"/>
        <v>0</v>
      </c>
      <c r="AB549" s="26" t="str">
        <f t="shared" si="74"/>
        <v/>
      </c>
      <c r="AC549" s="26" t="str">
        <f>IF(MATCH(AB549,AB$300:$AB550,0),"0",1)</f>
        <v>0</v>
      </c>
    </row>
    <row r="550" spans="2:29" x14ac:dyDescent="0.35">
      <c r="B550" s="219"/>
      <c r="C550" s="216" t="s">
        <v>1036</v>
      </c>
      <c r="D550" s="216"/>
      <c r="E550" s="220"/>
      <c r="F550" s="220"/>
      <c r="G550" s="220"/>
      <c r="H550" s="220" t="str">
        <f t="shared" si="68"/>
        <v/>
      </c>
      <c r="I550" s="460"/>
      <c r="J550" s="460"/>
      <c r="K550" s="460"/>
      <c r="L550" s="460"/>
      <c r="M550" s="460"/>
      <c r="N550" s="220"/>
      <c r="O550" s="220"/>
      <c r="P550" s="220"/>
      <c r="Q550" s="220"/>
      <c r="R550" s="221"/>
      <c r="S550" s="221"/>
      <c r="T550" s="316">
        <f t="shared" si="69"/>
        <v>0</v>
      </c>
      <c r="U550" s="217">
        <f t="shared" si="70"/>
        <v>0</v>
      </c>
      <c r="X550" s="26" t="str">
        <f t="shared" si="71"/>
        <v/>
      </c>
      <c r="Y550" s="21" t="str">
        <f>IF(MATCH(X550,X$300:$X551,0),"Si",1)</f>
        <v>Si</v>
      </c>
      <c r="Z550" s="26">
        <f t="shared" si="72"/>
        <v>0</v>
      </c>
      <c r="AA550" s="26">
        <f t="shared" si="73"/>
        <v>0</v>
      </c>
      <c r="AB550" s="26" t="str">
        <f t="shared" si="74"/>
        <v/>
      </c>
      <c r="AC550" s="26" t="str">
        <f>IF(MATCH(AB550,AB$300:$AB551,0),"0",1)</f>
        <v>0</v>
      </c>
    </row>
    <row r="551" spans="2:29" x14ac:dyDescent="0.35">
      <c r="B551" s="219"/>
      <c r="C551" s="216" t="s">
        <v>1037</v>
      </c>
      <c r="D551" s="216"/>
      <c r="E551" s="220"/>
      <c r="F551" s="220"/>
      <c r="G551" s="220"/>
      <c r="H551" s="220" t="str">
        <f t="shared" si="68"/>
        <v/>
      </c>
      <c r="I551" s="460"/>
      <c r="J551" s="460"/>
      <c r="K551" s="460"/>
      <c r="L551" s="460"/>
      <c r="M551" s="460"/>
      <c r="N551" s="220"/>
      <c r="O551" s="220"/>
      <c r="P551" s="220"/>
      <c r="Q551" s="220"/>
      <c r="R551" s="221"/>
      <c r="S551" s="221"/>
      <c r="T551" s="316">
        <f t="shared" si="69"/>
        <v>0</v>
      </c>
      <c r="U551" s="217">
        <f t="shared" si="70"/>
        <v>0</v>
      </c>
      <c r="X551" s="26" t="str">
        <f t="shared" si="71"/>
        <v/>
      </c>
      <c r="Y551" s="21" t="str">
        <f>IF(MATCH(X551,X$300:$X552,0),"Si",1)</f>
        <v>Si</v>
      </c>
      <c r="Z551" s="26">
        <f t="shared" si="72"/>
        <v>0</v>
      </c>
      <c r="AA551" s="26">
        <f t="shared" si="73"/>
        <v>0</v>
      </c>
      <c r="AB551" s="26" t="str">
        <f t="shared" si="74"/>
        <v/>
      </c>
      <c r="AC551" s="26" t="str">
        <f>IF(MATCH(AB551,AB$300:$AB552,0),"0",1)</f>
        <v>0</v>
      </c>
    </row>
    <row r="552" spans="2:29" x14ac:dyDescent="0.35">
      <c r="B552" s="219"/>
      <c r="C552" s="216" t="s">
        <v>1038</v>
      </c>
      <c r="D552" s="216"/>
      <c r="E552" s="220"/>
      <c r="F552" s="220"/>
      <c r="G552" s="220"/>
      <c r="H552" s="220" t="str">
        <f t="shared" si="68"/>
        <v/>
      </c>
      <c r="I552" s="460"/>
      <c r="J552" s="460"/>
      <c r="K552" s="460"/>
      <c r="L552" s="460"/>
      <c r="M552" s="460"/>
      <c r="N552" s="220"/>
      <c r="O552" s="220"/>
      <c r="P552" s="220"/>
      <c r="Q552" s="220"/>
      <c r="R552" s="221"/>
      <c r="S552" s="221"/>
      <c r="T552" s="316">
        <f t="shared" si="69"/>
        <v>0</v>
      </c>
      <c r="U552" s="217">
        <f t="shared" si="70"/>
        <v>0</v>
      </c>
      <c r="X552" s="26" t="str">
        <f t="shared" si="71"/>
        <v/>
      </c>
      <c r="Y552" s="21" t="str">
        <f>IF(MATCH(X552,X$300:$X553,0),"Si",1)</f>
        <v>Si</v>
      </c>
      <c r="Z552" s="26">
        <f t="shared" si="72"/>
        <v>0</v>
      </c>
      <c r="AA552" s="26">
        <f t="shared" si="73"/>
        <v>0</v>
      </c>
      <c r="AB552" s="26" t="str">
        <f t="shared" si="74"/>
        <v/>
      </c>
      <c r="AC552" s="26" t="str">
        <f>IF(MATCH(AB552,AB$300:$AB553,0),"0",1)</f>
        <v>0</v>
      </c>
    </row>
    <row r="553" spans="2:29" x14ac:dyDescent="0.35">
      <c r="B553" s="219"/>
      <c r="C553" s="216" t="s">
        <v>1039</v>
      </c>
      <c r="D553" s="216"/>
      <c r="E553" s="220"/>
      <c r="F553" s="220"/>
      <c r="G553" s="220"/>
      <c r="H553" s="220" t="str">
        <f t="shared" si="68"/>
        <v/>
      </c>
      <c r="I553" s="460"/>
      <c r="J553" s="460"/>
      <c r="K553" s="460"/>
      <c r="L553" s="460"/>
      <c r="M553" s="460"/>
      <c r="N553" s="220"/>
      <c r="O553" s="220"/>
      <c r="P553" s="220"/>
      <c r="Q553" s="220"/>
      <c r="R553" s="221"/>
      <c r="S553" s="221"/>
      <c r="T553" s="316">
        <f t="shared" si="69"/>
        <v>0</v>
      </c>
      <c r="U553" s="217">
        <f t="shared" si="70"/>
        <v>0</v>
      </c>
      <c r="X553" s="26" t="str">
        <f t="shared" si="71"/>
        <v/>
      </c>
      <c r="Y553" s="21" t="str">
        <f>IF(MATCH(X553,X$300:$X554,0),"Si",1)</f>
        <v>Si</v>
      </c>
      <c r="Z553" s="26">
        <f t="shared" si="72"/>
        <v>0</v>
      </c>
      <c r="AA553" s="26">
        <f t="shared" si="73"/>
        <v>0</v>
      </c>
      <c r="AB553" s="26" t="str">
        <f t="shared" si="74"/>
        <v/>
      </c>
      <c r="AC553" s="26" t="str">
        <f>IF(MATCH(AB553,AB$300:$AB554,0),"0",1)</f>
        <v>0</v>
      </c>
    </row>
    <row r="554" spans="2:29" x14ac:dyDescent="0.35">
      <c r="B554" s="219"/>
      <c r="C554" s="216" t="s">
        <v>1040</v>
      </c>
      <c r="D554" s="216"/>
      <c r="E554" s="220"/>
      <c r="F554" s="220"/>
      <c r="G554" s="220"/>
      <c r="H554" s="220" t="str">
        <f t="shared" si="68"/>
        <v/>
      </c>
      <c r="I554" s="460"/>
      <c r="J554" s="460"/>
      <c r="K554" s="460"/>
      <c r="L554" s="460"/>
      <c r="M554" s="460"/>
      <c r="N554" s="220"/>
      <c r="O554" s="220"/>
      <c r="P554" s="220"/>
      <c r="Q554" s="220"/>
      <c r="R554" s="221"/>
      <c r="S554" s="221"/>
      <c r="T554" s="316">
        <f t="shared" si="69"/>
        <v>0</v>
      </c>
      <c r="U554" s="217">
        <f t="shared" si="70"/>
        <v>0</v>
      </c>
      <c r="X554" s="26" t="str">
        <f t="shared" si="71"/>
        <v/>
      </c>
      <c r="Y554" s="21" t="str">
        <f>IF(MATCH(X554,X$300:$X555,0),"Si",1)</f>
        <v>Si</v>
      </c>
      <c r="Z554" s="26">
        <f t="shared" si="72"/>
        <v>0</v>
      </c>
      <c r="AA554" s="26">
        <f t="shared" si="73"/>
        <v>0</v>
      </c>
      <c r="AB554" s="26" t="str">
        <f t="shared" si="74"/>
        <v/>
      </c>
      <c r="AC554" s="26" t="str">
        <f>IF(MATCH(AB554,AB$300:$AB555,0),"0",1)</f>
        <v>0</v>
      </c>
    </row>
    <row r="555" spans="2:29" x14ac:dyDescent="0.35">
      <c r="B555" s="219"/>
      <c r="C555" s="216" t="s">
        <v>1041</v>
      </c>
      <c r="D555" s="216"/>
      <c r="E555" s="220"/>
      <c r="F555" s="220"/>
      <c r="G555" s="220"/>
      <c r="H555" s="220" t="str">
        <f t="shared" si="68"/>
        <v/>
      </c>
      <c r="I555" s="460"/>
      <c r="J555" s="460"/>
      <c r="K555" s="460"/>
      <c r="L555" s="460"/>
      <c r="M555" s="460"/>
      <c r="N555" s="220"/>
      <c r="O555" s="220"/>
      <c r="P555" s="220"/>
      <c r="Q555" s="220"/>
      <c r="R555" s="221"/>
      <c r="S555" s="221"/>
      <c r="T555" s="316">
        <f t="shared" si="69"/>
        <v>0</v>
      </c>
      <c r="U555" s="217">
        <f t="shared" si="70"/>
        <v>0</v>
      </c>
      <c r="X555" s="26" t="str">
        <f t="shared" si="71"/>
        <v/>
      </c>
      <c r="Y555" s="21" t="str">
        <f>IF(MATCH(X555,X$300:$X556,0),"Si",1)</f>
        <v>Si</v>
      </c>
      <c r="Z555" s="26">
        <f t="shared" si="72"/>
        <v>0</v>
      </c>
      <c r="AA555" s="26">
        <f t="shared" si="73"/>
        <v>0</v>
      </c>
      <c r="AB555" s="26" t="str">
        <f t="shared" si="74"/>
        <v/>
      </c>
      <c r="AC555" s="26" t="str">
        <f>IF(MATCH(AB555,AB$300:$AB556,0),"0",1)</f>
        <v>0</v>
      </c>
    </row>
    <row r="556" spans="2:29" x14ac:dyDescent="0.35">
      <c r="B556" s="219"/>
      <c r="C556" s="216" t="s">
        <v>1042</v>
      </c>
      <c r="D556" s="216"/>
      <c r="E556" s="220"/>
      <c r="F556" s="220"/>
      <c r="G556" s="220"/>
      <c r="H556" s="220" t="str">
        <f t="shared" si="68"/>
        <v/>
      </c>
      <c r="I556" s="460"/>
      <c r="J556" s="460"/>
      <c r="K556" s="460"/>
      <c r="L556" s="460"/>
      <c r="M556" s="460"/>
      <c r="N556" s="220"/>
      <c r="O556" s="220"/>
      <c r="P556" s="220"/>
      <c r="Q556" s="220"/>
      <c r="R556" s="221"/>
      <c r="S556" s="221"/>
      <c r="T556" s="316">
        <f t="shared" si="69"/>
        <v>0</v>
      </c>
      <c r="U556" s="217">
        <f t="shared" si="70"/>
        <v>0</v>
      </c>
      <c r="X556" s="26" t="str">
        <f t="shared" si="71"/>
        <v/>
      </c>
      <c r="Y556" s="21" t="str">
        <f>IF(MATCH(X556,X$300:$X557,0),"Si",1)</f>
        <v>Si</v>
      </c>
      <c r="Z556" s="26">
        <f t="shared" si="72"/>
        <v>0</v>
      </c>
      <c r="AA556" s="26">
        <f t="shared" si="73"/>
        <v>0</v>
      </c>
      <c r="AB556" s="26" t="str">
        <f t="shared" si="74"/>
        <v/>
      </c>
      <c r="AC556" s="26" t="str">
        <f>IF(MATCH(AB556,AB$300:$AB557,0),"0",1)</f>
        <v>0</v>
      </c>
    </row>
    <row r="557" spans="2:29" x14ac:dyDescent="0.35">
      <c r="B557" s="219"/>
      <c r="C557" s="216" t="s">
        <v>1043</v>
      </c>
      <c r="D557" s="216"/>
      <c r="E557" s="220"/>
      <c r="F557" s="220"/>
      <c r="G557" s="220"/>
      <c r="H557" s="220" t="str">
        <f t="shared" si="68"/>
        <v/>
      </c>
      <c r="I557" s="460"/>
      <c r="J557" s="460"/>
      <c r="K557" s="460"/>
      <c r="L557" s="460"/>
      <c r="M557" s="460"/>
      <c r="N557" s="220"/>
      <c r="O557" s="220"/>
      <c r="P557" s="220"/>
      <c r="Q557" s="220"/>
      <c r="R557" s="221"/>
      <c r="S557" s="221"/>
      <c r="T557" s="316">
        <f t="shared" si="69"/>
        <v>0</v>
      </c>
      <c r="U557" s="217">
        <f t="shared" si="70"/>
        <v>0</v>
      </c>
      <c r="X557" s="26" t="str">
        <f t="shared" si="71"/>
        <v/>
      </c>
      <c r="Y557" s="21" t="str">
        <f>IF(MATCH(X557,X$300:$X558,0),"Si",1)</f>
        <v>Si</v>
      </c>
      <c r="Z557" s="26">
        <f t="shared" si="72"/>
        <v>0</v>
      </c>
      <c r="AA557" s="26">
        <f t="shared" si="73"/>
        <v>0</v>
      </c>
      <c r="AB557" s="26" t="str">
        <f t="shared" si="74"/>
        <v/>
      </c>
      <c r="AC557" s="26" t="str">
        <f>IF(MATCH(AB557,AB$300:$AB558,0),"0",1)</f>
        <v>0</v>
      </c>
    </row>
    <row r="558" spans="2:29" x14ac:dyDescent="0.35">
      <c r="B558" s="219"/>
      <c r="C558" s="216" t="s">
        <v>1044</v>
      </c>
      <c r="D558" s="216"/>
      <c r="E558" s="220"/>
      <c r="F558" s="220"/>
      <c r="G558" s="220"/>
      <c r="H558" s="220" t="str">
        <f t="shared" si="68"/>
        <v/>
      </c>
      <c r="I558" s="460"/>
      <c r="J558" s="460"/>
      <c r="K558" s="460"/>
      <c r="L558" s="460"/>
      <c r="M558" s="460"/>
      <c r="N558" s="220"/>
      <c r="O558" s="220"/>
      <c r="P558" s="220"/>
      <c r="Q558" s="220"/>
      <c r="R558" s="221"/>
      <c r="S558" s="221"/>
      <c r="T558" s="316">
        <f t="shared" si="69"/>
        <v>0</v>
      </c>
      <c r="U558" s="217">
        <f t="shared" si="70"/>
        <v>0</v>
      </c>
      <c r="X558" s="26" t="str">
        <f t="shared" si="71"/>
        <v/>
      </c>
      <c r="Y558" s="21" t="str">
        <f>IF(MATCH(X558,X$300:$X559,0),"Si",1)</f>
        <v>Si</v>
      </c>
      <c r="Z558" s="26">
        <f t="shared" si="72"/>
        <v>0</v>
      </c>
      <c r="AA558" s="26">
        <f t="shared" si="73"/>
        <v>0</v>
      </c>
      <c r="AB558" s="26" t="str">
        <f t="shared" si="74"/>
        <v/>
      </c>
      <c r="AC558" s="26" t="str">
        <f>IF(MATCH(AB558,AB$300:$AB559,0),"0",1)</f>
        <v>0</v>
      </c>
    </row>
    <row r="559" spans="2:29" x14ac:dyDescent="0.35">
      <c r="B559" s="219"/>
      <c r="C559" s="216" t="s">
        <v>1045</v>
      </c>
      <c r="D559" s="216"/>
      <c r="E559" s="220"/>
      <c r="F559" s="220"/>
      <c r="G559" s="220"/>
      <c r="H559" s="220" t="str">
        <f t="shared" si="68"/>
        <v/>
      </c>
      <c r="I559" s="460"/>
      <c r="J559" s="460"/>
      <c r="K559" s="460"/>
      <c r="L559" s="460"/>
      <c r="M559" s="460"/>
      <c r="N559" s="220"/>
      <c r="O559" s="220"/>
      <c r="P559" s="220"/>
      <c r="Q559" s="220"/>
      <c r="R559" s="221"/>
      <c r="S559" s="221"/>
      <c r="T559" s="316">
        <f t="shared" si="69"/>
        <v>0</v>
      </c>
      <c r="U559" s="217">
        <f t="shared" si="70"/>
        <v>0</v>
      </c>
      <c r="X559" s="26" t="str">
        <f t="shared" si="71"/>
        <v/>
      </c>
      <c r="Y559" s="21" t="str">
        <f>IF(MATCH(X559,X$300:$X560,0),"Si",1)</f>
        <v>Si</v>
      </c>
      <c r="Z559" s="26">
        <f t="shared" si="72"/>
        <v>0</v>
      </c>
      <c r="AA559" s="26">
        <f t="shared" si="73"/>
        <v>0</v>
      </c>
      <c r="AB559" s="26" t="str">
        <f t="shared" si="74"/>
        <v/>
      </c>
      <c r="AC559" s="26" t="str">
        <f>IF(MATCH(AB559,AB$300:$AB560,0),"0",1)</f>
        <v>0</v>
      </c>
    </row>
    <row r="560" spans="2:29" x14ac:dyDescent="0.35">
      <c r="B560" s="219"/>
      <c r="C560" s="216" t="s">
        <v>1046</v>
      </c>
      <c r="D560" s="216"/>
      <c r="E560" s="220"/>
      <c r="F560" s="220"/>
      <c r="G560" s="220"/>
      <c r="H560" s="220" t="str">
        <f t="shared" si="68"/>
        <v/>
      </c>
      <c r="I560" s="460"/>
      <c r="J560" s="460"/>
      <c r="K560" s="460"/>
      <c r="L560" s="460"/>
      <c r="M560" s="460"/>
      <c r="N560" s="220"/>
      <c r="O560" s="220"/>
      <c r="P560" s="220"/>
      <c r="Q560" s="220"/>
      <c r="R560" s="221"/>
      <c r="S560" s="221"/>
      <c r="T560" s="316">
        <f t="shared" si="69"/>
        <v>0</v>
      </c>
      <c r="U560" s="217">
        <f t="shared" si="70"/>
        <v>0</v>
      </c>
      <c r="X560" s="26" t="str">
        <f t="shared" si="71"/>
        <v/>
      </c>
      <c r="Y560" s="21" t="str">
        <f>IF(MATCH(X560,X$300:$X561,0),"Si",1)</f>
        <v>Si</v>
      </c>
      <c r="Z560" s="26">
        <f t="shared" si="72"/>
        <v>0</v>
      </c>
      <c r="AA560" s="26">
        <f t="shared" si="73"/>
        <v>0</v>
      </c>
      <c r="AB560" s="26" t="str">
        <f t="shared" si="74"/>
        <v/>
      </c>
      <c r="AC560" s="26" t="str">
        <f>IF(MATCH(AB560,AB$300:$AB561,0),"0",1)</f>
        <v>0</v>
      </c>
    </row>
    <row r="561" spans="2:29" x14ac:dyDescent="0.35">
      <c r="B561" s="219"/>
      <c r="C561" s="216" t="s">
        <v>1047</v>
      </c>
      <c r="D561" s="216"/>
      <c r="E561" s="220"/>
      <c r="F561" s="220"/>
      <c r="G561" s="220"/>
      <c r="H561" s="220" t="str">
        <f t="shared" si="68"/>
        <v/>
      </c>
      <c r="I561" s="460"/>
      <c r="J561" s="460"/>
      <c r="K561" s="460"/>
      <c r="L561" s="460"/>
      <c r="M561" s="460"/>
      <c r="N561" s="220"/>
      <c r="O561" s="220"/>
      <c r="P561" s="220"/>
      <c r="Q561" s="220"/>
      <c r="R561" s="221"/>
      <c r="S561" s="221"/>
      <c r="T561" s="316">
        <f t="shared" si="69"/>
        <v>0</v>
      </c>
      <c r="U561" s="217">
        <f t="shared" si="70"/>
        <v>0</v>
      </c>
      <c r="X561" s="26" t="str">
        <f t="shared" si="71"/>
        <v/>
      </c>
      <c r="Y561" s="21" t="str">
        <f>IF(MATCH(X561,X$300:$X562,0),"Si",1)</f>
        <v>Si</v>
      </c>
      <c r="Z561" s="26">
        <f t="shared" si="72"/>
        <v>0</v>
      </c>
      <c r="AA561" s="26">
        <f t="shared" si="73"/>
        <v>0</v>
      </c>
      <c r="AB561" s="26" t="str">
        <f t="shared" si="74"/>
        <v/>
      </c>
      <c r="AC561" s="26" t="str">
        <f>IF(MATCH(AB561,AB$300:$AB562,0),"0",1)</f>
        <v>0</v>
      </c>
    </row>
    <row r="562" spans="2:29" x14ac:dyDescent="0.35">
      <c r="B562" s="219"/>
      <c r="C562" s="216" t="s">
        <v>1048</v>
      </c>
      <c r="D562" s="216"/>
      <c r="E562" s="220"/>
      <c r="F562" s="220"/>
      <c r="G562" s="220"/>
      <c r="H562" s="220" t="str">
        <f t="shared" si="68"/>
        <v/>
      </c>
      <c r="I562" s="460"/>
      <c r="J562" s="460"/>
      <c r="K562" s="460"/>
      <c r="L562" s="460"/>
      <c r="M562" s="460"/>
      <c r="N562" s="220"/>
      <c r="O562" s="220"/>
      <c r="P562" s="220"/>
      <c r="Q562" s="220"/>
      <c r="R562" s="221"/>
      <c r="S562" s="221"/>
      <c r="T562" s="316">
        <f t="shared" si="69"/>
        <v>0</v>
      </c>
      <c r="U562" s="217">
        <f t="shared" si="70"/>
        <v>0</v>
      </c>
      <c r="X562" s="26" t="str">
        <f t="shared" si="71"/>
        <v/>
      </c>
      <c r="Y562" s="21" t="str">
        <f>IF(MATCH(X562,X$300:$X563,0),"Si",1)</f>
        <v>Si</v>
      </c>
      <c r="Z562" s="26">
        <f t="shared" si="72"/>
        <v>0</v>
      </c>
      <c r="AA562" s="26">
        <f t="shared" si="73"/>
        <v>0</v>
      </c>
      <c r="AB562" s="26" t="str">
        <f t="shared" si="74"/>
        <v/>
      </c>
      <c r="AC562" s="26" t="str">
        <f>IF(MATCH(AB562,AB$300:$AB563,0),"0",1)</f>
        <v>0</v>
      </c>
    </row>
    <row r="563" spans="2:29" x14ac:dyDescent="0.35">
      <c r="B563" s="219"/>
      <c r="C563" s="216" t="s">
        <v>1049</v>
      </c>
      <c r="D563" s="216"/>
      <c r="E563" s="220"/>
      <c r="F563" s="220"/>
      <c r="G563" s="220"/>
      <c r="H563" s="220" t="str">
        <f t="shared" si="68"/>
        <v/>
      </c>
      <c r="I563" s="460"/>
      <c r="J563" s="460"/>
      <c r="K563" s="460"/>
      <c r="L563" s="460"/>
      <c r="M563" s="460"/>
      <c r="N563" s="220"/>
      <c r="O563" s="220"/>
      <c r="P563" s="220"/>
      <c r="Q563" s="220"/>
      <c r="R563" s="221"/>
      <c r="S563" s="221"/>
      <c r="T563" s="316">
        <f t="shared" si="69"/>
        <v>0</v>
      </c>
      <c r="U563" s="217">
        <f t="shared" si="70"/>
        <v>0</v>
      </c>
      <c r="X563" s="26" t="str">
        <f t="shared" si="71"/>
        <v/>
      </c>
      <c r="Y563" s="21" t="str">
        <f>IF(MATCH(X563,X$300:$X564,0),"Si",1)</f>
        <v>Si</v>
      </c>
      <c r="Z563" s="26">
        <f t="shared" si="72"/>
        <v>0</v>
      </c>
      <c r="AA563" s="26">
        <f t="shared" si="73"/>
        <v>0</v>
      </c>
      <c r="AB563" s="26" t="str">
        <f t="shared" si="74"/>
        <v/>
      </c>
      <c r="AC563" s="26" t="str">
        <f>IF(MATCH(AB563,AB$300:$AB564,0),"0",1)</f>
        <v>0</v>
      </c>
    </row>
    <row r="564" spans="2:29" x14ac:dyDescent="0.35">
      <c r="B564" s="219"/>
      <c r="C564" s="216" t="s">
        <v>1050</v>
      </c>
      <c r="D564" s="216"/>
      <c r="E564" s="220"/>
      <c r="F564" s="220"/>
      <c r="G564" s="220"/>
      <c r="H564" s="220" t="str">
        <f t="shared" si="68"/>
        <v/>
      </c>
      <c r="I564" s="460"/>
      <c r="J564" s="460"/>
      <c r="K564" s="460"/>
      <c r="L564" s="460"/>
      <c r="M564" s="460"/>
      <c r="N564" s="220"/>
      <c r="O564" s="220"/>
      <c r="P564" s="220"/>
      <c r="Q564" s="220"/>
      <c r="R564" s="221"/>
      <c r="S564" s="221"/>
      <c r="T564" s="316">
        <f t="shared" si="69"/>
        <v>0</v>
      </c>
      <c r="U564" s="217">
        <f t="shared" si="70"/>
        <v>0</v>
      </c>
      <c r="X564" s="26" t="str">
        <f t="shared" si="71"/>
        <v/>
      </c>
      <c r="Y564" s="21" t="str">
        <f>IF(MATCH(X564,X$300:$X565,0),"Si",1)</f>
        <v>Si</v>
      </c>
      <c r="Z564" s="26">
        <f t="shared" si="72"/>
        <v>0</v>
      </c>
      <c r="AA564" s="26">
        <f t="shared" si="73"/>
        <v>0</v>
      </c>
      <c r="AB564" s="26" t="str">
        <f t="shared" si="74"/>
        <v/>
      </c>
      <c r="AC564" s="26" t="str">
        <f>IF(MATCH(AB564,AB$300:$AB565,0),"0",1)</f>
        <v>0</v>
      </c>
    </row>
    <row r="565" spans="2:29" x14ac:dyDescent="0.35">
      <c r="B565" s="219"/>
      <c r="C565" s="216" t="s">
        <v>1051</v>
      </c>
      <c r="D565" s="216"/>
      <c r="E565" s="220"/>
      <c r="F565" s="220"/>
      <c r="G565" s="220"/>
      <c r="H565" s="220" t="str">
        <f t="shared" si="68"/>
        <v/>
      </c>
      <c r="I565" s="460"/>
      <c r="J565" s="460"/>
      <c r="K565" s="460"/>
      <c r="L565" s="460"/>
      <c r="M565" s="460"/>
      <c r="N565" s="220"/>
      <c r="O565" s="220"/>
      <c r="P565" s="220"/>
      <c r="Q565" s="220"/>
      <c r="R565" s="221"/>
      <c r="S565" s="221"/>
      <c r="T565" s="316">
        <f t="shared" si="69"/>
        <v>0</v>
      </c>
      <c r="U565" s="217">
        <f t="shared" si="70"/>
        <v>0</v>
      </c>
      <c r="X565" s="26" t="str">
        <f t="shared" si="71"/>
        <v/>
      </c>
      <c r="Y565" s="21" t="str">
        <f>IF(MATCH(X565,X$300:$X566,0),"Si",1)</f>
        <v>Si</v>
      </c>
      <c r="Z565" s="26">
        <f t="shared" si="72"/>
        <v>0</v>
      </c>
      <c r="AA565" s="26">
        <f t="shared" si="73"/>
        <v>0</v>
      </c>
      <c r="AB565" s="26" t="str">
        <f t="shared" si="74"/>
        <v/>
      </c>
      <c r="AC565" s="26" t="str">
        <f>IF(MATCH(AB565,AB$300:$AB566,0),"0",1)</f>
        <v>0</v>
      </c>
    </row>
    <row r="566" spans="2:29" x14ac:dyDescent="0.35">
      <c r="B566" s="219"/>
      <c r="C566" s="216" t="s">
        <v>1052</v>
      </c>
      <c r="D566" s="216"/>
      <c r="E566" s="220"/>
      <c r="F566" s="220"/>
      <c r="G566" s="220"/>
      <c r="H566" s="220" t="str">
        <f t="shared" si="68"/>
        <v/>
      </c>
      <c r="I566" s="460"/>
      <c r="J566" s="460"/>
      <c r="K566" s="460"/>
      <c r="L566" s="460"/>
      <c r="M566" s="460"/>
      <c r="N566" s="220"/>
      <c r="O566" s="220"/>
      <c r="P566" s="220"/>
      <c r="Q566" s="220"/>
      <c r="R566" s="221"/>
      <c r="S566" s="221"/>
      <c r="T566" s="316">
        <f t="shared" si="69"/>
        <v>0</v>
      </c>
      <c r="U566" s="217">
        <f t="shared" si="70"/>
        <v>0</v>
      </c>
      <c r="X566" s="26" t="str">
        <f t="shared" si="71"/>
        <v/>
      </c>
      <c r="Y566" s="21" t="str">
        <f>IF(MATCH(X566,X$300:$X567,0),"Si",1)</f>
        <v>Si</v>
      </c>
      <c r="Z566" s="26">
        <f t="shared" si="72"/>
        <v>0</v>
      </c>
      <c r="AA566" s="26">
        <f t="shared" si="73"/>
        <v>0</v>
      </c>
      <c r="AB566" s="26" t="str">
        <f t="shared" si="74"/>
        <v/>
      </c>
      <c r="AC566" s="26" t="str">
        <f>IF(MATCH(AB566,AB$300:$AB567,0),"0",1)</f>
        <v>0</v>
      </c>
    </row>
    <row r="567" spans="2:29" x14ac:dyDescent="0.35">
      <c r="B567" s="219"/>
      <c r="C567" s="216" t="s">
        <v>1053</v>
      </c>
      <c r="D567" s="216"/>
      <c r="E567" s="220"/>
      <c r="F567" s="220"/>
      <c r="G567" s="220"/>
      <c r="H567" s="220" t="str">
        <f t="shared" si="68"/>
        <v/>
      </c>
      <c r="I567" s="460"/>
      <c r="J567" s="460"/>
      <c r="K567" s="460"/>
      <c r="L567" s="460"/>
      <c r="M567" s="460"/>
      <c r="N567" s="220"/>
      <c r="O567" s="220"/>
      <c r="P567" s="220"/>
      <c r="Q567" s="220"/>
      <c r="R567" s="221"/>
      <c r="S567" s="221"/>
      <c r="T567" s="316">
        <f t="shared" si="69"/>
        <v>0</v>
      </c>
      <c r="U567" s="217">
        <f t="shared" si="70"/>
        <v>0</v>
      </c>
      <c r="X567" s="26" t="str">
        <f t="shared" si="71"/>
        <v/>
      </c>
      <c r="Y567" s="21" t="str">
        <f>IF(MATCH(X567,X$300:$X568,0),"Si",1)</f>
        <v>Si</v>
      </c>
      <c r="Z567" s="26">
        <f t="shared" si="72"/>
        <v>0</v>
      </c>
      <c r="AA567" s="26">
        <f t="shared" si="73"/>
        <v>0</v>
      </c>
      <c r="AB567" s="26" t="str">
        <f t="shared" si="74"/>
        <v/>
      </c>
      <c r="AC567" s="26" t="str">
        <f>IF(MATCH(AB567,AB$300:$AB568,0),"0",1)</f>
        <v>0</v>
      </c>
    </row>
    <row r="568" spans="2:29" x14ac:dyDescent="0.35">
      <c r="B568" s="219"/>
      <c r="C568" s="216" t="s">
        <v>1054</v>
      </c>
      <c r="D568" s="216"/>
      <c r="E568" s="220"/>
      <c r="F568" s="220"/>
      <c r="G568" s="220"/>
      <c r="H568" s="220" t="str">
        <f t="shared" si="68"/>
        <v/>
      </c>
      <c r="I568" s="460"/>
      <c r="J568" s="460"/>
      <c r="K568" s="460"/>
      <c r="L568" s="460"/>
      <c r="M568" s="460"/>
      <c r="N568" s="220"/>
      <c r="O568" s="220"/>
      <c r="P568" s="220"/>
      <c r="Q568" s="220"/>
      <c r="R568" s="221"/>
      <c r="S568" s="221"/>
      <c r="T568" s="316">
        <f t="shared" si="69"/>
        <v>0</v>
      </c>
      <c r="U568" s="217">
        <f t="shared" si="70"/>
        <v>0</v>
      </c>
      <c r="X568" s="26" t="str">
        <f t="shared" si="71"/>
        <v/>
      </c>
      <c r="Y568" s="21" t="str">
        <f>IF(MATCH(X568,X$300:$X569,0),"Si",1)</f>
        <v>Si</v>
      </c>
      <c r="Z568" s="26">
        <f t="shared" si="72"/>
        <v>0</v>
      </c>
      <c r="AA568" s="26">
        <f t="shared" si="73"/>
        <v>0</v>
      </c>
      <c r="AB568" s="26" t="str">
        <f t="shared" si="74"/>
        <v/>
      </c>
      <c r="AC568" s="26" t="str">
        <f>IF(MATCH(AB568,AB$300:$AB569,0),"0",1)</f>
        <v>0</v>
      </c>
    </row>
    <row r="569" spans="2:29" x14ac:dyDescent="0.35">
      <c r="B569" s="219"/>
      <c r="C569" s="216" t="s">
        <v>1055</v>
      </c>
      <c r="D569" s="216"/>
      <c r="E569" s="220"/>
      <c r="F569" s="220"/>
      <c r="G569" s="220"/>
      <c r="H569" s="220" t="str">
        <f t="shared" si="68"/>
        <v/>
      </c>
      <c r="I569" s="460"/>
      <c r="J569" s="460"/>
      <c r="K569" s="460"/>
      <c r="L569" s="460"/>
      <c r="M569" s="460"/>
      <c r="N569" s="220"/>
      <c r="O569" s="220"/>
      <c r="P569" s="220"/>
      <c r="Q569" s="220"/>
      <c r="R569" s="221"/>
      <c r="S569" s="221"/>
      <c r="T569" s="316">
        <f t="shared" si="69"/>
        <v>0</v>
      </c>
      <c r="U569" s="217">
        <f t="shared" si="70"/>
        <v>0</v>
      </c>
      <c r="X569" s="26" t="str">
        <f t="shared" si="71"/>
        <v/>
      </c>
      <c r="Y569" s="21" t="str">
        <f>IF(MATCH(X569,X$300:$X570,0),"Si",1)</f>
        <v>Si</v>
      </c>
      <c r="Z569" s="26">
        <f t="shared" si="72"/>
        <v>0</v>
      </c>
      <c r="AA569" s="26">
        <f t="shared" si="73"/>
        <v>0</v>
      </c>
      <c r="AB569" s="26" t="str">
        <f t="shared" si="74"/>
        <v/>
      </c>
      <c r="AC569" s="26" t="str">
        <f>IF(MATCH(AB569,AB$300:$AB570,0),"0",1)</f>
        <v>0</v>
      </c>
    </row>
    <row r="570" spans="2:29" x14ac:dyDescent="0.35">
      <c r="B570" s="219"/>
      <c r="C570" s="216" t="s">
        <v>1056</v>
      </c>
      <c r="D570" s="216"/>
      <c r="E570" s="220"/>
      <c r="F570" s="220"/>
      <c r="G570" s="220"/>
      <c r="H570" s="220" t="str">
        <f t="shared" si="68"/>
        <v/>
      </c>
      <c r="I570" s="460"/>
      <c r="J570" s="460"/>
      <c r="K570" s="460"/>
      <c r="L570" s="460"/>
      <c r="M570" s="460"/>
      <c r="N570" s="220"/>
      <c r="O570" s="220"/>
      <c r="P570" s="220"/>
      <c r="Q570" s="220"/>
      <c r="R570" s="221"/>
      <c r="S570" s="221"/>
      <c r="T570" s="316">
        <f t="shared" si="69"/>
        <v>0</v>
      </c>
      <c r="U570" s="217">
        <f t="shared" si="70"/>
        <v>0</v>
      </c>
      <c r="X570" s="26" t="str">
        <f t="shared" si="71"/>
        <v/>
      </c>
      <c r="Y570" s="21" t="str">
        <f>IF(MATCH(X570,X$300:$X571,0),"Si",1)</f>
        <v>Si</v>
      </c>
      <c r="Z570" s="26">
        <f t="shared" si="72"/>
        <v>0</v>
      </c>
      <c r="AA570" s="26">
        <f t="shared" si="73"/>
        <v>0</v>
      </c>
      <c r="AB570" s="26" t="str">
        <f t="shared" si="74"/>
        <v/>
      </c>
      <c r="AC570" s="26" t="str">
        <f>IF(MATCH(AB570,AB$300:$AB571,0),"0",1)</f>
        <v>0</v>
      </c>
    </row>
    <row r="571" spans="2:29" x14ac:dyDescent="0.35">
      <c r="B571" s="219"/>
      <c r="C571" s="216" t="s">
        <v>1057</v>
      </c>
      <c r="D571" s="216"/>
      <c r="E571" s="220"/>
      <c r="F571" s="220"/>
      <c r="G571" s="220"/>
      <c r="H571" s="220" t="str">
        <f t="shared" si="68"/>
        <v/>
      </c>
      <c r="I571" s="460"/>
      <c r="J571" s="460"/>
      <c r="K571" s="460"/>
      <c r="L571" s="460"/>
      <c r="M571" s="460"/>
      <c r="N571" s="220"/>
      <c r="O571" s="220"/>
      <c r="P571" s="220"/>
      <c r="Q571" s="220"/>
      <c r="R571" s="221"/>
      <c r="S571" s="221"/>
      <c r="T571" s="316">
        <f t="shared" si="69"/>
        <v>0</v>
      </c>
      <c r="U571" s="217">
        <f t="shared" si="70"/>
        <v>0</v>
      </c>
      <c r="X571" s="26" t="str">
        <f t="shared" si="71"/>
        <v/>
      </c>
      <c r="Y571" s="21" t="str">
        <f>IF(MATCH(X571,X$300:$X572,0),"Si",1)</f>
        <v>Si</v>
      </c>
      <c r="Z571" s="26">
        <f t="shared" si="72"/>
        <v>0</v>
      </c>
      <c r="AA571" s="26">
        <f t="shared" si="73"/>
        <v>0</v>
      </c>
      <c r="AB571" s="26" t="str">
        <f t="shared" si="74"/>
        <v/>
      </c>
      <c r="AC571" s="26" t="str">
        <f>IF(MATCH(AB571,AB$300:$AB572,0),"0",1)</f>
        <v>0</v>
      </c>
    </row>
    <row r="572" spans="2:29" x14ac:dyDescent="0.35">
      <c r="B572" s="219"/>
      <c r="C572" s="216" t="s">
        <v>1058</v>
      </c>
      <c r="D572" s="216"/>
      <c r="E572" s="220"/>
      <c r="F572" s="220"/>
      <c r="G572" s="220"/>
      <c r="H572" s="220" t="str">
        <f t="shared" si="68"/>
        <v/>
      </c>
      <c r="I572" s="460"/>
      <c r="J572" s="460"/>
      <c r="K572" s="460"/>
      <c r="L572" s="460"/>
      <c r="M572" s="460"/>
      <c r="N572" s="220"/>
      <c r="O572" s="220"/>
      <c r="P572" s="220"/>
      <c r="Q572" s="220"/>
      <c r="R572" s="221"/>
      <c r="S572" s="221"/>
      <c r="T572" s="316">
        <f t="shared" si="69"/>
        <v>0</v>
      </c>
      <c r="U572" s="217">
        <f t="shared" si="70"/>
        <v>0</v>
      </c>
      <c r="X572" s="26" t="str">
        <f t="shared" si="71"/>
        <v/>
      </c>
      <c r="Y572" s="21" t="str">
        <f>IF(MATCH(X572,X$300:$X573,0),"Si",1)</f>
        <v>Si</v>
      </c>
      <c r="Z572" s="26">
        <f t="shared" si="72"/>
        <v>0</v>
      </c>
      <c r="AA572" s="26">
        <f t="shared" si="73"/>
        <v>0</v>
      </c>
      <c r="AB572" s="26" t="str">
        <f t="shared" si="74"/>
        <v/>
      </c>
      <c r="AC572" s="26" t="str">
        <f>IF(MATCH(AB572,AB$300:$AB573,0),"0",1)</f>
        <v>0</v>
      </c>
    </row>
    <row r="573" spans="2:29" x14ac:dyDescent="0.35">
      <c r="B573" s="219"/>
      <c r="C573" s="216" t="s">
        <v>1059</v>
      </c>
      <c r="D573" s="216"/>
      <c r="E573" s="220"/>
      <c r="F573" s="220"/>
      <c r="G573" s="220"/>
      <c r="H573" s="220" t="str">
        <f t="shared" si="68"/>
        <v/>
      </c>
      <c r="I573" s="460"/>
      <c r="J573" s="460"/>
      <c r="K573" s="460"/>
      <c r="L573" s="460"/>
      <c r="M573" s="460"/>
      <c r="N573" s="220"/>
      <c r="O573" s="220"/>
      <c r="P573" s="220"/>
      <c r="Q573" s="220"/>
      <c r="R573" s="221"/>
      <c r="S573" s="221"/>
      <c r="T573" s="316">
        <f t="shared" si="69"/>
        <v>0</v>
      </c>
      <c r="U573" s="217">
        <f t="shared" si="70"/>
        <v>0</v>
      </c>
      <c r="X573" s="26" t="str">
        <f t="shared" si="71"/>
        <v/>
      </c>
      <c r="Y573" s="21" t="str">
        <f>IF(MATCH(X573,X$300:$X574,0),"Si",1)</f>
        <v>Si</v>
      </c>
      <c r="Z573" s="26">
        <f t="shared" si="72"/>
        <v>0</v>
      </c>
      <c r="AA573" s="26">
        <f t="shared" si="73"/>
        <v>0</v>
      </c>
      <c r="AB573" s="26" t="str">
        <f t="shared" si="74"/>
        <v/>
      </c>
      <c r="AC573" s="26" t="str">
        <f>IF(MATCH(AB573,AB$300:$AB574,0),"0",1)</f>
        <v>0</v>
      </c>
    </row>
    <row r="574" spans="2:29" x14ac:dyDescent="0.35">
      <c r="B574" s="219"/>
      <c r="C574" s="216" t="s">
        <v>1060</v>
      </c>
      <c r="D574" s="216"/>
      <c r="E574" s="220"/>
      <c r="F574" s="220"/>
      <c r="G574" s="220"/>
      <c r="H574" s="220" t="str">
        <f t="shared" si="68"/>
        <v/>
      </c>
      <c r="I574" s="460"/>
      <c r="J574" s="460"/>
      <c r="K574" s="460"/>
      <c r="L574" s="460"/>
      <c r="M574" s="460"/>
      <c r="N574" s="220"/>
      <c r="O574" s="220"/>
      <c r="P574" s="220"/>
      <c r="Q574" s="220"/>
      <c r="R574" s="221"/>
      <c r="S574" s="221"/>
      <c r="T574" s="316">
        <f t="shared" si="69"/>
        <v>0</v>
      </c>
      <c r="U574" s="217">
        <f t="shared" si="70"/>
        <v>0</v>
      </c>
      <c r="X574" s="26" t="str">
        <f t="shared" si="71"/>
        <v/>
      </c>
      <c r="Y574" s="21" t="str">
        <f>IF(MATCH(X574,X$300:$X575,0),"Si",1)</f>
        <v>Si</v>
      </c>
      <c r="Z574" s="26">
        <f t="shared" si="72"/>
        <v>0</v>
      </c>
      <c r="AA574" s="26">
        <f t="shared" si="73"/>
        <v>0</v>
      </c>
      <c r="AB574" s="26" t="str">
        <f t="shared" si="74"/>
        <v/>
      </c>
      <c r="AC574" s="26" t="str">
        <f>IF(MATCH(AB574,AB$300:$AB575,0),"0",1)</f>
        <v>0</v>
      </c>
    </row>
    <row r="575" spans="2:29" x14ac:dyDescent="0.35">
      <c r="B575" s="219"/>
      <c r="C575" s="216" t="s">
        <v>1061</v>
      </c>
      <c r="D575" s="216"/>
      <c r="E575" s="220"/>
      <c r="F575" s="220"/>
      <c r="G575" s="220"/>
      <c r="H575" s="220" t="str">
        <f t="shared" si="68"/>
        <v/>
      </c>
      <c r="I575" s="460"/>
      <c r="J575" s="460"/>
      <c r="K575" s="460"/>
      <c r="L575" s="460"/>
      <c r="M575" s="460"/>
      <c r="N575" s="220"/>
      <c r="O575" s="220"/>
      <c r="P575" s="220"/>
      <c r="Q575" s="220"/>
      <c r="R575" s="221"/>
      <c r="S575" s="221"/>
      <c r="T575" s="316">
        <f t="shared" si="69"/>
        <v>0</v>
      </c>
      <c r="U575" s="217">
        <f t="shared" si="70"/>
        <v>0</v>
      </c>
      <c r="X575" s="26" t="str">
        <f t="shared" si="71"/>
        <v/>
      </c>
      <c r="Y575" s="21" t="str">
        <f>IF(MATCH(X575,X$300:$X576,0),"Si",1)</f>
        <v>Si</v>
      </c>
      <c r="Z575" s="26">
        <f t="shared" si="72"/>
        <v>0</v>
      </c>
      <c r="AA575" s="26">
        <f t="shared" si="73"/>
        <v>0</v>
      </c>
      <c r="AB575" s="26" t="str">
        <f t="shared" si="74"/>
        <v/>
      </c>
      <c r="AC575" s="26" t="str">
        <f>IF(MATCH(AB575,AB$300:$AB576,0),"0",1)</f>
        <v>0</v>
      </c>
    </row>
    <row r="576" spans="2:29" x14ac:dyDescent="0.35">
      <c r="B576" s="219"/>
      <c r="C576" s="216" t="s">
        <v>1062</v>
      </c>
      <c r="D576" s="216"/>
      <c r="E576" s="220"/>
      <c r="F576" s="220"/>
      <c r="G576" s="220"/>
      <c r="H576" s="220" t="str">
        <f t="shared" si="68"/>
        <v/>
      </c>
      <c r="I576" s="460"/>
      <c r="J576" s="460"/>
      <c r="K576" s="460"/>
      <c r="L576" s="460"/>
      <c r="M576" s="460"/>
      <c r="N576" s="220"/>
      <c r="O576" s="220"/>
      <c r="P576" s="220"/>
      <c r="Q576" s="220"/>
      <c r="R576" s="221"/>
      <c r="S576" s="221"/>
      <c r="T576" s="316">
        <f t="shared" si="69"/>
        <v>0</v>
      </c>
      <c r="U576" s="217">
        <f t="shared" si="70"/>
        <v>0</v>
      </c>
      <c r="X576" s="26" t="str">
        <f t="shared" si="71"/>
        <v/>
      </c>
      <c r="Y576" s="21" t="str">
        <f>IF(MATCH(X576,X$300:$X577,0),"Si",1)</f>
        <v>Si</v>
      </c>
      <c r="Z576" s="26">
        <f t="shared" si="72"/>
        <v>0</v>
      </c>
      <c r="AA576" s="26">
        <f t="shared" si="73"/>
        <v>0</v>
      </c>
      <c r="AB576" s="26" t="str">
        <f t="shared" si="74"/>
        <v/>
      </c>
      <c r="AC576" s="26" t="str">
        <f>IF(MATCH(AB576,AB$300:$AB577,0),"0",1)</f>
        <v>0</v>
      </c>
    </row>
    <row r="577" spans="2:29" x14ac:dyDescent="0.35">
      <c r="B577" s="219"/>
      <c r="C577" s="216" t="s">
        <v>1063</v>
      </c>
      <c r="D577" s="216"/>
      <c r="E577" s="220"/>
      <c r="F577" s="220"/>
      <c r="G577" s="220"/>
      <c r="H577" s="220" t="str">
        <f t="shared" si="68"/>
        <v/>
      </c>
      <c r="I577" s="460"/>
      <c r="J577" s="460"/>
      <c r="K577" s="460"/>
      <c r="L577" s="460"/>
      <c r="M577" s="460"/>
      <c r="N577" s="220"/>
      <c r="O577" s="220"/>
      <c r="P577" s="220"/>
      <c r="Q577" s="220"/>
      <c r="R577" s="221"/>
      <c r="S577" s="221"/>
      <c r="T577" s="316">
        <f t="shared" si="69"/>
        <v>0</v>
      </c>
      <c r="U577" s="217">
        <f t="shared" si="70"/>
        <v>0</v>
      </c>
      <c r="X577" s="26" t="str">
        <f t="shared" si="71"/>
        <v/>
      </c>
      <c r="Y577" s="21" t="str">
        <f>IF(MATCH(X577,X$300:$X578,0),"Si",1)</f>
        <v>Si</v>
      </c>
      <c r="Z577" s="26">
        <f t="shared" si="72"/>
        <v>0</v>
      </c>
      <c r="AA577" s="26">
        <f t="shared" si="73"/>
        <v>0</v>
      </c>
      <c r="AB577" s="26" t="str">
        <f t="shared" si="74"/>
        <v/>
      </c>
      <c r="AC577" s="26" t="str">
        <f>IF(MATCH(AB577,AB$300:$AB578,0),"0",1)</f>
        <v>0</v>
      </c>
    </row>
    <row r="578" spans="2:29" x14ac:dyDescent="0.35">
      <c r="B578" s="219"/>
      <c r="C578" s="216" t="s">
        <v>1064</v>
      </c>
      <c r="D578" s="216"/>
      <c r="E578" s="220"/>
      <c r="F578" s="220"/>
      <c r="G578" s="220"/>
      <c r="H578" s="220" t="str">
        <f t="shared" si="68"/>
        <v/>
      </c>
      <c r="I578" s="460"/>
      <c r="J578" s="460"/>
      <c r="K578" s="460"/>
      <c r="L578" s="460"/>
      <c r="M578" s="460"/>
      <c r="N578" s="220"/>
      <c r="O578" s="220"/>
      <c r="P578" s="220"/>
      <c r="Q578" s="220"/>
      <c r="R578" s="221"/>
      <c r="S578" s="221"/>
      <c r="T578" s="316">
        <f t="shared" si="69"/>
        <v>0</v>
      </c>
      <c r="U578" s="217">
        <f t="shared" si="70"/>
        <v>0</v>
      </c>
      <c r="X578" s="26" t="str">
        <f t="shared" si="71"/>
        <v/>
      </c>
      <c r="Y578" s="21" t="str">
        <f>IF(MATCH(X578,X$300:$X579,0),"Si",1)</f>
        <v>Si</v>
      </c>
      <c r="Z578" s="26">
        <f t="shared" si="72"/>
        <v>0</v>
      </c>
      <c r="AA578" s="26">
        <f t="shared" si="73"/>
        <v>0</v>
      </c>
      <c r="AB578" s="26" t="str">
        <f t="shared" si="74"/>
        <v/>
      </c>
      <c r="AC578" s="26" t="str">
        <f>IF(MATCH(AB578,AB$300:$AB579,0),"0",1)</f>
        <v>0</v>
      </c>
    </row>
    <row r="579" spans="2:29" x14ac:dyDescent="0.35">
      <c r="B579" s="219"/>
      <c r="C579" s="216" t="s">
        <v>1065</v>
      </c>
      <c r="D579" s="216"/>
      <c r="E579" s="220"/>
      <c r="F579" s="220"/>
      <c r="G579" s="220"/>
      <c r="H579" s="220" t="str">
        <f t="shared" si="68"/>
        <v/>
      </c>
      <c r="I579" s="460"/>
      <c r="J579" s="460"/>
      <c r="K579" s="460"/>
      <c r="L579" s="460"/>
      <c r="M579" s="460"/>
      <c r="N579" s="220"/>
      <c r="O579" s="220"/>
      <c r="P579" s="220"/>
      <c r="Q579" s="220"/>
      <c r="R579" s="221"/>
      <c r="S579" s="221"/>
      <c r="T579" s="316">
        <f t="shared" si="69"/>
        <v>0</v>
      </c>
      <c r="U579" s="217">
        <f t="shared" si="70"/>
        <v>0</v>
      </c>
      <c r="X579" s="26" t="str">
        <f t="shared" si="71"/>
        <v/>
      </c>
      <c r="Y579" s="21" t="str">
        <f>IF(MATCH(X579,X$300:$X580,0),"Si",1)</f>
        <v>Si</v>
      </c>
      <c r="Z579" s="26">
        <f t="shared" si="72"/>
        <v>0</v>
      </c>
      <c r="AA579" s="26">
        <f t="shared" si="73"/>
        <v>0</v>
      </c>
      <c r="AB579" s="26" t="str">
        <f t="shared" si="74"/>
        <v/>
      </c>
      <c r="AC579" s="26" t="str">
        <f>IF(MATCH(AB579,AB$300:$AB580,0),"0",1)</f>
        <v>0</v>
      </c>
    </row>
    <row r="580" spans="2:29" x14ac:dyDescent="0.35">
      <c r="B580" s="219"/>
      <c r="C580" s="216" t="s">
        <v>1066</v>
      </c>
      <c r="D580" s="216"/>
      <c r="E580" s="220"/>
      <c r="F580" s="220"/>
      <c r="G580" s="220"/>
      <c r="H580" s="220" t="str">
        <f t="shared" si="68"/>
        <v/>
      </c>
      <c r="I580" s="460"/>
      <c r="J580" s="460"/>
      <c r="K580" s="460"/>
      <c r="L580" s="460"/>
      <c r="M580" s="460"/>
      <c r="N580" s="220"/>
      <c r="O580" s="220"/>
      <c r="P580" s="220"/>
      <c r="Q580" s="220"/>
      <c r="R580" s="221"/>
      <c r="S580" s="221"/>
      <c r="T580" s="316">
        <f t="shared" si="69"/>
        <v>0</v>
      </c>
      <c r="U580" s="217">
        <f t="shared" si="70"/>
        <v>0</v>
      </c>
      <c r="X580" s="26" t="str">
        <f t="shared" si="71"/>
        <v/>
      </c>
      <c r="Y580" s="21" t="str">
        <f>IF(MATCH(X580,X$300:$X581,0),"Si",1)</f>
        <v>Si</v>
      </c>
      <c r="Z580" s="26">
        <f t="shared" si="72"/>
        <v>0</v>
      </c>
      <c r="AA580" s="26">
        <f t="shared" si="73"/>
        <v>0</v>
      </c>
      <c r="AB580" s="26" t="str">
        <f t="shared" si="74"/>
        <v/>
      </c>
      <c r="AC580" s="26" t="str">
        <f>IF(MATCH(AB580,AB$300:$AB581,0),"0",1)</f>
        <v>0</v>
      </c>
    </row>
    <row r="581" spans="2:29" x14ac:dyDescent="0.35">
      <c r="B581" s="219"/>
      <c r="C581" s="216" t="s">
        <v>1067</v>
      </c>
      <c r="D581" s="216"/>
      <c r="E581" s="220"/>
      <c r="F581" s="220"/>
      <c r="G581" s="220"/>
      <c r="H581" s="220" t="str">
        <f t="shared" si="68"/>
        <v/>
      </c>
      <c r="I581" s="460"/>
      <c r="J581" s="460"/>
      <c r="K581" s="460"/>
      <c r="L581" s="460"/>
      <c r="M581" s="460"/>
      <c r="N581" s="220"/>
      <c r="O581" s="220"/>
      <c r="P581" s="220"/>
      <c r="Q581" s="220"/>
      <c r="R581" s="221"/>
      <c r="S581" s="221"/>
      <c r="T581" s="316">
        <f t="shared" si="69"/>
        <v>0</v>
      </c>
      <c r="U581" s="217">
        <f t="shared" si="70"/>
        <v>0</v>
      </c>
      <c r="X581" s="26" t="str">
        <f t="shared" si="71"/>
        <v/>
      </c>
      <c r="Y581" s="21" t="str">
        <f>IF(MATCH(X581,X$300:$X582,0),"Si",1)</f>
        <v>Si</v>
      </c>
      <c r="Z581" s="26">
        <f t="shared" si="72"/>
        <v>0</v>
      </c>
      <c r="AA581" s="26">
        <f t="shared" si="73"/>
        <v>0</v>
      </c>
      <c r="AB581" s="26" t="str">
        <f t="shared" si="74"/>
        <v/>
      </c>
      <c r="AC581" s="26" t="str">
        <f>IF(MATCH(AB581,AB$300:$AB582,0),"0",1)</f>
        <v>0</v>
      </c>
    </row>
    <row r="582" spans="2:29" x14ac:dyDescent="0.35">
      <c r="B582" s="219"/>
      <c r="C582" s="216" t="s">
        <v>1068</v>
      </c>
      <c r="D582" s="216"/>
      <c r="E582" s="220"/>
      <c r="F582" s="220"/>
      <c r="G582" s="220"/>
      <c r="H582" s="220" t="str">
        <f t="shared" si="68"/>
        <v/>
      </c>
      <c r="I582" s="460"/>
      <c r="J582" s="460"/>
      <c r="K582" s="460"/>
      <c r="L582" s="460"/>
      <c r="M582" s="460"/>
      <c r="N582" s="220"/>
      <c r="O582" s="220"/>
      <c r="P582" s="220"/>
      <c r="Q582" s="220"/>
      <c r="R582" s="221"/>
      <c r="S582" s="221"/>
      <c r="T582" s="316">
        <f t="shared" si="69"/>
        <v>0</v>
      </c>
      <c r="U582" s="217">
        <f t="shared" si="70"/>
        <v>0</v>
      </c>
      <c r="X582" s="26" t="str">
        <f t="shared" si="71"/>
        <v/>
      </c>
      <c r="Y582" s="21" t="str">
        <f>IF(MATCH(X582,X$300:$X583,0),"Si",1)</f>
        <v>Si</v>
      </c>
      <c r="Z582" s="26">
        <f t="shared" si="72"/>
        <v>0</v>
      </c>
      <c r="AA582" s="26">
        <f t="shared" si="73"/>
        <v>0</v>
      </c>
      <c r="AB582" s="26" t="str">
        <f t="shared" si="74"/>
        <v/>
      </c>
      <c r="AC582" s="26" t="str">
        <f>IF(MATCH(AB582,AB$300:$AB583,0),"0",1)</f>
        <v>0</v>
      </c>
    </row>
    <row r="583" spans="2:29" x14ac:dyDescent="0.35">
      <c r="B583" s="219"/>
      <c r="C583" s="216" t="s">
        <v>1069</v>
      </c>
      <c r="D583" s="216"/>
      <c r="E583" s="220"/>
      <c r="F583" s="220"/>
      <c r="G583" s="220"/>
      <c r="H583" s="220" t="str">
        <f t="shared" si="68"/>
        <v/>
      </c>
      <c r="I583" s="460"/>
      <c r="J583" s="460"/>
      <c r="K583" s="460"/>
      <c r="L583" s="460"/>
      <c r="M583" s="460"/>
      <c r="N583" s="220"/>
      <c r="O583" s="220"/>
      <c r="P583" s="220"/>
      <c r="Q583" s="220"/>
      <c r="R583" s="221"/>
      <c r="S583" s="221"/>
      <c r="T583" s="316">
        <f t="shared" si="69"/>
        <v>0</v>
      </c>
      <c r="U583" s="217">
        <f t="shared" si="70"/>
        <v>0</v>
      </c>
      <c r="X583" s="26" t="str">
        <f t="shared" si="71"/>
        <v/>
      </c>
      <c r="Y583" s="21" t="str">
        <f>IF(MATCH(X583,X$300:$X584,0),"Si",1)</f>
        <v>Si</v>
      </c>
      <c r="Z583" s="26">
        <f t="shared" si="72"/>
        <v>0</v>
      </c>
      <c r="AA583" s="26">
        <f t="shared" si="73"/>
        <v>0</v>
      </c>
      <c r="AB583" s="26" t="str">
        <f t="shared" si="74"/>
        <v/>
      </c>
      <c r="AC583" s="26" t="str">
        <f>IF(MATCH(AB583,AB$300:$AB584,0),"0",1)</f>
        <v>0</v>
      </c>
    </row>
    <row r="584" spans="2:29" x14ac:dyDescent="0.35">
      <c r="B584" s="219"/>
      <c r="C584" s="216" t="s">
        <v>1070</v>
      </c>
      <c r="D584" s="216"/>
      <c r="E584" s="220"/>
      <c r="F584" s="220"/>
      <c r="G584" s="220"/>
      <c r="H584" s="220" t="str">
        <f t="shared" si="68"/>
        <v/>
      </c>
      <c r="I584" s="460"/>
      <c r="J584" s="460"/>
      <c r="K584" s="460"/>
      <c r="L584" s="460"/>
      <c r="M584" s="460"/>
      <c r="N584" s="220"/>
      <c r="O584" s="220"/>
      <c r="P584" s="220"/>
      <c r="Q584" s="220"/>
      <c r="R584" s="221"/>
      <c r="S584" s="221"/>
      <c r="T584" s="316">
        <f t="shared" si="69"/>
        <v>0</v>
      </c>
      <c r="U584" s="217">
        <f t="shared" si="70"/>
        <v>0</v>
      </c>
      <c r="X584" s="26" t="str">
        <f t="shared" si="71"/>
        <v/>
      </c>
      <c r="Y584" s="21" t="str">
        <f>IF(MATCH(X584,X$300:$X585,0),"Si",1)</f>
        <v>Si</v>
      </c>
      <c r="Z584" s="26">
        <f t="shared" si="72"/>
        <v>0</v>
      </c>
      <c r="AA584" s="26">
        <f t="shared" si="73"/>
        <v>0</v>
      </c>
      <c r="AB584" s="26" t="str">
        <f t="shared" si="74"/>
        <v/>
      </c>
      <c r="AC584" s="26" t="str">
        <f>IF(MATCH(AB584,AB$300:$AB585,0),"0",1)</f>
        <v>0</v>
      </c>
    </row>
    <row r="585" spans="2:29" x14ac:dyDescent="0.35">
      <c r="B585" s="219"/>
      <c r="C585" s="216" t="s">
        <v>1071</v>
      </c>
      <c r="D585" s="216"/>
      <c r="E585" s="220"/>
      <c r="F585" s="220"/>
      <c r="G585" s="220"/>
      <c r="H585" s="220" t="str">
        <f t="shared" si="68"/>
        <v/>
      </c>
      <c r="I585" s="460"/>
      <c r="J585" s="460"/>
      <c r="K585" s="460"/>
      <c r="L585" s="460"/>
      <c r="M585" s="460"/>
      <c r="N585" s="220"/>
      <c r="O585" s="220"/>
      <c r="P585" s="220"/>
      <c r="Q585" s="220"/>
      <c r="R585" s="221"/>
      <c r="S585" s="221"/>
      <c r="T585" s="316">
        <f t="shared" si="69"/>
        <v>0</v>
      </c>
      <c r="U585" s="217">
        <f t="shared" si="70"/>
        <v>0</v>
      </c>
      <c r="X585" s="26" t="str">
        <f t="shared" si="71"/>
        <v/>
      </c>
      <c r="Y585" s="21" t="str">
        <f>IF(MATCH(X585,X$300:$X586,0),"Si",1)</f>
        <v>Si</v>
      </c>
      <c r="Z585" s="26">
        <f t="shared" si="72"/>
        <v>0</v>
      </c>
      <c r="AA585" s="26">
        <f t="shared" si="73"/>
        <v>0</v>
      </c>
      <c r="AB585" s="26" t="str">
        <f t="shared" si="74"/>
        <v/>
      </c>
      <c r="AC585" s="26" t="str">
        <f>IF(MATCH(AB585,AB$300:$AB586,0),"0",1)</f>
        <v>0</v>
      </c>
    </row>
    <row r="586" spans="2:29" x14ac:dyDescent="0.35">
      <c r="B586" s="219"/>
      <c r="C586" s="216" t="s">
        <v>1072</v>
      </c>
      <c r="D586" s="216"/>
      <c r="E586" s="220"/>
      <c r="F586" s="220"/>
      <c r="G586" s="220"/>
      <c r="H586" s="220" t="str">
        <f t="shared" si="68"/>
        <v/>
      </c>
      <c r="I586" s="460"/>
      <c r="J586" s="460"/>
      <c r="K586" s="460"/>
      <c r="L586" s="460"/>
      <c r="M586" s="460"/>
      <c r="N586" s="220"/>
      <c r="O586" s="220"/>
      <c r="P586" s="220"/>
      <c r="Q586" s="220"/>
      <c r="R586" s="221"/>
      <c r="S586" s="221"/>
      <c r="T586" s="316">
        <f t="shared" si="69"/>
        <v>0</v>
      </c>
      <c r="U586" s="217">
        <f t="shared" si="70"/>
        <v>0</v>
      </c>
      <c r="X586" s="26" t="str">
        <f t="shared" si="71"/>
        <v/>
      </c>
      <c r="Y586" s="21" t="str">
        <f>IF(MATCH(X586,X$300:$X587,0),"Si",1)</f>
        <v>Si</v>
      </c>
      <c r="Z586" s="26">
        <f t="shared" si="72"/>
        <v>0</v>
      </c>
      <c r="AA586" s="26">
        <f t="shared" si="73"/>
        <v>0</v>
      </c>
      <c r="AB586" s="26" t="str">
        <f t="shared" si="74"/>
        <v/>
      </c>
      <c r="AC586" s="26" t="str">
        <f>IF(MATCH(AB586,AB$300:$AB587,0),"0",1)</f>
        <v>0</v>
      </c>
    </row>
    <row r="587" spans="2:29" x14ac:dyDescent="0.35">
      <c r="B587" s="219"/>
      <c r="C587" s="216" t="s">
        <v>1073</v>
      </c>
      <c r="D587" s="216"/>
      <c r="E587" s="220"/>
      <c r="F587" s="220"/>
      <c r="G587" s="220"/>
      <c r="H587" s="220" t="str">
        <f t="shared" si="68"/>
        <v/>
      </c>
      <c r="I587" s="460"/>
      <c r="J587" s="460"/>
      <c r="K587" s="460"/>
      <c r="L587" s="460"/>
      <c r="M587" s="460"/>
      <c r="N587" s="220"/>
      <c r="O587" s="220"/>
      <c r="P587" s="220"/>
      <c r="Q587" s="220"/>
      <c r="R587" s="221"/>
      <c r="S587" s="221"/>
      <c r="T587" s="316">
        <f t="shared" si="69"/>
        <v>0</v>
      </c>
      <c r="U587" s="217">
        <f t="shared" si="70"/>
        <v>0</v>
      </c>
      <c r="X587" s="26" t="str">
        <f t="shared" si="71"/>
        <v/>
      </c>
      <c r="Y587" s="21" t="str">
        <f>IF(MATCH(X587,X$300:$X588,0),"Si",1)</f>
        <v>Si</v>
      </c>
      <c r="Z587" s="26">
        <f t="shared" si="72"/>
        <v>0</v>
      </c>
      <c r="AA587" s="26">
        <f t="shared" si="73"/>
        <v>0</v>
      </c>
      <c r="AB587" s="26" t="str">
        <f t="shared" si="74"/>
        <v/>
      </c>
      <c r="AC587" s="26" t="str">
        <f>IF(MATCH(AB587,AB$300:$AB588,0),"0",1)</f>
        <v>0</v>
      </c>
    </row>
    <row r="588" spans="2:29" x14ac:dyDescent="0.35">
      <c r="B588" s="219"/>
      <c r="C588" s="216" t="s">
        <v>1074</v>
      </c>
      <c r="D588" s="216"/>
      <c r="E588" s="220"/>
      <c r="F588" s="220"/>
      <c r="G588" s="220"/>
      <c r="H588" s="220" t="str">
        <f t="shared" si="68"/>
        <v/>
      </c>
      <c r="I588" s="460"/>
      <c r="J588" s="460"/>
      <c r="K588" s="460"/>
      <c r="L588" s="460"/>
      <c r="M588" s="460"/>
      <c r="N588" s="220"/>
      <c r="O588" s="220"/>
      <c r="P588" s="220"/>
      <c r="Q588" s="220"/>
      <c r="R588" s="221"/>
      <c r="S588" s="221"/>
      <c r="T588" s="316">
        <f t="shared" si="69"/>
        <v>0</v>
      </c>
      <c r="U588" s="217">
        <f t="shared" si="70"/>
        <v>0</v>
      </c>
      <c r="X588" s="26" t="str">
        <f t="shared" si="71"/>
        <v/>
      </c>
      <c r="Y588" s="21" t="str">
        <f>IF(MATCH(X588,X$300:$X589,0),"Si",1)</f>
        <v>Si</v>
      </c>
      <c r="Z588" s="26">
        <f t="shared" si="72"/>
        <v>0</v>
      </c>
      <c r="AA588" s="26">
        <f t="shared" si="73"/>
        <v>0</v>
      </c>
      <c r="AB588" s="26" t="str">
        <f t="shared" si="74"/>
        <v/>
      </c>
      <c r="AC588" s="26" t="str">
        <f>IF(MATCH(AB588,AB$300:$AB589,0),"0",1)</f>
        <v>0</v>
      </c>
    </row>
    <row r="589" spans="2:29" x14ac:dyDescent="0.35">
      <c r="B589" s="219"/>
      <c r="C589" s="216" t="s">
        <v>1075</v>
      </c>
      <c r="D589" s="216"/>
      <c r="E589" s="220"/>
      <c r="F589" s="220"/>
      <c r="G589" s="220"/>
      <c r="H589" s="220" t="str">
        <f t="shared" si="68"/>
        <v/>
      </c>
      <c r="I589" s="460"/>
      <c r="J589" s="460"/>
      <c r="K589" s="460"/>
      <c r="L589" s="460"/>
      <c r="M589" s="460"/>
      <c r="N589" s="220"/>
      <c r="O589" s="220"/>
      <c r="P589" s="220"/>
      <c r="Q589" s="220"/>
      <c r="R589" s="221"/>
      <c r="S589" s="221"/>
      <c r="T589" s="316">
        <f t="shared" si="69"/>
        <v>0</v>
      </c>
      <c r="U589" s="217">
        <f t="shared" si="70"/>
        <v>0</v>
      </c>
      <c r="X589" s="26" t="str">
        <f t="shared" si="71"/>
        <v/>
      </c>
      <c r="Y589" s="21" t="str">
        <f>IF(MATCH(X589,X$300:$X590,0),"Si",1)</f>
        <v>Si</v>
      </c>
      <c r="Z589" s="26">
        <f t="shared" si="72"/>
        <v>0</v>
      </c>
      <c r="AA589" s="26">
        <f t="shared" si="73"/>
        <v>0</v>
      </c>
      <c r="AB589" s="26" t="str">
        <f t="shared" si="74"/>
        <v/>
      </c>
      <c r="AC589" s="26" t="str">
        <f>IF(MATCH(AB589,AB$300:$AB590,0),"0",1)</f>
        <v>0</v>
      </c>
    </row>
    <row r="590" spans="2:29" x14ac:dyDescent="0.35">
      <c r="B590" s="219"/>
      <c r="C590" s="216" t="s">
        <v>1076</v>
      </c>
      <c r="D590" s="216"/>
      <c r="E590" s="220"/>
      <c r="F590" s="220"/>
      <c r="G590" s="220"/>
      <c r="H590" s="220" t="str">
        <f t="shared" si="68"/>
        <v/>
      </c>
      <c r="I590" s="460"/>
      <c r="J590" s="460"/>
      <c r="K590" s="460"/>
      <c r="L590" s="460"/>
      <c r="M590" s="460"/>
      <c r="N590" s="220"/>
      <c r="O590" s="220"/>
      <c r="P590" s="220"/>
      <c r="Q590" s="220"/>
      <c r="R590" s="221"/>
      <c r="S590" s="221"/>
      <c r="T590" s="316">
        <f t="shared" si="69"/>
        <v>0</v>
      </c>
      <c r="U590" s="217">
        <f t="shared" si="70"/>
        <v>0</v>
      </c>
      <c r="X590" s="26" t="str">
        <f t="shared" si="71"/>
        <v/>
      </c>
      <c r="Y590" s="21" t="str">
        <f>IF(MATCH(X590,X$300:$X591,0),"Si",1)</f>
        <v>Si</v>
      </c>
      <c r="Z590" s="26">
        <f t="shared" si="72"/>
        <v>0</v>
      </c>
      <c r="AA590" s="26">
        <f t="shared" si="73"/>
        <v>0</v>
      </c>
      <c r="AB590" s="26" t="str">
        <f t="shared" si="74"/>
        <v/>
      </c>
      <c r="AC590" s="26" t="str">
        <f>IF(MATCH(AB590,AB$300:$AB591,0),"0",1)</f>
        <v>0</v>
      </c>
    </row>
    <row r="591" spans="2:29" x14ac:dyDescent="0.35">
      <c r="B591" s="219"/>
      <c r="C591" s="216" t="s">
        <v>1077</v>
      </c>
      <c r="D591" s="216"/>
      <c r="E591" s="220"/>
      <c r="F591" s="220"/>
      <c r="G591" s="220"/>
      <c r="H591" s="220" t="str">
        <f t="shared" si="68"/>
        <v/>
      </c>
      <c r="I591" s="460"/>
      <c r="J591" s="460"/>
      <c r="K591" s="460"/>
      <c r="L591" s="460"/>
      <c r="M591" s="460"/>
      <c r="N591" s="220"/>
      <c r="O591" s="220"/>
      <c r="P591" s="220"/>
      <c r="Q591" s="220"/>
      <c r="R591" s="221"/>
      <c r="S591" s="221"/>
      <c r="T591" s="316">
        <f t="shared" si="69"/>
        <v>0</v>
      </c>
      <c r="U591" s="217">
        <f t="shared" si="70"/>
        <v>0</v>
      </c>
      <c r="X591" s="26" t="str">
        <f t="shared" si="71"/>
        <v/>
      </c>
      <c r="Y591" s="21" t="str">
        <f>IF(MATCH(X591,X$300:$X592,0),"Si",1)</f>
        <v>Si</v>
      </c>
      <c r="Z591" s="26">
        <f t="shared" si="72"/>
        <v>0</v>
      </c>
      <c r="AA591" s="26">
        <f t="shared" si="73"/>
        <v>0</v>
      </c>
      <c r="AB591" s="26" t="str">
        <f t="shared" si="74"/>
        <v/>
      </c>
      <c r="AC591" s="26" t="str">
        <f>IF(MATCH(AB591,AB$300:$AB592,0),"0",1)</f>
        <v>0</v>
      </c>
    </row>
    <row r="592" spans="2:29" x14ac:dyDescent="0.35">
      <c r="B592" s="219"/>
      <c r="C592" s="216" t="s">
        <v>1078</v>
      </c>
      <c r="D592" s="216"/>
      <c r="E592" s="220"/>
      <c r="F592" s="220"/>
      <c r="G592" s="220"/>
      <c r="H592" s="220" t="str">
        <f t="shared" si="68"/>
        <v/>
      </c>
      <c r="I592" s="460"/>
      <c r="J592" s="460"/>
      <c r="K592" s="460"/>
      <c r="L592" s="460"/>
      <c r="M592" s="460"/>
      <c r="N592" s="220"/>
      <c r="O592" s="220"/>
      <c r="P592" s="220"/>
      <c r="Q592" s="220"/>
      <c r="R592" s="221"/>
      <c r="S592" s="221"/>
      <c r="T592" s="316">
        <f t="shared" si="69"/>
        <v>0</v>
      </c>
      <c r="U592" s="217">
        <f t="shared" si="70"/>
        <v>0</v>
      </c>
      <c r="X592" s="26" t="str">
        <f t="shared" si="71"/>
        <v/>
      </c>
      <c r="Y592" s="21" t="str">
        <f>IF(MATCH(X592,X$300:$X593,0),"Si",1)</f>
        <v>Si</v>
      </c>
      <c r="Z592" s="26">
        <f t="shared" si="72"/>
        <v>0</v>
      </c>
      <c r="AA592" s="26">
        <f t="shared" si="73"/>
        <v>0</v>
      </c>
      <c r="AB592" s="26" t="str">
        <f t="shared" si="74"/>
        <v/>
      </c>
      <c r="AC592" s="26" t="str">
        <f>IF(MATCH(AB592,AB$300:$AB593,0),"0",1)</f>
        <v>0</v>
      </c>
    </row>
    <row r="593" spans="2:29" x14ac:dyDescent="0.35">
      <c r="B593" s="219"/>
      <c r="C593" s="216" t="s">
        <v>1079</v>
      </c>
      <c r="D593" s="216"/>
      <c r="E593" s="220"/>
      <c r="F593" s="220"/>
      <c r="G593" s="220"/>
      <c r="H593" s="220" t="str">
        <f t="shared" si="68"/>
        <v/>
      </c>
      <c r="I593" s="460"/>
      <c r="J593" s="460"/>
      <c r="K593" s="460"/>
      <c r="L593" s="460"/>
      <c r="M593" s="460"/>
      <c r="N593" s="220"/>
      <c r="O593" s="220"/>
      <c r="P593" s="220"/>
      <c r="Q593" s="220"/>
      <c r="R593" s="221"/>
      <c r="S593" s="221"/>
      <c r="T593" s="316">
        <f t="shared" si="69"/>
        <v>0</v>
      </c>
      <c r="U593" s="217">
        <f t="shared" si="70"/>
        <v>0</v>
      </c>
      <c r="X593" s="26" t="str">
        <f t="shared" si="71"/>
        <v/>
      </c>
      <c r="Y593" s="21" t="str">
        <f>IF(MATCH(X593,X$300:$X594,0),"Si",1)</f>
        <v>Si</v>
      </c>
      <c r="Z593" s="26">
        <f t="shared" si="72"/>
        <v>0</v>
      </c>
      <c r="AA593" s="26">
        <f t="shared" si="73"/>
        <v>0</v>
      </c>
      <c r="AB593" s="26" t="str">
        <f t="shared" si="74"/>
        <v/>
      </c>
      <c r="AC593" s="26" t="str">
        <f>IF(MATCH(AB593,AB$300:$AB594,0),"0",1)</f>
        <v>0</v>
      </c>
    </row>
    <row r="594" spans="2:29" x14ac:dyDescent="0.35">
      <c r="B594" s="219"/>
      <c r="C594" s="216" t="s">
        <v>1080</v>
      </c>
      <c r="D594" s="216"/>
      <c r="E594" s="220"/>
      <c r="F594" s="220"/>
      <c r="G594" s="220"/>
      <c r="H594" s="220" t="str">
        <f t="shared" ref="H594:H657" si="75">IF(G594=0,"",IF(G594&lt;&gt;"Error","No",""))</f>
        <v/>
      </c>
      <c r="I594" s="460"/>
      <c r="J594" s="460"/>
      <c r="K594" s="460"/>
      <c r="L594" s="460"/>
      <c r="M594" s="460"/>
      <c r="N594" s="220"/>
      <c r="O594" s="220"/>
      <c r="P594" s="220"/>
      <c r="Q594" s="220"/>
      <c r="R594" s="221"/>
      <c r="S594" s="221"/>
      <c r="T594" s="316">
        <f t="shared" si="69"/>
        <v>0</v>
      </c>
      <c r="U594" s="217">
        <f t="shared" si="70"/>
        <v>0</v>
      </c>
      <c r="X594" s="26" t="str">
        <f t="shared" si="71"/>
        <v/>
      </c>
      <c r="Y594" s="21" t="str">
        <f>IF(MATCH(X594,X$300:$X595,0),"Si",1)</f>
        <v>Si</v>
      </c>
      <c r="Z594" s="26">
        <f t="shared" si="72"/>
        <v>0</v>
      </c>
      <c r="AA594" s="26">
        <f t="shared" si="73"/>
        <v>0</v>
      </c>
      <c r="AB594" s="26" t="str">
        <f t="shared" si="74"/>
        <v/>
      </c>
      <c r="AC594" s="26" t="str">
        <f>IF(MATCH(AB594,AB$300:$AB595,0),"0",1)</f>
        <v>0</v>
      </c>
    </row>
    <row r="595" spans="2:29" x14ac:dyDescent="0.35">
      <c r="B595" s="219"/>
      <c r="C595" s="216" t="s">
        <v>1081</v>
      </c>
      <c r="D595" s="216"/>
      <c r="E595" s="220"/>
      <c r="F595" s="220"/>
      <c r="G595" s="220"/>
      <c r="H595" s="220" t="str">
        <f t="shared" si="75"/>
        <v/>
      </c>
      <c r="I595" s="460"/>
      <c r="J595" s="460"/>
      <c r="K595" s="460"/>
      <c r="L595" s="460"/>
      <c r="M595" s="460"/>
      <c r="N595" s="220"/>
      <c r="O595" s="220"/>
      <c r="P595" s="220"/>
      <c r="Q595" s="220"/>
      <c r="R595" s="221"/>
      <c r="S595" s="221"/>
      <c r="T595" s="316">
        <f t="shared" si="69"/>
        <v>0</v>
      </c>
      <c r="U595" s="217">
        <f t="shared" si="70"/>
        <v>0</v>
      </c>
      <c r="X595" s="26" t="str">
        <f t="shared" si="71"/>
        <v/>
      </c>
      <c r="Y595" s="21" t="str">
        <f>IF(MATCH(X595,X$300:$X596,0),"Si",1)</f>
        <v>Si</v>
      </c>
      <c r="Z595" s="26">
        <f t="shared" si="72"/>
        <v>0</v>
      </c>
      <c r="AA595" s="26">
        <f t="shared" si="73"/>
        <v>0</v>
      </c>
      <c r="AB595" s="26" t="str">
        <f t="shared" si="74"/>
        <v/>
      </c>
      <c r="AC595" s="26" t="str">
        <f>IF(MATCH(AB595,AB$300:$AB596,0),"0",1)</f>
        <v>0</v>
      </c>
    </row>
    <row r="596" spans="2:29" x14ac:dyDescent="0.35">
      <c r="B596" s="219"/>
      <c r="C596" s="216" t="s">
        <v>1082</v>
      </c>
      <c r="D596" s="216"/>
      <c r="E596" s="220"/>
      <c r="F596" s="220"/>
      <c r="G596" s="220"/>
      <c r="H596" s="220" t="str">
        <f t="shared" si="75"/>
        <v/>
      </c>
      <c r="I596" s="460"/>
      <c r="J596" s="460"/>
      <c r="K596" s="460"/>
      <c r="L596" s="460"/>
      <c r="M596" s="460"/>
      <c r="N596" s="220"/>
      <c r="O596" s="220"/>
      <c r="P596" s="220"/>
      <c r="Q596" s="220"/>
      <c r="R596" s="221"/>
      <c r="S596" s="221"/>
      <c r="T596" s="316">
        <f t="shared" si="69"/>
        <v>0</v>
      </c>
      <c r="U596" s="217">
        <f t="shared" si="70"/>
        <v>0</v>
      </c>
      <c r="X596" s="26" t="str">
        <f t="shared" si="71"/>
        <v/>
      </c>
      <c r="Y596" s="21" t="str">
        <f>IF(MATCH(X596,X$300:$X597,0),"Si",1)</f>
        <v>Si</v>
      </c>
      <c r="Z596" s="26">
        <f t="shared" si="72"/>
        <v>0</v>
      </c>
      <c r="AA596" s="26">
        <f t="shared" si="73"/>
        <v>0</v>
      </c>
      <c r="AB596" s="26" t="str">
        <f t="shared" si="74"/>
        <v/>
      </c>
      <c r="AC596" s="26" t="str">
        <f>IF(MATCH(AB596,AB$300:$AB597,0),"0",1)</f>
        <v>0</v>
      </c>
    </row>
    <row r="597" spans="2:29" x14ac:dyDescent="0.35">
      <c r="B597" s="219"/>
      <c r="C597" s="216" t="s">
        <v>1083</v>
      </c>
      <c r="D597" s="216"/>
      <c r="E597" s="220"/>
      <c r="F597" s="220"/>
      <c r="G597" s="220"/>
      <c r="H597" s="220" t="str">
        <f t="shared" si="75"/>
        <v/>
      </c>
      <c r="I597" s="460"/>
      <c r="J597" s="460"/>
      <c r="K597" s="460"/>
      <c r="L597" s="460"/>
      <c r="M597" s="460"/>
      <c r="N597" s="220"/>
      <c r="O597" s="220"/>
      <c r="P597" s="220"/>
      <c r="Q597" s="220"/>
      <c r="R597" s="221"/>
      <c r="S597" s="221"/>
      <c r="T597" s="316">
        <f t="shared" si="69"/>
        <v>0</v>
      </c>
      <c r="U597" s="217">
        <f t="shared" si="70"/>
        <v>0</v>
      </c>
      <c r="X597" s="26" t="str">
        <f t="shared" si="71"/>
        <v/>
      </c>
      <c r="Y597" s="21" t="str">
        <f>IF(MATCH(X597,X$300:$X598,0),"Si",1)</f>
        <v>Si</v>
      </c>
      <c r="Z597" s="26">
        <f t="shared" si="72"/>
        <v>0</v>
      </c>
      <c r="AA597" s="26">
        <f t="shared" si="73"/>
        <v>0</v>
      </c>
      <c r="AB597" s="26" t="str">
        <f t="shared" si="74"/>
        <v/>
      </c>
      <c r="AC597" s="26" t="str">
        <f>IF(MATCH(AB597,AB$300:$AB598,0),"0",1)</f>
        <v>0</v>
      </c>
    </row>
    <row r="598" spans="2:29" x14ac:dyDescent="0.35">
      <c r="B598" s="219"/>
      <c r="C598" s="216" t="s">
        <v>1084</v>
      </c>
      <c r="D598" s="216"/>
      <c r="E598" s="220"/>
      <c r="F598" s="220"/>
      <c r="G598" s="220"/>
      <c r="H598" s="220" t="str">
        <f t="shared" si="75"/>
        <v/>
      </c>
      <c r="I598" s="460"/>
      <c r="J598" s="460"/>
      <c r="K598" s="460"/>
      <c r="L598" s="460"/>
      <c r="M598" s="460"/>
      <c r="N598" s="220"/>
      <c r="O598" s="220"/>
      <c r="P598" s="220"/>
      <c r="Q598" s="220"/>
      <c r="R598" s="221"/>
      <c r="S598" s="221"/>
      <c r="T598" s="316">
        <f t="shared" si="69"/>
        <v>0</v>
      </c>
      <c r="U598" s="217">
        <f t="shared" si="70"/>
        <v>0</v>
      </c>
      <c r="X598" s="26" t="str">
        <f t="shared" si="71"/>
        <v/>
      </c>
      <c r="Y598" s="21" t="str">
        <f>IF(MATCH(X598,X$300:$X599,0),"Si",1)</f>
        <v>Si</v>
      </c>
      <c r="Z598" s="26">
        <f t="shared" si="72"/>
        <v>0</v>
      </c>
      <c r="AA598" s="26">
        <f t="shared" si="73"/>
        <v>0</v>
      </c>
      <c r="AB598" s="26" t="str">
        <f t="shared" si="74"/>
        <v/>
      </c>
      <c r="AC598" s="26" t="str">
        <f>IF(MATCH(AB598,AB$300:$AB599,0),"0",1)</f>
        <v>0</v>
      </c>
    </row>
    <row r="599" spans="2:29" x14ac:dyDescent="0.35">
      <c r="B599" s="219"/>
      <c r="C599" s="216" t="s">
        <v>1085</v>
      </c>
      <c r="D599" s="216"/>
      <c r="E599" s="220"/>
      <c r="F599" s="220"/>
      <c r="G599" s="220"/>
      <c r="H599" s="220" t="str">
        <f t="shared" si="75"/>
        <v/>
      </c>
      <c r="I599" s="460"/>
      <c r="J599" s="460"/>
      <c r="K599" s="460"/>
      <c r="L599" s="460"/>
      <c r="M599" s="460"/>
      <c r="N599" s="220"/>
      <c r="O599" s="220"/>
      <c r="P599" s="220"/>
      <c r="Q599" s="220"/>
      <c r="R599" s="221"/>
      <c r="S599" s="221"/>
      <c r="T599" s="316">
        <f t="shared" si="69"/>
        <v>0</v>
      </c>
      <c r="U599" s="217">
        <f t="shared" si="70"/>
        <v>0</v>
      </c>
      <c r="X599" s="26" t="str">
        <f t="shared" si="71"/>
        <v/>
      </c>
      <c r="Y599" s="21" t="str">
        <f>IF(MATCH(X599,X$300:$X600,0),"Si",1)</f>
        <v>Si</v>
      </c>
      <c r="Z599" s="26">
        <f t="shared" si="72"/>
        <v>0</v>
      </c>
      <c r="AA599" s="26">
        <f t="shared" si="73"/>
        <v>0</v>
      </c>
      <c r="AB599" s="26" t="str">
        <f t="shared" si="74"/>
        <v/>
      </c>
      <c r="AC599" s="26" t="str">
        <f>IF(MATCH(AB599,AB$300:$AB600,0),"0",1)</f>
        <v>0</v>
      </c>
    </row>
    <row r="600" spans="2:29" x14ac:dyDescent="0.35">
      <c r="B600" s="219"/>
      <c r="C600" s="216" t="s">
        <v>1086</v>
      </c>
      <c r="D600" s="216"/>
      <c r="E600" s="220"/>
      <c r="F600" s="220"/>
      <c r="G600" s="220"/>
      <c r="H600" s="220" t="str">
        <f t="shared" si="75"/>
        <v/>
      </c>
      <c r="I600" s="460"/>
      <c r="J600" s="460"/>
      <c r="K600" s="460"/>
      <c r="L600" s="460"/>
      <c r="M600" s="460"/>
      <c r="N600" s="220"/>
      <c r="O600" s="220"/>
      <c r="P600" s="220"/>
      <c r="Q600" s="220"/>
      <c r="R600" s="221"/>
      <c r="S600" s="221"/>
      <c r="T600" s="316">
        <f t="shared" si="69"/>
        <v>0</v>
      </c>
      <c r="U600" s="217">
        <f t="shared" si="70"/>
        <v>0</v>
      </c>
      <c r="X600" s="26" t="str">
        <f t="shared" si="71"/>
        <v/>
      </c>
      <c r="Y600" s="21" t="str">
        <f>IF(MATCH(X600,X$300:$X601,0),"Si",1)</f>
        <v>Si</v>
      </c>
      <c r="Z600" s="26">
        <f t="shared" si="72"/>
        <v>0</v>
      </c>
      <c r="AA600" s="26">
        <f t="shared" si="73"/>
        <v>0</v>
      </c>
      <c r="AB600" s="26" t="str">
        <f t="shared" si="74"/>
        <v/>
      </c>
      <c r="AC600" s="26" t="str">
        <f>IF(MATCH(AB600,AB$300:$AB601,0),"0",1)</f>
        <v>0</v>
      </c>
    </row>
    <row r="601" spans="2:29" x14ac:dyDescent="0.35">
      <c r="B601" s="219"/>
      <c r="C601" s="216" t="s">
        <v>1087</v>
      </c>
      <c r="D601" s="216"/>
      <c r="E601" s="220"/>
      <c r="F601" s="220"/>
      <c r="G601" s="220"/>
      <c r="H601" s="220" t="str">
        <f t="shared" si="75"/>
        <v/>
      </c>
      <c r="I601" s="460"/>
      <c r="J601" s="460"/>
      <c r="K601" s="460"/>
      <c r="L601" s="460"/>
      <c r="M601" s="460"/>
      <c r="N601" s="220"/>
      <c r="O601" s="220"/>
      <c r="P601" s="220"/>
      <c r="Q601" s="220"/>
      <c r="R601" s="221"/>
      <c r="S601" s="221"/>
      <c r="T601" s="316">
        <f t="shared" si="69"/>
        <v>0</v>
      </c>
      <c r="U601" s="217">
        <f t="shared" si="70"/>
        <v>0</v>
      </c>
      <c r="X601" s="26" t="str">
        <f t="shared" si="71"/>
        <v/>
      </c>
      <c r="Y601" s="21" t="str">
        <f>IF(MATCH(X601,X$300:$X602,0),"Si",1)</f>
        <v>Si</v>
      </c>
      <c r="Z601" s="26">
        <f t="shared" si="72"/>
        <v>0</v>
      </c>
      <c r="AA601" s="26">
        <f t="shared" si="73"/>
        <v>0</v>
      </c>
      <c r="AB601" s="26" t="str">
        <f t="shared" si="74"/>
        <v/>
      </c>
      <c r="AC601" s="26" t="str">
        <f>IF(MATCH(AB601,AB$300:$AB602,0),"0",1)</f>
        <v>0</v>
      </c>
    </row>
    <row r="602" spans="2:29" x14ac:dyDescent="0.35">
      <c r="B602" s="219"/>
      <c r="C602" s="216" t="s">
        <v>1088</v>
      </c>
      <c r="D602" s="216"/>
      <c r="E602" s="220"/>
      <c r="F602" s="220"/>
      <c r="G602" s="220"/>
      <c r="H602" s="220" t="str">
        <f t="shared" si="75"/>
        <v/>
      </c>
      <c r="I602" s="460"/>
      <c r="J602" s="460"/>
      <c r="K602" s="460"/>
      <c r="L602" s="460"/>
      <c r="M602" s="460"/>
      <c r="N602" s="220"/>
      <c r="O602" s="220"/>
      <c r="P602" s="220"/>
      <c r="Q602" s="220"/>
      <c r="R602" s="221"/>
      <c r="S602" s="221"/>
      <c r="T602" s="316">
        <f t="shared" si="69"/>
        <v>0</v>
      </c>
      <c r="U602" s="217">
        <f t="shared" si="70"/>
        <v>0</v>
      </c>
      <c r="X602" s="26" t="str">
        <f t="shared" si="71"/>
        <v/>
      </c>
      <c r="Y602" s="21" t="str">
        <f>IF(MATCH(X602,X$300:$X603,0),"Si",1)</f>
        <v>Si</v>
      </c>
      <c r="Z602" s="26">
        <f t="shared" si="72"/>
        <v>0</v>
      </c>
      <c r="AA602" s="26">
        <f t="shared" si="73"/>
        <v>0</v>
      </c>
      <c r="AB602" s="26" t="str">
        <f t="shared" si="74"/>
        <v/>
      </c>
      <c r="AC602" s="26" t="str">
        <f>IF(MATCH(AB602,AB$300:$AB603,0),"0",1)</f>
        <v>0</v>
      </c>
    </row>
    <row r="603" spans="2:29" x14ac:dyDescent="0.35">
      <c r="B603" s="219"/>
      <c r="C603" s="216" t="s">
        <v>1089</v>
      </c>
      <c r="D603" s="216"/>
      <c r="E603" s="220"/>
      <c r="F603" s="220"/>
      <c r="G603" s="220"/>
      <c r="H603" s="220" t="str">
        <f t="shared" si="75"/>
        <v/>
      </c>
      <c r="I603" s="460"/>
      <c r="J603" s="460"/>
      <c r="K603" s="460"/>
      <c r="L603" s="460"/>
      <c r="M603" s="460"/>
      <c r="N603" s="220"/>
      <c r="O603" s="220"/>
      <c r="P603" s="220"/>
      <c r="Q603" s="220"/>
      <c r="R603" s="221"/>
      <c r="S603" s="221"/>
      <c r="T603" s="316">
        <f t="shared" ref="T603:T666" si="76">IF(S603=0,0,IF(S603&lt;R603,"Error en fecha solución",IFERROR(AC603,NETWORKDAYS(R603,S603)-1)))</f>
        <v>0</v>
      </c>
      <c r="U603" s="217">
        <f t="shared" ref="U603:U666" si="77">IFERROR(T603*8,"Error")</f>
        <v>0</v>
      </c>
      <c r="X603" s="26" t="str">
        <f t="shared" ref="X603:X666" si="78">CONCATENATE(H603,O603,R603,S603)</f>
        <v/>
      </c>
      <c r="Y603" s="21" t="str">
        <f>IF(MATCH(X603,X$300:$X604,0),"Si",1)</f>
        <v>Si</v>
      </c>
      <c r="Z603" s="26">
        <f t="shared" ref="Z603:Z666" si="79">IF(S603=0,0,IF(S603&lt;R603,"Error en fecha solución",IF(Y603="Si",0,IFERROR(Y603,NETWORKDAYS(R603,S603)-1))))</f>
        <v>0</v>
      </c>
      <c r="AA603" s="26">
        <f t="shared" ref="AA603:AA666" si="80">IF(S603=0,0,IF(S603&lt;R603,"Error en fecha solución",IFERROR(Z603,NETWORKDAYS(R603,S603)-1)))</f>
        <v>0</v>
      </c>
      <c r="AB603" s="26" t="str">
        <f t="shared" ref="AB603:AB666" si="81">CONCATENATE(R603,S603)</f>
        <v/>
      </c>
      <c r="AC603" s="26" t="str">
        <f>IF(MATCH(AB603,AB$300:$AB604,0),"0",1)</f>
        <v>0</v>
      </c>
    </row>
    <row r="604" spans="2:29" x14ac:dyDescent="0.35">
      <c r="B604" s="219"/>
      <c r="C604" s="216" t="s">
        <v>1090</v>
      </c>
      <c r="D604" s="216"/>
      <c r="E604" s="220"/>
      <c r="F604" s="220"/>
      <c r="G604" s="220"/>
      <c r="H604" s="220" t="str">
        <f t="shared" si="75"/>
        <v/>
      </c>
      <c r="I604" s="460"/>
      <c r="J604" s="460"/>
      <c r="K604" s="460"/>
      <c r="L604" s="460"/>
      <c r="M604" s="460"/>
      <c r="N604" s="220"/>
      <c r="O604" s="220"/>
      <c r="P604" s="220"/>
      <c r="Q604" s="220"/>
      <c r="R604" s="221"/>
      <c r="S604" s="221"/>
      <c r="T604" s="316">
        <f t="shared" si="76"/>
        <v>0</v>
      </c>
      <c r="U604" s="217">
        <f t="shared" si="77"/>
        <v>0</v>
      </c>
      <c r="X604" s="26" t="str">
        <f t="shared" si="78"/>
        <v/>
      </c>
      <c r="Y604" s="21" t="str">
        <f>IF(MATCH(X604,X$300:$X605,0),"Si",1)</f>
        <v>Si</v>
      </c>
      <c r="Z604" s="26">
        <f t="shared" si="79"/>
        <v>0</v>
      </c>
      <c r="AA604" s="26">
        <f t="shared" si="80"/>
        <v>0</v>
      </c>
      <c r="AB604" s="26" t="str">
        <f t="shared" si="81"/>
        <v/>
      </c>
      <c r="AC604" s="26" t="str">
        <f>IF(MATCH(AB604,AB$300:$AB605,0),"0",1)</f>
        <v>0</v>
      </c>
    </row>
    <row r="605" spans="2:29" x14ac:dyDescent="0.35">
      <c r="B605" s="219"/>
      <c r="C605" s="216" t="s">
        <v>1091</v>
      </c>
      <c r="D605" s="216"/>
      <c r="E605" s="220"/>
      <c r="F605" s="220"/>
      <c r="G605" s="220"/>
      <c r="H605" s="220" t="str">
        <f t="shared" si="75"/>
        <v/>
      </c>
      <c r="I605" s="460"/>
      <c r="J605" s="460"/>
      <c r="K605" s="460"/>
      <c r="L605" s="460"/>
      <c r="M605" s="460"/>
      <c r="N605" s="220"/>
      <c r="O605" s="220"/>
      <c r="P605" s="220"/>
      <c r="Q605" s="220"/>
      <c r="R605" s="221"/>
      <c r="S605" s="221"/>
      <c r="T605" s="316">
        <f t="shared" si="76"/>
        <v>0</v>
      </c>
      <c r="U605" s="217">
        <f t="shared" si="77"/>
        <v>0</v>
      </c>
      <c r="X605" s="26" t="str">
        <f t="shared" si="78"/>
        <v/>
      </c>
      <c r="Y605" s="21" t="str">
        <f>IF(MATCH(X605,X$300:$X606,0),"Si",1)</f>
        <v>Si</v>
      </c>
      <c r="Z605" s="26">
        <f t="shared" si="79"/>
        <v>0</v>
      </c>
      <c r="AA605" s="26">
        <f t="shared" si="80"/>
        <v>0</v>
      </c>
      <c r="AB605" s="26" t="str">
        <f t="shared" si="81"/>
        <v/>
      </c>
      <c r="AC605" s="26" t="str">
        <f>IF(MATCH(AB605,AB$300:$AB606,0),"0",1)</f>
        <v>0</v>
      </c>
    </row>
    <row r="606" spans="2:29" x14ac:dyDescent="0.35">
      <c r="B606" s="219"/>
      <c r="C606" s="216" t="s">
        <v>1092</v>
      </c>
      <c r="D606" s="216"/>
      <c r="E606" s="220"/>
      <c r="F606" s="220"/>
      <c r="G606" s="220"/>
      <c r="H606" s="220" t="str">
        <f t="shared" si="75"/>
        <v/>
      </c>
      <c r="I606" s="460"/>
      <c r="J606" s="460"/>
      <c r="K606" s="460"/>
      <c r="L606" s="460"/>
      <c r="M606" s="460"/>
      <c r="N606" s="220"/>
      <c r="O606" s="220"/>
      <c r="P606" s="220"/>
      <c r="Q606" s="220"/>
      <c r="R606" s="221"/>
      <c r="S606" s="221"/>
      <c r="T606" s="316">
        <f t="shared" si="76"/>
        <v>0</v>
      </c>
      <c r="U606" s="217">
        <f t="shared" si="77"/>
        <v>0</v>
      </c>
      <c r="X606" s="26" t="str">
        <f t="shared" si="78"/>
        <v/>
      </c>
      <c r="Y606" s="21" t="str">
        <f>IF(MATCH(X606,X$300:$X607,0),"Si",1)</f>
        <v>Si</v>
      </c>
      <c r="Z606" s="26">
        <f t="shared" si="79"/>
        <v>0</v>
      </c>
      <c r="AA606" s="26">
        <f t="shared" si="80"/>
        <v>0</v>
      </c>
      <c r="AB606" s="26" t="str">
        <f t="shared" si="81"/>
        <v/>
      </c>
      <c r="AC606" s="26" t="str">
        <f>IF(MATCH(AB606,AB$300:$AB607,0),"0",1)</f>
        <v>0</v>
      </c>
    </row>
    <row r="607" spans="2:29" x14ac:dyDescent="0.35">
      <c r="B607" s="219"/>
      <c r="C607" s="216" t="s">
        <v>1093</v>
      </c>
      <c r="D607" s="216"/>
      <c r="E607" s="220"/>
      <c r="F607" s="220"/>
      <c r="G607" s="220"/>
      <c r="H607" s="220" t="str">
        <f t="shared" si="75"/>
        <v/>
      </c>
      <c r="I607" s="460"/>
      <c r="J607" s="460"/>
      <c r="K607" s="460"/>
      <c r="L607" s="460"/>
      <c r="M607" s="460"/>
      <c r="N607" s="220"/>
      <c r="O607" s="220"/>
      <c r="P607" s="220"/>
      <c r="Q607" s="220"/>
      <c r="R607" s="221"/>
      <c r="S607" s="221"/>
      <c r="T607" s="316">
        <f t="shared" si="76"/>
        <v>0</v>
      </c>
      <c r="U607" s="217">
        <f t="shared" si="77"/>
        <v>0</v>
      </c>
      <c r="X607" s="26" t="str">
        <f t="shared" si="78"/>
        <v/>
      </c>
      <c r="Y607" s="21" t="str">
        <f>IF(MATCH(X607,X$300:$X608,0),"Si",1)</f>
        <v>Si</v>
      </c>
      <c r="Z607" s="26">
        <f t="shared" si="79"/>
        <v>0</v>
      </c>
      <c r="AA607" s="26">
        <f t="shared" si="80"/>
        <v>0</v>
      </c>
      <c r="AB607" s="26" t="str">
        <f t="shared" si="81"/>
        <v/>
      </c>
      <c r="AC607" s="26" t="str">
        <f>IF(MATCH(AB607,AB$300:$AB608,0),"0",1)</f>
        <v>0</v>
      </c>
    </row>
    <row r="608" spans="2:29" x14ac:dyDescent="0.35">
      <c r="B608" s="219"/>
      <c r="C608" s="216" t="s">
        <v>1094</v>
      </c>
      <c r="D608" s="216"/>
      <c r="E608" s="220"/>
      <c r="F608" s="220"/>
      <c r="G608" s="220"/>
      <c r="H608" s="220" t="str">
        <f t="shared" si="75"/>
        <v/>
      </c>
      <c r="I608" s="460"/>
      <c r="J608" s="460"/>
      <c r="K608" s="460"/>
      <c r="L608" s="460"/>
      <c r="M608" s="460"/>
      <c r="N608" s="220"/>
      <c r="O608" s="220"/>
      <c r="P608" s="220"/>
      <c r="Q608" s="220"/>
      <c r="R608" s="221"/>
      <c r="S608" s="221"/>
      <c r="T608" s="316">
        <f t="shared" si="76"/>
        <v>0</v>
      </c>
      <c r="U608" s="217">
        <f t="shared" si="77"/>
        <v>0</v>
      </c>
      <c r="X608" s="26" t="str">
        <f t="shared" si="78"/>
        <v/>
      </c>
      <c r="Y608" s="21" t="str">
        <f>IF(MATCH(X608,X$300:$X609,0),"Si",1)</f>
        <v>Si</v>
      </c>
      <c r="Z608" s="26">
        <f t="shared" si="79"/>
        <v>0</v>
      </c>
      <c r="AA608" s="26">
        <f t="shared" si="80"/>
        <v>0</v>
      </c>
      <c r="AB608" s="26" t="str">
        <f t="shared" si="81"/>
        <v/>
      </c>
      <c r="AC608" s="26" t="str">
        <f>IF(MATCH(AB608,AB$300:$AB609,0),"0",1)</f>
        <v>0</v>
      </c>
    </row>
    <row r="609" spans="2:29" x14ac:dyDescent="0.35">
      <c r="B609" s="219"/>
      <c r="C609" s="216" t="s">
        <v>1095</v>
      </c>
      <c r="D609" s="216"/>
      <c r="E609" s="220"/>
      <c r="F609" s="220"/>
      <c r="G609" s="220"/>
      <c r="H609" s="220" t="str">
        <f t="shared" si="75"/>
        <v/>
      </c>
      <c r="I609" s="460"/>
      <c r="J609" s="460"/>
      <c r="K609" s="460"/>
      <c r="L609" s="460"/>
      <c r="M609" s="460"/>
      <c r="N609" s="220"/>
      <c r="O609" s="220"/>
      <c r="P609" s="220"/>
      <c r="Q609" s="220"/>
      <c r="R609" s="221"/>
      <c r="S609" s="221"/>
      <c r="T609" s="316">
        <f t="shared" si="76"/>
        <v>0</v>
      </c>
      <c r="U609" s="217">
        <f t="shared" si="77"/>
        <v>0</v>
      </c>
      <c r="X609" s="26" t="str">
        <f t="shared" si="78"/>
        <v/>
      </c>
      <c r="Y609" s="21" t="str">
        <f>IF(MATCH(X609,X$300:$X610,0),"Si",1)</f>
        <v>Si</v>
      </c>
      <c r="Z609" s="26">
        <f t="shared" si="79"/>
        <v>0</v>
      </c>
      <c r="AA609" s="26">
        <f t="shared" si="80"/>
        <v>0</v>
      </c>
      <c r="AB609" s="26" t="str">
        <f t="shared" si="81"/>
        <v/>
      </c>
      <c r="AC609" s="26" t="str">
        <f>IF(MATCH(AB609,AB$300:$AB610,0),"0",1)</f>
        <v>0</v>
      </c>
    </row>
    <row r="610" spans="2:29" x14ac:dyDescent="0.35">
      <c r="B610" s="219"/>
      <c r="C610" s="216" t="s">
        <v>1096</v>
      </c>
      <c r="D610" s="216"/>
      <c r="E610" s="220"/>
      <c r="F610" s="220"/>
      <c r="G610" s="220"/>
      <c r="H610" s="220" t="str">
        <f t="shared" si="75"/>
        <v/>
      </c>
      <c r="I610" s="460"/>
      <c r="J610" s="460"/>
      <c r="K610" s="460"/>
      <c r="L610" s="460"/>
      <c r="M610" s="460"/>
      <c r="N610" s="220"/>
      <c r="O610" s="220"/>
      <c r="P610" s="220"/>
      <c r="Q610" s="220"/>
      <c r="R610" s="221"/>
      <c r="S610" s="221"/>
      <c r="T610" s="316">
        <f t="shared" si="76"/>
        <v>0</v>
      </c>
      <c r="U610" s="217">
        <f t="shared" si="77"/>
        <v>0</v>
      </c>
      <c r="X610" s="26" t="str">
        <f t="shared" si="78"/>
        <v/>
      </c>
      <c r="Y610" s="21" t="str">
        <f>IF(MATCH(X610,X$300:$X611,0),"Si",1)</f>
        <v>Si</v>
      </c>
      <c r="Z610" s="26">
        <f t="shared" si="79"/>
        <v>0</v>
      </c>
      <c r="AA610" s="26">
        <f t="shared" si="80"/>
        <v>0</v>
      </c>
      <c r="AB610" s="26" t="str">
        <f t="shared" si="81"/>
        <v/>
      </c>
      <c r="AC610" s="26" t="str">
        <f>IF(MATCH(AB610,AB$300:$AB611,0),"0",1)</f>
        <v>0</v>
      </c>
    </row>
    <row r="611" spans="2:29" x14ac:dyDescent="0.35">
      <c r="B611" s="219"/>
      <c r="C611" s="216" t="s">
        <v>1097</v>
      </c>
      <c r="D611" s="216"/>
      <c r="E611" s="220"/>
      <c r="F611" s="220"/>
      <c r="G611" s="220"/>
      <c r="H611" s="220" t="str">
        <f t="shared" si="75"/>
        <v/>
      </c>
      <c r="I611" s="460"/>
      <c r="J611" s="460"/>
      <c r="K611" s="460"/>
      <c r="L611" s="460"/>
      <c r="M611" s="460"/>
      <c r="N611" s="220"/>
      <c r="O611" s="220"/>
      <c r="P611" s="220"/>
      <c r="Q611" s="220"/>
      <c r="R611" s="221"/>
      <c r="S611" s="221"/>
      <c r="T611" s="316">
        <f t="shared" si="76"/>
        <v>0</v>
      </c>
      <c r="U611" s="217">
        <f t="shared" si="77"/>
        <v>0</v>
      </c>
      <c r="X611" s="26" t="str">
        <f t="shared" si="78"/>
        <v/>
      </c>
      <c r="Y611" s="21" t="str">
        <f>IF(MATCH(X611,X$300:$X612,0),"Si",1)</f>
        <v>Si</v>
      </c>
      <c r="Z611" s="26">
        <f t="shared" si="79"/>
        <v>0</v>
      </c>
      <c r="AA611" s="26">
        <f t="shared" si="80"/>
        <v>0</v>
      </c>
      <c r="AB611" s="26" t="str">
        <f t="shared" si="81"/>
        <v/>
      </c>
      <c r="AC611" s="26" t="str">
        <f>IF(MATCH(AB611,AB$300:$AB612,0),"0",1)</f>
        <v>0</v>
      </c>
    </row>
    <row r="612" spans="2:29" x14ac:dyDescent="0.35">
      <c r="B612" s="219"/>
      <c r="C612" s="216" t="s">
        <v>1098</v>
      </c>
      <c r="D612" s="216"/>
      <c r="E612" s="220"/>
      <c r="F612" s="220"/>
      <c r="G612" s="220"/>
      <c r="H612" s="220" t="str">
        <f t="shared" si="75"/>
        <v/>
      </c>
      <c r="I612" s="460"/>
      <c r="J612" s="460"/>
      <c r="K612" s="460"/>
      <c r="L612" s="460"/>
      <c r="M612" s="460"/>
      <c r="N612" s="220"/>
      <c r="O612" s="220"/>
      <c r="P612" s="220"/>
      <c r="Q612" s="220"/>
      <c r="R612" s="221"/>
      <c r="S612" s="221"/>
      <c r="T612" s="316">
        <f t="shared" si="76"/>
        <v>0</v>
      </c>
      <c r="U612" s="217">
        <f t="shared" si="77"/>
        <v>0</v>
      </c>
      <c r="X612" s="26" t="str">
        <f t="shared" si="78"/>
        <v/>
      </c>
      <c r="Y612" s="21" t="str">
        <f>IF(MATCH(X612,X$300:$X613,0),"Si",1)</f>
        <v>Si</v>
      </c>
      <c r="Z612" s="26">
        <f t="shared" si="79"/>
        <v>0</v>
      </c>
      <c r="AA612" s="26">
        <f t="shared" si="80"/>
        <v>0</v>
      </c>
      <c r="AB612" s="26" t="str">
        <f t="shared" si="81"/>
        <v/>
      </c>
      <c r="AC612" s="26" t="str">
        <f>IF(MATCH(AB612,AB$300:$AB613,0),"0",1)</f>
        <v>0</v>
      </c>
    </row>
    <row r="613" spans="2:29" x14ac:dyDescent="0.35">
      <c r="B613" s="219"/>
      <c r="C613" s="216" t="s">
        <v>1099</v>
      </c>
      <c r="D613" s="216"/>
      <c r="E613" s="220"/>
      <c r="F613" s="220"/>
      <c r="G613" s="220"/>
      <c r="H613" s="220" t="str">
        <f t="shared" si="75"/>
        <v/>
      </c>
      <c r="I613" s="460"/>
      <c r="J613" s="460"/>
      <c r="K613" s="460"/>
      <c r="L613" s="460"/>
      <c r="M613" s="460"/>
      <c r="N613" s="220"/>
      <c r="O613" s="220"/>
      <c r="P613" s="220"/>
      <c r="Q613" s="220"/>
      <c r="R613" s="221"/>
      <c r="S613" s="221"/>
      <c r="T613" s="316">
        <f t="shared" si="76"/>
        <v>0</v>
      </c>
      <c r="U613" s="217">
        <f t="shared" si="77"/>
        <v>0</v>
      </c>
      <c r="X613" s="26" t="str">
        <f t="shared" si="78"/>
        <v/>
      </c>
      <c r="Y613" s="21" t="str">
        <f>IF(MATCH(X613,X$300:$X614,0),"Si",1)</f>
        <v>Si</v>
      </c>
      <c r="Z613" s="26">
        <f t="shared" si="79"/>
        <v>0</v>
      </c>
      <c r="AA613" s="26">
        <f t="shared" si="80"/>
        <v>0</v>
      </c>
      <c r="AB613" s="26" t="str">
        <f t="shared" si="81"/>
        <v/>
      </c>
      <c r="AC613" s="26" t="str">
        <f>IF(MATCH(AB613,AB$300:$AB614,0),"0",1)</f>
        <v>0</v>
      </c>
    </row>
    <row r="614" spans="2:29" x14ac:dyDescent="0.35">
      <c r="B614" s="219"/>
      <c r="C614" s="216" t="s">
        <v>1100</v>
      </c>
      <c r="D614" s="216"/>
      <c r="E614" s="220"/>
      <c r="F614" s="220"/>
      <c r="G614" s="220"/>
      <c r="H614" s="220" t="str">
        <f t="shared" si="75"/>
        <v/>
      </c>
      <c r="I614" s="460"/>
      <c r="J614" s="460"/>
      <c r="K614" s="460"/>
      <c r="L614" s="460"/>
      <c r="M614" s="460"/>
      <c r="N614" s="220"/>
      <c r="O614" s="220"/>
      <c r="P614" s="220"/>
      <c r="Q614" s="220"/>
      <c r="R614" s="221"/>
      <c r="S614" s="221"/>
      <c r="T614" s="316">
        <f t="shared" si="76"/>
        <v>0</v>
      </c>
      <c r="U614" s="217">
        <f t="shared" si="77"/>
        <v>0</v>
      </c>
      <c r="X614" s="26" t="str">
        <f t="shared" si="78"/>
        <v/>
      </c>
      <c r="Y614" s="21" t="str">
        <f>IF(MATCH(X614,X$300:$X615,0),"Si",1)</f>
        <v>Si</v>
      </c>
      <c r="Z614" s="26">
        <f t="shared" si="79"/>
        <v>0</v>
      </c>
      <c r="AA614" s="26">
        <f t="shared" si="80"/>
        <v>0</v>
      </c>
      <c r="AB614" s="26" t="str">
        <f t="shared" si="81"/>
        <v/>
      </c>
      <c r="AC614" s="26" t="str">
        <f>IF(MATCH(AB614,AB$300:$AB615,0),"0",1)</f>
        <v>0</v>
      </c>
    </row>
    <row r="615" spans="2:29" x14ac:dyDescent="0.35">
      <c r="B615" s="219"/>
      <c r="C615" s="216" t="s">
        <v>1101</v>
      </c>
      <c r="D615" s="216"/>
      <c r="E615" s="220"/>
      <c r="F615" s="220"/>
      <c r="G615" s="220"/>
      <c r="H615" s="220" t="str">
        <f t="shared" si="75"/>
        <v/>
      </c>
      <c r="I615" s="460"/>
      <c r="J615" s="460"/>
      <c r="K615" s="460"/>
      <c r="L615" s="460"/>
      <c r="M615" s="460"/>
      <c r="N615" s="220"/>
      <c r="O615" s="220"/>
      <c r="P615" s="220"/>
      <c r="Q615" s="220"/>
      <c r="R615" s="221"/>
      <c r="S615" s="221"/>
      <c r="T615" s="316">
        <f t="shared" si="76"/>
        <v>0</v>
      </c>
      <c r="U615" s="217">
        <f t="shared" si="77"/>
        <v>0</v>
      </c>
      <c r="X615" s="26" t="str">
        <f t="shared" si="78"/>
        <v/>
      </c>
      <c r="Y615" s="21" t="str">
        <f>IF(MATCH(X615,X$300:$X616,0),"Si",1)</f>
        <v>Si</v>
      </c>
      <c r="Z615" s="26">
        <f t="shared" si="79"/>
        <v>0</v>
      </c>
      <c r="AA615" s="26">
        <f t="shared" si="80"/>
        <v>0</v>
      </c>
      <c r="AB615" s="26" t="str">
        <f t="shared" si="81"/>
        <v/>
      </c>
      <c r="AC615" s="26" t="str">
        <f>IF(MATCH(AB615,AB$300:$AB616,0),"0",1)</f>
        <v>0</v>
      </c>
    </row>
    <row r="616" spans="2:29" x14ac:dyDescent="0.35">
      <c r="B616" s="219"/>
      <c r="C616" s="216" t="s">
        <v>1102</v>
      </c>
      <c r="D616" s="216"/>
      <c r="E616" s="220"/>
      <c r="F616" s="220"/>
      <c r="G616" s="220"/>
      <c r="H616" s="220" t="str">
        <f t="shared" si="75"/>
        <v/>
      </c>
      <c r="I616" s="460"/>
      <c r="J616" s="460"/>
      <c r="K616" s="460"/>
      <c r="L616" s="460"/>
      <c r="M616" s="460"/>
      <c r="N616" s="220"/>
      <c r="O616" s="220"/>
      <c r="P616" s="220"/>
      <c r="Q616" s="220"/>
      <c r="R616" s="221"/>
      <c r="S616" s="221"/>
      <c r="T616" s="316">
        <f t="shared" si="76"/>
        <v>0</v>
      </c>
      <c r="U616" s="217">
        <f t="shared" si="77"/>
        <v>0</v>
      </c>
      <c r="X616" s="26" t="str">
        <f t="shared" si="78"/>
        <v/>
      </c>
      <c r="Y616" s="21" t="str">
        <f>IF(MATCH(X616,X$300:$X617,0),"Si",1)</f>
        <v>Si</v>
      </c>
      <c r="Z616" s="26">
        <f t="shared" si="79"/>
        <v>0</v>
      </c>
      <c r="AA616" s="26">
        <f t="shared" si="80"/>
        <v>0</v>
      </c>
      <c r="AB616" s="26" t="str">
        <f t="shared" si="81"/>
        <v/>
      </c>
      <c r="AC616" s="26" t="str">
        <f>IF(MATCH(AB616,AB$300:$AB617,0),"0",1)</f>
        <v>0</v>
      </c>
    </row>
    <row r="617" spans="2:29" x14ac:dyDescent="0.35">
      <c r="B617" s="219"/>
      <c r="C617" s="216" t="s">
        <v>1103</v>
      </c>
      <c r="D617" s="216"/>
      <c r="E617" s="220"/>
      <c r="F617" s="220"/>
      <c r="G617" s="220"/>
      <c r="H617" s="220" t="str">
        <f t="shared" si="75"/>
        <v/>
      </c>
      <c r="I617" s="460"/>
      <c r="J617" s="460"/>
      <c r="K617" s="460"/>
      <c r="L617" s="460"/>
      <c r="M617" s="460"/>
      <c r="N617" s="220"/>
      <c r="O617" s="220"/>
      <c r="P617" s="220"/>
      <c r="Q617" s="220"/>
      <c r="R617" s="221"/>
      <c r="S617" s="221"/>
      <c r="T617" s="316">
        <f t="shared" si="76"/>
        <v>0</v>
      </c>
      <c r="U617" s="217">
        <f t="shared" si="77"/>
        <v>0</v>
      </c>
      <c r="X617" s="26" t="str">
        <f t="shared" si="78"/>
        <v/>
      </c>
      <c r="Y617" s="21" t="str">
        <f>IF(MATCH(X617,X$300:$X618,0),"Si",1)</f>
        <v>Si</v>
      </c>
      <c r="Z617" s="26">
        <f t="shared" si="79"/>
        <v>0</v>
      </c>
      <c r="AA617" s="26">
        <f t="shared" si="80"/>
        <v>0</v>
      </c>
      <c r="AB617" s="26" t="str">
        <f t="shared" si="81"/>
        <v/>
      </c>
      <c r="AC617" s="26" t="str">
        <f>IF(MATCH(AB617,AB$300:$AB618,0),"0",1)</f>
        <v>0</v>
      </c>
    </row>
    <row r="618" spans="2:29" x14ac:dyDescent="0.35">
      <c r="B618" s="219"/>
      <c r="C618" s="216" t="s">
        <v>1104</v>
      </c>
      <c r="D618" s="216"/>
      <c r="E618" s="220"/>
      <c r="F618" s="220"/>
      <c r="G618" s="220"/>
      <c r="H618" s="220" t="str">
        <f t="shared" si="75"/>
        <v/>
      </c>
      <c r="I618" s="460"/>
      <c r="J618" s="460"/>
      <c r="K618" s="460"/>
      <c r="L618" s="460"/>
      <c r="M618" s="460"/>
      <c r="N618" s="220"/>
      <c r="O618" s="220"/>
      <c r="P618" s="220"/>
      <c r="Q618" s="220"/>
      <c r="R618" s="221"/>
      <c r="S618" s="221"/>
      <c r="T618" s="316">
        <f t="shared" si="76"/>
        <v>0</v>
      </c>
      <c r="U618" s="217">
        <f t="shared" si="77"/>
        <v>0</v>
      </c>
      <c r="X618" s="26" t="str">
        <f t="shared" si="78"/>
        <v/>
      </c>
      <c r="Y618" s="21" t="str">
        <f>IF(MATCH(X618,X$300:$X619,0),"Si",1)</f>
        <v>Si</v>
      </c>
      <c r="Z618" s="26">
        <f t="shared" si="79"/>
        <v>0</v>
      </c>
      <c r="AA618" s="26">
        <f t="shared" si="80"/>
        <v>0</v>
      </c>
      <c r="AB618" s="26" t="str">
        <f t="shared" si="81"/>
        <v/>
      </c>
      <c r="AC618" s="26" t="str">
        <f>IF(MATCH(AB618,AB$300:$AB619,0),"0",1)</f>
        <v>0</v>
      </c>
    </row>
    <row r="619" spans="2:29" x14ac:dyDescent="0.35">
      <c r="B619" s="219"/>
      <c r="C619" s="216" t="s">
        <v>1105</v>
      </c>
      <c r="D619" s="216"/>
      <c r="E619" s="220"/>
      <c r="F619" s="220"/>
      <c r="G619" s="220"/>
      <c r="H619" s="220" t="str">
        <f t="shared" si="75"/>
        <v/>
      </c>
      <c r="I619" s="460"/>
      <c r="J619" s="460"/>
      <c r="K619" s="460"/>
      <c r="L619" s="460"/>
      <c r="M619" s="460"/>
      <c r="N619" s="220"/>
      <c r="O619" s="220"/>
      <c r="P619" s="220"/>
      <c r="Q619" s="220"/>
      <c r="R619" s="221"/>
      <c r="S619" s="221"/>
      <c r="T619" s="316">
        <f t="shared" si="76"/>
        <v>0</v>
      </c>
      <c r="U619" s="217">
        <f t="shared" si="77"/>
        <v>0</v>
      </c>
      <c r="X619" s="26" t="str">
        <f t="shared" si="78"/>
        <v/>
      </c>
      <c r="Y619" s="21" t="str">
        <f>IF(MATCH(X619,X$300:$X620,0),"Si",1)</f>
        <v>Si</v>
      </c>
      <c r="Z619" s="26">
        <f t="shared" si="79"/>
        <v>0</v>
      </c>
      <c r="AA619" s="26">
        <f t="shared" si="80"/>
        <v>0</v>
      </c>
      <c r="AB619" s="26" t="str">
        <f t="shared" si="81"/>
        <v/>
      </c>
      <c r="AC619" s="26" t="str">
        <f>IF(MATCH(AB619,AB$300:$AB620,0),"0",1)</f>
        <v>0</v>
      </c>
    </row>
    <row r="620" spans="2:29" x14ac:dyDescent="0.35">
      <c r="B620" s="219"/>
      <c r="C620" s="216" t="s">
        <v>1106</v>
      </c>
      <c r="D620" s="216"/>
      <c r="E620" s="220"/>
      <c r="F620" s="220"/>
      <c r="G620" s="220"/>
      <c r="H620" s="220" t="str">
        <f t="shared" si="75"/>
        <v/>
      </c>
      <c r="I620" s="460"/>
      <c r="J620" s="460"/>
      <c r="K620" s="460"/>
      <c r="L620" s="460"/>
      <c r="M620" s="460"/>
      <c r="N620" s="220"/>
      <c r="O620" s="220"/>
      <c r="P620" s="220"/>
      <c r="Q620" s="220"/>
      <c r="R620" s="221"/>
      <c r="S620" s="221"/>
      <c r="T620" s="316">
        <f t="shared" si="76"/>
        <v>0</v>
      </c>
      <c r="U620" s="217">
        <f t="shared" si="77"/>
        <v>0</v>
      </c>
      <c r="X620" s="26" t="str">
        <f t="shared" si="78"/>
        <v/>
      </c>
      <c r="Y620" s="21" t="str">
        <f>IF(MATCH(X620,X$300:$X621,0),"Si",1)</f>
        <v>Si</v>
      </c>
      <c r="Z620" s="26">
        <f t="shared" si="79"/>
        <v>0</v>
      </c>
      <c r="AA620" s="26">
        <f t="shared" si="80"/>
        <v>0</v>
      </c>
      <c r="AB620" s="26" t="str">
        <f t="shared" si="81"/>
        <v/>
      </c>
      <c r="AC620" s="26" t="str">
        <f>IF(MATCH(AB620,AB$300:$AB621,0),"0",1)</f>
        <v>0</v>
      </c>
    </row>
    <row r="621" spans="2:29" x14ac:dyDescent="0.35">
      <c r="B621" s="219"/>
      <c r="C621" s="216" t="s">
        <v>1107</v>
      </c>
      <c r="D621" s="216"/>
      <c r="E621" s="220"/>
      <c r="F621" s="220"/>
      <c r="G621" s="220"/>
      <c r="H621" s="220" t="str">
        <f t="shared" si="75"/>
        <v/>
      </c>
      <c r="I621" s="460"/>
      <c r="J621" s="460"/>
      <c r="K621" s="460"/>
      <c r="L621" s="460"/>
      <c r="M621" s="460"/>
      <c r="N621" s="220"/>
      <c r="O621" s="220"/>
      <c r="P621" s="220"/>
      <c r="Q621" s="220"/>
      <c r="R621" s="221"/>
      <c r="S621" s="221"/>
      <c r="T621" s="316">
        <f t="shared" si="76"/>
        <v>0</v>
      </c>
      <c r="U621" s="217">
        <f t="shared" si="77"/>
        <v>0</v>
      </c>
      <c r="X621" s="26" t="str">
        <f t="shared" si="78"/>
        <v/>
      </c>
      <c r="Y621" s="21" t="str">
        <f>IF(MATCH(X621,X$300:$X622,0),"Si",1)</f>
        <v>Si</v>
      </c>
      <c r="Z621" s="26">
        <f t="shared" si="79"/>
        <v>0</v>
      </c>
      <c r="AA621" s="26">
        <f t="shared" si="80"/>
        <v>0</v>
      </c>
      <c r="AB621" s="26" t="str">
        <f t="shared" si="81"/>
        <v/>
      </c>
      <c r="AC621" s="26" t="str">
        <f>IF(MATCH(AB621,AB$300:$AB622,0),"0",1)</f>
        <v>0</v>
      </c>
    </row>
    <row r="622" spans="2:29" x14ac:dyDescent="0.35">
      <c r="B622" s="219"/>
      <c r="C622" s="216" t="s">
        <v>1108</v>
      </c>
      <c r="D622" s="216"/>
      <c r="E622" s="220"/>
      <c r="F622" s="220"/>
      <c r="G622" s="220"/>
      <c r="H622" s="220" t="str">
        <f t="shared" si="75"/>
        <v/>
      </c>
      <c r="I622" s="460"/>
      <c r="J622" s="460"/>
      <c r="K622" s="460"/>
      <c r="L622" s="460"/>
      <c r="M622" s="460"/>
      <c r="N622" s="220"/>
      <c r="O622" s="220"/>
      <c r="P622" s="220"/>
      <c r="Q622" s="220"/>
      <c r="R622" s="221"/>
      <c r="S622" s="221"/>
      <c r="T622" s="316">
        <f t="shared" si="76"/>
        <v>0</v>
      </c>
      <c r="U622" s="217">
        <f t="shared" si="77"/>
        <v>0</v>
      </c>
      <c r="X622" s="26" t="str">
        <f t="shared" si="78"/>
        <v/>
      </c>
      <c r="Y622" s="21" t="str">
        <f>IF(MATCH(X622,X$300:$X623,0),"Si",1)</f>
        <v>Si</v>
      </c>
      <c r="Z622" s="26">
        <f t="shared" si="79"/>
        <v>0</v>
      </c>
      <c r="AA622" s="26">
        <f t="shared" si="80"/>
        <v>0</v>
      </c>
      <c r="AB622" s="26" t="str">
        <f t="shared" si="81"/>
        <v/>
      </c>
      <c r="AC622" s="26" t="str">
        <f>IF(MATCH(AB622,AB$300:$AB623,0),"0",1)</f>
        <v>0</v>
      </c>
    </row>
    <row r="623" spans="2:29" x14ac:dyDescent="0.35">
      <c r="B623" s="219"/>
      <c r="C623" s="216" t="s">
        <v>1109</v>
      </c>
      <c r="D623" s="216"/>
      <c r="E623" s="220"/>
      <c r="F623" s="220"/>
      <c r="G623" s="220"/>
      <c r="H623" s="220" t="str">
        <f t="shared" si="75"/>
        <v/>
      </c>
      <c r="I623" s="460"/>
      <c r="J623" s="460"/>
      <c r="K623" s="460"/>
      <c r="L623" s="460"/>
      <c r="M623" s="460"/>
      <c r="N623" s="220"/>
      <c r="O623" s="220"/>
      <c r="P623" s="220"/>
      <c r="Q623" s="220"/>
      <c r="R623" s="221"/>
      <c r="S623" s="221"/>
      <c r="T623" s="316">
        <f t="shared" si="76"/>
        <v>0</v>
      </c>
      <c r="U623" s="217">
        <f t="shared" si="77"/>
        <v>0</v>
      </c>
      <c r="X623" s="26" t="str">
        <f t="shared" si="78"/>
        <v/>
      </c>
      <c r="Y623" s="21" t="str">
        <f>IF(MATCH(X623,X$300:$X624,0),"Si",1)</f>
        <v>Si</v>
      </c>
      <c r="Z623" s="26">
        <f t="shared" si="79"/>
        <v>0</v>
      </c>
      <c r="AA623" s="26">
        <f t="shared" si="80"/>
        <v>0</v>
      </c>
      <c r="AB623" s="26" t="str">
        <f t="shared" si="81"/>
        <v/>
      </c>
      <c r="AC623" s="26" t="str">
        <f>IF(MATCH(AB623,AB$300:$AB624,0),"0",1)</f>
        <v>0</v>
      </c>
    </row>
    <row r="624" spans="2:29" x14ac:dyDescent="0.35">
      <c r="B624" s="219"/>
      <c r="C624" s="216" t="s">
        <v>1110</v>
      </c>
      <c r="D624" s="216"/>
      <c r="E624" s="220"/>
      <c r="F624" s="220"/>
      <c r="G624" s="220"/>
      <c r="H624" s="220" t="str">
        <f t="shared" si="75"/>
        <v/>
      </c>
      <c r="I624" s="460"/>
      <c r="J624" s="460"/>
      <c r="K624" s="460"/>
      <c r="L624" s="460"/>
      <c r="M624" s="460"/>
      <c r="N624" s="220"/>
      <c r="O624" s="220"/>
      <c r="P624" s="220"/>
      <c r="Q624" s="220"/>
      <c r="R624" s="221"/>
      <c r="S624" s="221"/>
      <c r="T624" s="316">
        <f t="shared" si="76"/>
        <v>0</v>
      </c>
      <c r="U624" s="217">
        <f t="shared" si="77"/>
        <v>0</v>
      </c>
      <c r="X624" s="26" t="str">
        <f t="shared" si="78"/>
        <v/>
      </c>
      <c r="Y624" s="21" t="str">
        <f>IF(MATCH(X624,X$300:$X625,0),"Si",1)</f>
        <v>Si</v>
      </c>
      <c r="Z624" s="26">
        <f t="shared" si="79"/>
        <v>0</v>
      </c>
      <c r="AA624" s="26">
        <f t="shared" si="80"/>
        <v>0</v>
      </c>
      <c r="AB624" s="26" t="str">
        <f t="shared" si="81"/>
        <v/>
      </c>
      <c r="AC624" s="26" t="str">
        <f>IF(MATCH(AB624,AB$300:$AB625,0),"0",1)</f>
        <v>0</v>
      </c>
    </row>
    <row r="625" spans="2:29" x14ac:dyDescent="0.35">
      <c r="B625" s="219"/>
      <c r="C625" s="216" t="s">
        <v>1111</v>
      </c>
      <c r="D625" s="216"/>
      <c r="E625" s="220"/>
      <c r="F625" s="220"/>
      <c r="G625" s="220"/>
      <c r="H625" s="220" t="str">
        <f t="shared" si="75"/>
        <v/>
      </c>
      <c r="I625" s="460"/>
      <c r="J625" s="460"/>
      <c r="K625" s="460"/>
      <c r="L625" s="460"/>
      <c r="M625" s="460"/>
      <c r="N625" s="220"/>
      <c r="O625" s="220"/>
      <c r="P625" s="220"/>
      <c r="Q625" s="220"/>
      <c r="R625" s="221"/>
      <c r="S625" s="221"/>
      <c r="T625" s="316">
        <f t="shared" si="76"/>
        <v>0</v>
      </c>
      <c r="U625" s="217">
        <f t="shared" si="77"/>
        <v>0</v>
      </c>
      <c r="X625" s="26" t="str">
        <f t="shared" si="78"/>
        <v/>
      </c>
      <c r="Y625" s="21" t="str">
        <f>IF(MATCH(X625,X$300:$X626,0),"Si",1)</f>
        <v>Si</v>
      </c>
      <c r="Z625" s="26">
        <f t="shared" si="79"/>
        <v>0</v>
      </c>
      <c r="AA625" s="26">
        <f t="shared" si="80"/>
        <v>0</v>
      </c>
      <c r="AB625" s="26" t="str">
        <f t="shared" si="81"/>
        <v/>
      </c>
      <c r="AC625" s="26" t="str">
        <f>IF(MATCH(AB625,AB$300:$AB626,0),"0",1)</f>
        <v>0</v>
      </c>
    </row>
    <row r="626" spans="2:29" x14ac:dyDescent="0.35">
      <c r="B626" s="219"/>
      <c r="C626" s="216" t="s">
        <v>1112</v>
      </c>
      <c r="D626" s="216"/>
      <c r="E626" s="220"/>
      <c r="F626" s="220"/>
      <c r="G626" s="220"/>
      <c r="H626" s="220" t="str">
        <f t="shared" si="75"/>
        <v/>
      </c>
      <c r="I626" s="460"/>
      <c r="J626" s="460"/>
      <c r="K626" s="460"/>
      <c r="L626" s="460"/>
      <c r="M626" s="460"/>
      <c r="N626" s="220"/>
      <c r="O626" s="220"/>
      <c r="P626" s="220"/>
      <c r="Q626" s="220"/>
      <c r="R626" s="221"/>
      <c r="S626" s="221"/>
      <c r="T626" s="316">
        <f t="shared" si="76"/>
        <v>0</v>
      </c>
      <c r="U626" s="217">
        <f t="shared" si="77"/>
        <v>0</v>
      </c>
      <c r="X626" s="26" t="str">
        <f t="shared" si="78"/>
        <v/>
      </c>
      <c r="Y626" s="21" t="str">
        <f>IF(MATCH(X626,X$300:$X627,0),"Si",1)</f>
        <v>Si</v>
      </c>
      <c r="Z626" s="26">
        <f t="shared" si="79"/>
        <v>0</v>
      </c>
      <c r="AA626" s="26">
        <f t="shared" si="80"/>
        <v>0</v>
      </c>
      <c r="AB626" s="26" t="str">
        <f t="shared" si="81"/>
        <v/>
      </c>
      <c r="AC626" s="26" t="str">
        <f>IF(MATCH(AB626,AB$300:$AB627,0),"0",1)</f>
        <v>0</v>
      </c>
    </row>
    <row r="627" spans="2:29" x14ac:dyDescent="0.35">
      <c r="B627" s="219"/>
      <c r="C627" s="216" t="s">
        <v>1113</v>
      </c>
      <c r="D627" s="216"/>
      <c r="E627" s="220"/>
      <c r="F627" s="220"/>
      <c r="G627" s="220"/>
      <c r="H627" s="220" t="str">
        <f t="shared" si="75"/>
        <v/>
      </c>
      <c r="I627" s="460"/>
      <c r="J627" s="460"/>
      <c r="K627" s="460"/>
      <c r="L627" s="460"/>
      <c r="M627" s="460"/>
      <c r="N627" s="220"/>
      <c r="O627" s="220"/>
      <c r="P627" s="220"/>
      <c r="Q627" s="220"/>
      <c r="R627" s="221"/>
      <c r="S627" s="221"/>
      <c r="T627" s="316">
        <f t="shared" si="76"/>
        <v>0</v>
      </c>
      <c r="U627" s="217">
        <f t="shared" si="77"/>
        <v>0</v>
      </c>
      <c r="X627" s="26" t="str">
        <f t="shared" si="78"/>
        <v/>
      </c>
      <c r="Y627" s="21" t="str">
        <f>IF(MATCH(X627,X$300:$X628,0),"Si",1)</f>
        <v>Si</v>
      </c>
      <c r="Z627" s="26">
        <f t="shared" si="79"/>
        <v>0</v>
      </c>
      <c r="AA627" s="26">
        <f t="shared" si="80"/>
        <v>0</v>
      </c>
      <c r="AB627" s="26" t="str">
        <f t="shared" si="81"/>
        <v/>
      </c>
      <c r="AC627" s="26" t="str">
        <f>IF(MATCH(AB627,AB$300:$AB628,0),"0",1)</f>
        <v>0</v>
      </c>
    </row>
    <row r="628" spans="2:29" x14ac:dyDescent="0.35">
      <c r="B628" s="219"/>
      <c r="C628" s="216" t="s">
        <v>1114</v>
      </c>
      <c r="D628" s="216"/>
      <c r="E628" s="220"/>
      <c r="F628" s="220"/>
      <c r="G628" s="220"/>
      <c r="H628" s="220" t="str">
        <f t="shared" si="75"/>
        <v/>
      </c>
      <c r="I628" s="460"/>
      <c r="J628" s="460"/>
      <c r="K628" s="460"/>
      <c r="L628" s="460"/>
      <c r="M628" s="460"/>
      <c r="N628" s="220"/>
      <c r="O628" s="220"/>
      <c r="P628" s="220"/>
      <c r="Q628" s="220"/>
      <c r="R628" s="221"/>
      <c r="S628" s="221"/>
      <c r="T628" s="316">
        <f t="shared" si="76"/>
        <v>0</v>
      </c>
      <c r="U628" s="217">
        <f t="shared" si="77"/>
        <v>0</v>
      </c>
      <c r="X628" s="26" t="str">
        <f t="shared" si="78"/>
        <v/>
      </c>
      <c r="Y628" s="21" t="str">
        <f>IF(MATCH(X628,X$300:$X629,0),"Si",1)</f>
        <v>Si</v>
      </c>
      <c r="Z628" s="26">
        <f t="shared" si="79"/>
        <v>0</v>
      </c>
      <c r="AA628" s="26">
        <f t="shared" si="80"/>
        <v>0</v>
      </c>
      <c r="AB628" s="26" t="str">
        <f t="shared" si="81"/>
        <v/>
      </c>
      <c r="AC628" s="26" t="str">
        <f>IF(MATCH(AB628,AB$300:$AB629,0),"0",1)</f>
        <v>0</v>
      </c>
    </row>
    <row r="629" spans="2:29" x14ac:dyDescent="0.35">
      <c r="B629" s="219"/>
      <c r="C629" s="216" t="s">
        <v>1115</v>
      </c>
      <c r="D629" s="216"/>
      <c r="E629" s="220"/>
      <c r="F629" s="220"/>
      <c r="G629" s="220"/>
      <c r="H629" s="220" t="str">
        <f t="shared" si="75"/>
        <v/>
      </c>
      <c r="I629" s="460"/>
      <c r="J629" s="460"/>
      <c r="K629" s="460"/>
      <c r="L629" s="460"/>
      <c r="M629" s="460"/>
      <c r="N629" s="220"/>
      <c r="O629" s="220"/>
      <c r="P629" s="220"/>
      <c r="Q629" s="220"/>
      <c r="R629" s="221"/>
      <c r="S629" s="221"/>
      <c r="T629" s="316">
        <f t="shared" si="76"/>
        <v>0</v>
      </c>
      <c r="U629" s="217">
        <f t="shared" si="77"/>
        <v>0</v>
      </c>
      <c r="X629" s="26" t="str">
        <f t="shared" si="78"/>
        <v/>
      </c>
      <c r="Y629" s="21" t="str">
        <f>IF(MATCH(X629,X$300:$X630,0),"Si",1)</f>
        <v>Si</v>
      </c>
      <c r="Z629" s="26">
        <f t="shared" si="79"/>
        <v>0</v>
      </c>
      <c r="AA629" s="26">
        <f t="shared" si="80"/>
        <v>0</v>
      </c>
      <c r="AB629" s="26" t="str">
        <f t="shared" si="81"/>
        <v/>
      </c>
      <c r="AC629" s="26" t="str">
        <f>IF(MATCH(AB629,AB$300:$AB630,0),"0",1)</f>
        <v>0</v>
      </c>
    </row>
    <row r="630" spans="2:29" x14ac:dyDescent="0.35">
      <c r="B630" s="219"/>
      <c r="C630" s="216" t="s">
        <v>1116</v>
      </c>
      <c r="D630" s="216"/>
      <c r="E630" s="220"/>
      <c r="F630" s="220"/>
      <c r="G630" s="220"/>
      <c r="H630" s="220" t="str">
        <f t="shared" si="75"/>
        <v/>
      </c>
      <c r="I630" s="460"/>
      <c r="J630" s="460"/>
      <c r="K630" s="460"/>
      <c r="L630" s="460"/>
      <c r="M630" s="460"/>
      <c r="N630" s="220"/>
      <c r="O630" s="220"/>
      <c r="P630" s="220"/>
      <c r="Q630" s="220"/>
      <c r="R630" s="221"/>
      <c r="S630" s="221"/>
      <c r="T630" s="316">
        <f t="shared" si="76"/>
        <v>0</v>
      </c>
      <c r="U630" s="217">
        <f t="shared" si="77"/>
        <v>0</v>
      </c>
      <c r="X630" s="26" t="str">
        <f t="shared" si="78"/>
        <v/>
      </c>
      <c r="Y630" s="21" t="str">
        <f>IF(MATCH(X630,X$300:$X631,0),"Si",1)</f>
        <v>Si</v>
      </c>
      <c r="Z630" s="26">
        <f t="shared" si="79"/>
        <v>0</v>
      </c>
      <c r="AA630" s="26">
        <f t="shared" si="80"/>
        <v>0</v>
      </c>
      <c r="AB630" s="26" t="str">
        <f t="shared" si="81"/>
        <v/>
      </c>
      <c r="AC630" s="26" t="str">
        <f>IF(MATCH(AB630,AB$300:$AB631,0),"0",1)</f>
        <v>0</v>
      </c>
    </row>
    <row r="631" spans="2:29" x14ac:dyDescent="0.35">
      <c r="B631" s="219"/>
      <c r="C631" s="216" t="s">
        <v>1117</v>
      </c>
      <c r="D631" s="216"/>
      <c r="E631" s="220"/>
      <c r="F631" s="220"/>
      <c r="G631" s="220"/>
      <c r="H631" s="220" t="str">
        <f t="shared" si="75"/>
        <v/>
      </c>
      <c r="I631" s="460"/>
      <c r="J631" s="460"/>
      <c r="K631" s="460"/>
      <c r="L631" s="460"/>
      <c r="M631" s="460"/>
      <c r="N631" s="220"/>
      <c r="O631" s="220"/>
      <c r="P631" s="220"/>
      <c r="Q631" s="220"/>
      <c r="R631" s="221"/>
      <c r="S631" s="221"/>
      <c r="T631" s="316">
        <f t="shared" si="76"/>
        <v>0</v>
      </c>
      <c r="U631" s="217">
        <f t="shared" si="77"/>
        <v>0</v>
      </c>
      <c r="X631" s="26" t="str">
        <f t="shared" si="78"/>
        <v/>
      </c>
      <c r="Y631" s="21" t="str">
        <f>IF(MATCH(X631,X$300:$X632,0),"Si",1)</f>
        <v>Si</v>
      </c>
      <c r="Z631" s="26">
        <f t="shared" si="79"/>
        <v>0</v>
      </c>
      <c r="AA631" s="26">
        <f t="shared" si="80"/>
        <v>0</v>
      </c>
      <c r="AB631" s="26" t="str">
        <f t="shared" si="81"/>
        <v/>
      </c>
      <c r="AC631" s="26" t="str">
        <f>IF(MATCH(AB631,AB$300:$AB632,0),"0",1)</f>
        <v>0</v>
      </c>
    </row>
    <row r="632" spans="2:29" x14ac:dyDescent="0.35">
      <c r="B632" s="219"/>
      <c r="C632" s="216" t="s">
        <v>1118</v>
      </c>
      <c r="D632" s="216"/>
      <c r="E632" s="220"/>
      <c r="F632" s="220"/>
      <c r="G632" s="220"/>
      <c r="H632" s="220" t="str">
        <f t="shared" si="75"/>
        <v/>
      </c>
      <c r="I632" s="460"/>
      <c r="J632" s="460"/>
      <c r="K632" s="460"/>
      <c r="L632" s="460"/>
      <c r="M632" s="460"/>
      <c r="N632" s="220"/>
      <c r="O632" s="220"/>
      <c r="P632" s="220"/>
      <c r="Q632" s="220"/>
      <c r="R632" s="221"/>
      <c r="S632" s="221"/>
      <c r="T632" s="316">
        <f t="shared" si="76"/>
        <v>0</v>
      </c>
      <c r="U632" s="217">
        <f t="shared" si="77"/>
        <v>0</v>
      </c>
      <c r="X632" s="26" t="str">
        <f t="shared" si="78"/>
        <v/>
      </c>
      <c r="Y632" s="21" t="str">
        <f>IF(MATCH(X632,X$300:$X633,0),"Si",1)</f>
        <v>Si</v>
      </c>
      <c r="Z632" s="26">
        <f t="shared" si="79"/>
        <v>0</v>
      </c>
      <c r="AA632" s="26">
        <f t="shared" si="80"/>
        <v>0</v>
      </c>
      <c r="AB632" s="26" t="str">
        <f t="shared" si="81"/>
        <v/>
      </c>
      <c r="AC632" s="26" t="str">
        <f>IF(MATCH(AB632,AB$300:$AB633,0),"0",1)</f>
        <v>0</v>
      </c>
    </row>
    <row r="633" spans="2:29" x14ac:dyDescent="0.35">
      <c r="B633" s="219"/>
      <c r="C633" s="216" t="s">
        <v>1119</v>
      </c>
      <c r="D633" s="216"/>
      <c r="E633" s="220"/>
      <c r="F633" s="220"/>
      <c r="G633" s="220"/>
      <c r="H633" s="220" t="str">
        <f t="shared" si="75"/>
        <v/>
      </c>
      <c r="I633" s="460"/>
      <c r="J633" s="460"/>
      <c r="K633" s="460"/>
      <c r="L633" s="460"/>
      <c r="M633" s="460"/>
      <c r="N633" s="220"/>
      <c r="O633" s="220"/>
      <c r="P633" s="220"/>
      <c r="Q633" s="220"/>
      <c r="R633" s="221"/>
      <c r="S633" s="221"/>
      <c r="T633" s="316">
        <f t="shared" si="76"/>
        <v>0</v>
      </c>
      <c r="U633" s="217">
        <f t="shared" si="77"/>
        <v>0</v>
      </c>
      <c r="X633" s="26" t="str">
        <f t="shared" si="78"/>
        <v/>
      </c>
      <c r="Y633" s="21" t="str">
        <f>IF(MATCH(X633,X$300:$X634,0),"Si",1)</f>
        <v>Si</v>
      </c>
      <c r="Z633" s="26">
        <f t="shared" si="79"/>
        <v>0</v>
      </c>
      <c r="AA633" s="26">
        <f t="shared" si="80"/>
        <v>0</v>
      </c>
      <c r="AB633" s="26" t="str">
        <f t="shared" si="81"/>
        <v/>
      </c>
      <c r="AC633" s="26" t="str">
        <f>IF(MATCH(AB633,AB$300:$AB634,0),"0",1)</f>
        <v>0</v>
      </c>
    </row>
    <row r="634" spans="2:29" x14ac:dyDescent="0.35">
      <c r="B634" s="219"/>
      <c r="C634" s="216" t="s">
        <v>1120</v>
      </c>
      <c r="D634" s="216"/>
      <c r="E634" s="220"/>
      <c r="F634" s="220"/>
      <c r="G634" s="220"/>
      <c r="H634" s="220" t="str">
        <f t="shared" si="75"/>
        <v/>
      </c>
      <c r="I634" s="460"/>
      <c r="J634" s="460"/>
      <c r="K634" s="460"/>
      <c r="L634" s="460"/>
      <c r="M634" s="460"/>
      <c r="N634" s="220"/>
      <c r="O634" s="220"/>
      <c r="P634" s="220"/>
      <c r="Q634" s="220"/>
      <c r="R634" s="221"/>
      <c r="S634" s="221"/>
      <c r="T634" s="316">
        <f t="shared" si="76"/>
        <v>0</v>
      </c>
      <c r="U634" s="217">
        <f t="shared" si="77"/>
        <v>0</v>
      </c>
      <c r="X634" s="26" t="str">
        <f t="shared" si="78"/>
        <v/>
      </c>
      <c r="Y634" s="21" t="str">
        <f>IF(MATCH(X634,X$300:$X635,0),"Si",1)</f>
        <v>Si</v>
      </c>
      <c r="Z634" s="26">
        <f t="shared" si="79"/>
        <v>0</v>
      </c>
      <c r="AA634" s="26">
        <f t="shared" si="80"/>
        <v>0</v>
      </c>
      <c r="AB634" s="26" t="str">
        <f t="shared" si="81"/>
        <v/>
      </c>
      <c r="AC634" s="26" t="str">
        <f>IF(MATCH(AB634,AB$300:$AB635,0),"0",1)</f>
        <v>0</v>
      </c>
    </row>
    <row r="635" spans="2:29" x14ac:dyDescent="0.35">
      <c r="B635" s="219"/>
      <c r="C635" s="216" t="s">
        <v>1121</v>
      </c>
      <c r="D635" s="216"/>
      <c r="E635" s="220"/>
      <c r="F635" s="220"/>
      <c r="G635" s="220"/>
      <c r="H635" s="220" t="str">
        <f t="shared" si="75"/>
        <v/>
      </c>
      <c r="I635" s="460"/>
      <c r="J635" s="460"/>
      <c r="K635" s="460"/>
      <c r="L635" s="460"/>
      <c r="M635" s="460"/>
      <c r="N635" s="220"/>
      <c r="O635" s="220"/>
      <c r="P635" s="220"/>
      <c r="Q635" s="220"/>
      <c r="R635" s="221"/>
      <c r="S635" s="221"/>
      <c r="T635" s="316">
        <f t="shared" si="76"/>
        <v>0</v>
      </c>
      <c r="U635" s="217">
        <f t="shared" si="77"/>
        <v>0</v>
      </c>
      <c r="X635" s="26" t="str">
        <f t="shared" si="78"/>
        <v/>
      </c>
      <c r="Y635" s="21" t="str">
        <f>IF(MATCH(X635,X$300:$X636,0),"Si",1)</f>
        <v>Si</v>
      </c>
      <c r="Z635" s="26">
        <f t="shared" si="79"/>
        <v>0</v>
      </c>
      <c r="AA635" s="26">
        <f t="shared" si="80"/>
        <v>0</v>
      </c>
      <c r="AB635" s="26" t="str">
        <f t="shared" si="81"/>
        <v/>
      </c>
      <c r="AC635" s="26" t="str">
        <f>IF(MATCH(AB635,AB$300:$AB636,0),"0",1)</f>
        <v>0</v>
      </c>
    </row>
    <row r="636" spans="2:29" x14ac:dyDescent="0.35">
      <c r="B636" s="219"/>
      <c r="C636" s="216" t="s">
        <v>1122</v>
      </c>
      <c r="D636" s="216"/>
      <c r="E636" s="220"/>
      <c r="F636" s="220"/>
      <c r="G636" s="220"/>
      <c r="H636" s="220" t="str">
        <f t="shared" si="75"/>
        <v/>
      </c>
      <c r="I636" s="460"/>
      <c r="J636" s="460"/>
      <c r="K636" s="460"/>
      <c r="L636" s="460"/>
      <c r="M636" s="460"/>
      <c r="N636" s="220"/>
      <c r="O636" s="220"/>
      <c r="P636" s="220"/>
      <c r="Q636" s="220"/>
      <c r="R636" s="221"/>
      <c r="S636" s="221"/>
      <c r="T636" s="316">
        <f t="shared" si="76"/>
        <v>0</v>
      </c>
      <c r="U636" s="217">
        <f t="shared" si="77"/>
        <v>0</v>
      </c>
      <c r="X636" s="26" t="str">
        <f t="shared" si="78"/>
        <v/>
      </c>
      <c r="Y636" s="21" t="str">
        <f>IF(MATCH(X636,X$300:$X637,0),"Si",1)</f>
        <v>Si</v>
      </c>
      <c r="Z636" s="26">
        <f t="shared" si="79"/>
        <v>0</v>
      </c>
      <c r="AA636" s="26">
        <f t="shared" si="80"/>
        <v>0</v>
      </c>
      <c r="AB636" s="26" t="str">
        <f t="shared" si="81"/>
        <v/>
      </c>
      <c r="AC636" s="26" t="str">
        <f>IF(MATCH(AB636,AB$300:$AB637,0),"0",1)</f>
        <v>0</v>
      </c>
    </row>
    <row r="637" spans="2:29" x14ac:dyDescent="0.35">
      <c r="B637" s="219"/>
      <c r="C637" s="216" t="s">
        <v>1123</v>
      </c>
      <c r="D637" s="216"/>
      <c r="E637" s="220"/>
      <c r="F637" s="220"/>
      <c r="G637" s="220"/>
      <c r="H637" s="220" t="str">
        <f t="shared" si="75"/>
        <v/>
      </c>
      <c r="I637" s="460"/>
      <c r="J637" s="460"/>
      <c r="K637" s="460"/>
      <c r="L637" s="460"/>
      <c r="M637" s="460"/>
      <c r="N637" s="220"/>
      <c r="O637" s="220"/>
      <c r="P637" s="220"/>
      <c r="Q637" s="220"/>
      <c r="R637" s="221"/>
      <c r="S637" s="221"/>
      <c r="T637" s="316">
        <f t="shared" si="76"/>
        <v>0</v>
      </c>
      <c r="U637" s="217">
        <f t="shared" si="77"/>
        <v>0</v>
      </c>
      <c r="X637" s="26" t="str">
        <f t="shared" si="78"/>
        <v/>
      </c>
      <c r="Y637" s="21" t="str">
        <f>IF(MATCH(X637,X$300:$X638,0),"Si",1)</f>
        <v>Si</v>
      </c>
      <c r="Z637" s="26">
        <f t="shared" si="79"/>
        <v>0</v>
      </c>
      <c r="AA637" s="26">
        <f t="shared" si="80"/>
        <v>0</v>
      </c>
      <c r="AB637" s="26" t="str">
        <f t="shared" si="81"/>
        <v/>
      </c>
      <c r="AC637" s="26" t="str">
        <f>IF(MATCH(AB637,AB$300:$AB638,0),"0",1)</f>
        <v>0</v>
      </c>
    </row>
    <row r="638" spans="2:29" x14ac:dyDescent="0.35">
      <c r="B638" s="219"/>
      <c r="C638" s="216" t="s">
        <v>1124</v>
      </c>
      <c r="D638" s="216"/>
      <c r="E638" s="220"/>
      <c r="F638" s="220"/>
      <c r="G638" s="220"/>
      <c r="H638" s="220" t="str">
        <f t="shared" si="75"/>
        <v/>
      </c>
      <c r="I638" s="460"/>
      <c r="J638" s="460"/>
      <c r="K638" s="460"/>
      <c r="L638" s="460"/>
      <c r="M638" s="460"/>
      <c r="N638" s="220"/>
      <c r="O638" s="220"/>
      <c r="P638" s="220"/>
      <c r="Q638" s="220"/>
      <c r="R638" s="221"/>
      <c r="S638" s="221"/>
      <c r="T638" s="316">
        <f t="shared" si="76"/>
        <v>0</v>
      </c>
      <c r="U638" s="217">
        <f t="shared" si="77"/>
        <v>0</v>
      </c>
      <c r="X638" s="26" t="str">
        <f t="shared" si="78"/>
        <v/>
      </c>
      <c r="Y638" s="21" t="str">
        <f>IF(MATCH(X638,X$300:$X639,0),"Si",1)</f>
        <v>Si</v>
      </c>
      <c r="Z638" s="26">
        <f t="shared" si="79"/>
        <v>0</v>
      </c>
      <c r="AA638" s="26">
        <f t="shared" si="80"/>
        <v>0</v>
      </c>
      <c r="AB638" s="26" t="str">
        <f t="shared" si="81"/>
        <v/>
      </c>
      <c r="AC638" s="26" t="str">
        <f>IF(MATCH(AB638,AB$300:$AB639,0),"0",1)</f>
        <v>0</v>
      </c>
    </row>
    <row r="639" spans="2:29" x14ac:dyDescent="0.35">
      <c r="B639" s="219"/>
      <c r="C639" s="216" t="s">
        <v>1125</v>
      </c>
      <c r="D639" s="216"/>
      <c r="E639" s="220"/>
      <c r="F639" s="220"/>
      <c r="G639" s="220"/>
      <c r="H639" s="220" t="str">
        <f t="shared" si="75"/>
        <v/>
      </c>
      <c r="I639" s="460"/>
      <c r="J639" s="460"/>
      <c r="K639" s="460"/>
      <c r="L639" s="460"/>
      <c r="M639" s="460"/>
      <c r="N639" s="220"/>
      <c r="O639" s="220"/>
      <c r="P639" s="220"/>
      <c r="Q639" s="220"/>
      <c r="R639" s="221"/>
      <c r="S639" s="221"/>
      <c r="T639" s="316">
        <f t="shared" si="76"/>
        <v>0</v>
      </c>
      <c r="U639" s="217">
        <f t="shared" si="77"/>
        <v>0</v>
      </c>
      <c r="X639" s="26" t="str">
        <f t="shared" si="78"/>
        <v/>
      </c>
      <c r="Y639" s="21" t="str">
        <f>IF(MATCH(X639,X$300:$X640,0),"Si",1)</f>
        <v>Si</v>
      </c>
      <c r="Z639" s="26">
        <f t="shared" si="79"/>
        <v>0</v>
      </c>
      <c r="AA639" s="26">
        <f t="shared" si="80"/>
        <v>0</v>
      </c>
      <c r="AB639" s="26" t="str">
        <f t="shared" si="81"/>
        <v/>
      </c>
      <c r="AC639" s="26" t="str">
        <f>IF(MATCH(AB639,AB$300:$AB640,0),"0",1)</f>
        <v>0</v>
      </c>
    </row>
    <row r="640" spans="2:29" x14ac:dyDescent="0.35">
      <c r="B640" s="219"/>
      <c r="C640" s="216" t="s">
        <v>1126</v>
      </c>
      <c r="D640" s="216"/>
      <c r="E640" s="220"/>
      <c r="F640" s="220"/>
      <c r="G640" s="220"/>
      <c r="H640" s="220" t="str">
        <f t="shared" si="75"/>
        <v/>
      </c>
      <c r="I640" s="460"/>
      <c r="J640" s="460"/>
      <c r="K640" s="460"/>
      <c r="L640" s="460"/>
      <c r="M640" s="460"/>
      <c r="N640" s="220"/>
      <c r="O640" s="220"/>
      <c r="P640" s="220"/>
      <c r="Q640" s="220"/>
      <c r="R640" s="221"/>
      <c r="S640" s="221"/>
      <c r="T640" s="316">
        <f t="shared" si="76"/>
        <v>0</v>
      </c>
      <c r="U640" s="217">
        <f t="shared" si="77"/>
        <v>0</v>
      </c>
      <c r="X640" s="26" t="str">
        <f t="shared" si="78"/>
        <v/>
      </c>
      <c r="Y640" s="21" t="str">
        <f>IF(MATCH(X640,X$300:$X641,0),"Si",1)</f>
        <v>Si</v>
      </c>
      <c r="Z640" s="26">
        <f t="shared" si="79"/>
        <v>0</v>
      </c>
      <c r="AA640" s="26">
        <f t="shared" si="80"/>
        <v>0</v>
      </c>
      <c r="AB640" s="26" t="str">
        <f t="shared" si="81"/>
        <v/>
      </c>
      <c r="AC640" s="26" t="str">
        <f>IF(MATCH(AB640,AB$300:$AB641,0),"0",1)</f>
        <v>0</v>
      </c>
    </row>
    <row r="641" spans="2:29" x14ac:dyDescent="0.35">
      <c r="B641" s="219"/>
      <c r="C641" s="216" t="s">
        <v>1127</v>
      </c>
      <c r="D641" s="216"/>
      <c r="E641" s="220"/>
      <c r="F641" s="220"/>
      <c r="G641" s="220"/>
      <c r="H641" s="220" t="str">
        <f t="shared" si="75"/>
        <v/>
      </c>
      <c r="I641" s="460"/>
      <c r="J641" s="460"/>
      <c r="K641" s="460"/>
      <c r="L641" s="460"/>
      <c r="M641" s="460"/>
      <c r="N641" s="220"/>
      <c r="O641" s="220"/>
      <c r="P641" s="220"/>
      <c r="Q641" s="220"/>
      <c r="R641" s="221"/>
      <c r="S641" s="221"/>
      <c r="T641" s="316">
        <f t="shared" si="76"/>
        <v>0</v>
      </c>
      <c r="U641" s="217">
        <f t="shared" si="77"/>
        <v>0</v>
      </c>
      <c r="X641" s="26" t="str">
        <f t="shared" si="78"/>
        <v/>
      </c>
      <c r="Y641" s="21" t="str">
        <f>IF(MATCH(X641,X$300:$X642,0),"Si",1)</f>
        <v>Si</v>
      </c>
      <c r="Z641" s="26">
        <f t="shared" si="79"/>
        <v>0</v>
      </c>
      <c r="AA641" s="26">
        <f t="shared" si="80"/>
        <v>0</v>
      </c>
      <c r="AB641" s="26" t="str">
        <f t="shared" si="81"/>
        <v/>
      </c>
      <c r="AC641" s="26" t="str">
        <f>IF(MATCH(AB641,AB$300:$AB642,0),"0",1)</f>
        <v>0</v>
      </c>
    </row>
    <row r="642" spans="2:29" x14ac:dyDescent="0.35">
      <c r="B642" s="219"/>
      <c r="C642" s="216" t="s">
        <v>1128</v>
      </c>
      <c r="D642" s="216"/>
      <c r="E642" s="220"/>
      <c r="F642" s="220"/>
      <c r="G642" s="220"/>
      <c r="H642" s="220" t="str">
        <f t="shared" si="75"/>
        <v/>
      </c>
      <c r="I642" s="460"/>
      <c r="J642" s="460"/>
      <c r="K642" s="460"/>
      <c r="L642" s="460"/>
      <c r="M642" s="460"/>
      <c r="N642" s="220"/>
      <c r="O642" s="220"/>
      <c r="P642" s="220"/>
      <c r="Q642" s="220"/>
      <c r="R642" s="221"/>
      <c r="S642" s="221"/>
      <c r="T642" s="316">
        <f t="shared" si="76"/>
        <v>0</v>
      </c>
      <c r="U642" s="217">
        <f t="shared" si="77"/>
        <v>0</v>
      </c>
      <c r="X642" s="26" t="str">
        <f t="shared" si="78"/>
        <v/>
      </c>
      <c r="Y642" s="21" t="str">
        <f>IF(MATCH(X642,X$300:$X643,0),"Si",1)</f>
        <v>Si</v>
      </c>
      <c r="Z642" s="26">
        <f t="shared" si="79"/>
        <v>0</v>
      </c>
      <c r="AA642" s="26">
        <f t="shared" si="80"/>
        <v>0</v>
      </c>
      <c r="AB642" s="26" t="str">
        <f t="shared" si="81"/>
        <v/>
      </c>
      <c r="AC642" s="26" t="str">
        <f>IF(MATCH(AB642,AB$300:$AB643,0),"0",1)</f>
        <v>0</v>
      </c>
    </row>
    <row r="643" spans="2:29" x14ac:dyDescent="0.35">
      <c r="B643" s="219"/>
      <c r="C643" s="216" t="s">
        <v>1129</v>
      </c>
      <c r="D643" s="216"/>
      <c r="E643" s="220"/>
      <c r="F643" s="220"/>
      <c r="G643" s="220"/>
      <c r="H643" s="220" t="str">
        <f t="shared" si="75"/>
        <v/>
      </c>
      <c r="I643" s="460"/>
      <c r="J643" s="460"/>
      <c r="K643" s="460"/>
      <c r="L643" s="460"/>
      <c r="M643" s="460"/>
      <c r="N643" s="220"/>
      <c r="O643" s="220"/>
      <c r="P643" s="220"/>
      <c r="Q643" s="220"/>
      <c r="R643" s="221"/>
      <c r="S643" s="221"/>
      <c r="T643" s="316">
        <f t="shared" si="76"/>
        <v>0</v>
      </c>
      <c r="U643" s="217">
        <f t="shared" si="77"/>
        <v>0</v>
      </c>
      <c r="X643" s="26" t="str">
        <f t="shared" si="78"/>
        <v/>
      </c>
      <c r="Y643" s="21" t="str">
        <f>IF(MATCH(X643,X$300:$X644,0),"Si",1)</f>
        <v>Si</v>
      </c>
      <c r="Z643" s="26">
        <f t="shared" si="79"/>
        <v>0</v>
      </c>
      <c r="AA643" s="26">
        <f t="shared" si="80"/>
        <v>0</v>
      </c>
      <c r="AB643" s="26" t="str">
        <f t="shared" si="81"/>
        <v/>
      </c>
      <c r="AC643" s="26" t="str">
        <f>IF(MATCH(AB643,AB$300:$AB644,0),"0",1)</f>
        <v>0</v>
      </c>
    </row>
    <row r="644" spans="2:29" x14ac:dyDescent="0.35">
      <c r="B644" s="219"/>
      <c r="C644" s="216" t="s">
        <v>1130</v>
      </c>
      <c r="D644" s="216"/>
      <c r="E644" s="220"/>
      <c r="F644" s="220"/>
      <c r="G644" s="220"/>
      <c r="H644" s="220" t="str">
        <f t="shared" si="75"/>
        <v/>
      </c>
      <c r="I644" s="460"/>
      <c r="J644" s="460"/>
      <c r="K644" s="460"/>
      <c r="L644" s="460"/>
      <c r="M644" s="460"/>
      <c r="N644" s="220"/>
      <c r="O644" s="220"/>
      <c r="P644" s="220"/>
      <c r="Q644" s="220"/>
      <c r="R644" s="221"/>
      <c r="S644" s="221"/>
      <c r="T644" s="316">
        <f t="shared" si="76"/>
        <v>0</v>
      </c>
      <c r="U644" s="217">
        <f t="shared" si="77"/>
        <v>0</v>
      </c>
      <c r="X644" s="26" t="str">
        <f t="shared" si="78"/>
        <v/>
      </c>
      <c r="Y644" s="21" t="str">
        <f>IF(MATCH(X644,X$300:$X645,0),"Si",1)</f>
        <v>Si</v>
      </c>
      <c r="Z644" s="26">
        <f t="shared" si="79"/>
        <v>0</v>
      </c>
      <c r="AA644" s="26">
        <f t="shared" si="80"/>
        <v>0</v>
      </c>
      <c r="AB644" s="26" t="str">
        <f t="shared" si="81"/>
        <v/>
      </c>
      <c r="AC644" s="26" t="str">
        <f>IF(MATCH(AB644,AB$300:$AB645,0),"0",1)</f>
        <v>0</v>
      </c>
    </row>
    <row r="645" spans="2:29" x14ac:dyDescent="0.35">
      <c r="B645" s="219"/>
      <c r="C645" s="216" t="s">
        <v>1131</v>
      </c>
      <c r="D645" s="216"/>
      <c r="E645" s="220"/>
      <c r="F645" s="220"/>
      <c r="G645" s="220"/>
      <c r="H645" s="220" t="str">
        <f t="shared" si="75"/>
        <v/>
      </c>
      <c r="I645" s="460"/>
      <c r="J645" s="460"/>
      <c r="K645" s="460"/>
      <c r="L645" s="460"/>
      <c r="M645" s="460"/>
      <c r="N645" s="220"/>
      <c r="O645" s="220"/>
      <c r="P645" s="220"/>
      <c r="Q645" s="220"/>
      <c r="R645" s="221"/>
      <c r="S645" s="221"/>
      <c r="T645" s="316">
        <f t="shared" si="76"/>
        <v>0</v>
      </c>
      <c r="U645" s="217">
        <f t="shared" si="77"/>
        <v>0</v>
      </c>
      <c r="X645" s="26" t="str">
        <f t="shared" si="78"/>
        <v/>
      </c>
      <c r="Y645" s="21" t="str">
        <f>IF(MATCH(X645,X$300:$X646,0),"Si",1)</f>
        <v>Si</v>
      </c>
      <c r="Z645" s="26">
        <f t="shared" si="79"/>
        <v>0</v>
      </c>
      <c r="AA645" s="26">
        <f t="shared" si="80"/>
        <v>0</v>
      </c>
      <c r="AB645" s="26" t="str">
        <f t="shared" si="81"/>
        <v/>
      </c>
      <c r="AC645" s="26" t="str">
        <f>IF(MATCH(AB645,AB$300:$AB646,0),"0",1)</f>
        <v>0</v>
      </c>
    </row>
    <row r="646" spans="2:29" x14ac:dyDescent="0.35">
      <c r="B646" s="219"/>
      <c r="C646" s="216" t="s">
        <v>1132</v>
      </c>
      <c r="D646" s="216"/>
      <c r="E646" s="220"/>
      <c r="F646" s="220"/>
      <c r="G646" s="220"/>
      <c r="H646" s="220" t="str">
        <f t="shared" si="75"/>
        <v/>
      </c>
      <c r="I646" s="460"/>
      <c r="J646" s="460"/>
      <c r="K646" s="460"/>
      <c r="L646" s="460"/>
      <c r="M646" s="460"/>
      <c r="N646" s="220"/>
      <c r="O646" s="220"/>
      <c r="P646" s="220"/>
      <c r="Q646" s="220"/>
      <c r="R646" s="221"/>
      <c r="S646" s="221"/>
      <c r="T646" s="316">
        <f t="shared" si="76"/>
        <v>0</v>
      </c>
      <c r="U646" s="217">
        <f t="shared" si="77"/>
        <v>0</v>
      </c>
      <c r="X646" s="26" t="str">
        <f t="shared" si="78"/>
        <v/>
      </c>
      <c r="Y646" s="21" t="str">
        <f>IF(MATCH(X646,X$300:$X647,0),"Si",1)</f>
        <v>Si</v>
      </c>
      <c r="Z646" s="26">
        <f t="shared" si="79"/>
        <v>0</v>
      </c>
      <c r="AA646" s="26">
        <f t="shared" si="80"/>
        <v>0</v>
      </c>
      <c r="AB646" s="26" t="str">
        <f t="shared" si="81"/>
        <v/>
      </c>
      <c r="AC646" s="26" t="str">
        <f>IF(MATCH(AB646,AB$300:$AB647,0),"0",1)</f>
        <v>0</v>
      </c>
    </row>
    <row r="647" spans="2:29" x14ac:dyDescent="0.35">
      <c r="B647" s="219"/>
      <c r="C647" s="216" t="s">
        <v>1133</v>
      </c>
      <c r="D647" s="216"/>
      <c r="E647" s="220"/>
      <c r="F647" s="220"/>
      <c r="G647" s="220"/>
      <c r="H647" s="220" t="str">
        <f t="shared" si="75"/>
        <v/>
      </c>
      <c r="I647" s="460"/>
      <c r="J647" s="460"/>
      <c r="K647" s="460"/>
      <c r="L647" s="460"/>
      <c r="M647" s="460"/>
      <c r="N647" s="220"/>
      <c r="O647" s="220"/>
      <c r="P647" s="220"/>
      <c r="Q647" s="220"/>
      <c r="R647" s="221"/>
      <c r="S647" s="221"/>
      <c r="T647" s="316">
        <f t="shared" si="76"/>
        <v>0</v>
      </c>
      <c r="U647" s="217">
        <f t="shared" si="77"/>
        <v>0</v>
      </c>
      <c r="X647" s="26" t="str">
        <f t="shared" si="78"/>
        <v/>
      </c>
      <c r="Y647" s="21" t="str">
        <f>IF(MATCH(X647,X$300:$X648,0),"Si",1)</f>
        <v>Si</v>
      </c>
      <c r="Z647" s="26">
        <f t="shared" si="79"/>
        <v>0</v>
      </c>
      <c r="AA647" s="26">
        <f t="shared" si="80"/>
        <v>0</v>
      </c>
      <c r="AB647" s="26" t="str">
        <f t="shared" si="81"/>
        <v/>
      </c>
      <c r="AC647" s="26" t="str">
        <f>IF(MATCH(AB647,AB$300:$AB648,0),"0",1)</f>
        <v>0</v>
      </c>
    </row>
    <row r="648" spans="2:29" x14ac:dyDescent="0.35">
      <c r="B648" s="219"/>
      <c r="C648" s="216" t="s">
        <v>1134</v>
      </c>
      <c r="D648" s="216"/>
      <c r="E648" s="220"/>
      <c r="F648" s="220"/>
      <c r="G648" s="220"/>
      <c r="H648" s="220" t="str">
        <f t="shared" si="75"/>
        <v/>
      </c>
      <c r="I648" s="460"/>
      <c r="J648" s="460"/>
      <c r="K648" s="460"/>
      <c r="L648" s="460"/>
      <c r="M648" s="460"/>
      <c r="N648" s="220"/>
      <c r="O648" s="220"/>
      <c r="P648" s="220"/>
      <c r="Q648" s="220"/>
      <c r="R648" s="221"/>
      <c r="S648" s="221"/>
      <c r="T648" s="316">
        <f t="shared" si="76"/>
        <v>0</v>
      </c>
      <c r="U648" s="217">
        <f t="shared" si="77"/>
        <v>0</v>
      </c>
      <c r="X648" s="26" t="str">
        <f t="shared" si="78"/>
        <v/>
      </c>
      <c r="Y648" s="21" t="str">
        <f>IF(MATCH(X648,X$300:$X649,0),"Si",1)</f>
        <v>Si</v>
      </c>
      <c r="Z648" s="26">
        <f t="shared" si="79"/>
        <v>0</v>
      </c>
      <c r="AA648" s="26">
        <f t="shared" si="80"/>
        <v>0</v>
      </c>
      <c r="AB648" s="26" t="str">
        <f t="shared" si="81"/>
        <v/>
      </c>
      <c r="AC648" s="26" t="str">
        <f>IF(MATCH(AB648,AB$300:$AB649,0),"0",1)</f>
        <v>0</v>
      </c>
    </row>
    <row r="649" spans="2:29" x14ac:dyDescent="0.35">
      <c r="B649" s="219"/>
      <c r="C649" s="216" t="s">
        <v>1135</v>
      </c>
      <c r="D649" s="216"/>
      <c r="E649" s="220"/>
      <c r="F649" s="220"/>
      <c r="G649" s="220"/>
      <c r="H649" s="220" t="str">
        <f t="shared" si="75"/>
        <v/>
      </c>
      <c r="I649" s="460"/>
      <c r="J649" s="460"/>
      <c r="K649" s="460"/>
      <c r="L649" s="460"/>
      <c r="M649" s="460"/>
      <c r="N649" s="220"/>
      <c r="O649" s="220"/>
      <c r="P649" s="220"/>
      <c r="Q649" s="220"/>
      <c r="R649" s="221"/>
      <c r="S649" s="221"/>
      <c r="T649" s="316">
        <f t="shared" si="76"/>
        <v>0</v>
      </c>
      <c r="U649" s="217">
        <f t="shared" si="77"/>
        <v>0</v>
      </c>
      <c r="X649" s="26" t="str">
        <f t="shared" si="78"/>
        <v/>
      </c>
      <c r="Y649" s="21" t="str">
        <f>IF(MATCH(X649,X$300:$X650,0),"Si",1)</f>
        <v>Si</v>
      </c>
      <c r="Z649" s="26">
        <f t="shared" si="79"/>
        <v>0</v>
      </c>
      <c r="AA649" s="26">
        <f t="shared" si="80"/>
        <v>0</v>
      </c>
      <c r="AB649" s="26" t="str">
        <f t="shared" si="81"/>
        <v/>
      </c>
      <c r="AC649" s="26" t="str">
        <f>IF(MATCH(AB649,AB$300:$AB650,0),"0",1)</f>
        <v>0</v>
      </c>
    </row>
    <row r="650" spans="2:29" x14ac:dyDescent="0.35">
      <c r="B650" s="219"/>
      <c r="C650" s="216" t="s">
        <v>1136</v>
      </c>
      <c r="D650" s="216"/>
      <c r="E650" s="220"/>
      <c r="F650" s="220"/>
      <c r="G650" s="220"/>
      <c r="H650" s="220" t="str">
        <f t="shared" si="75"/>
        <v/>
      </c>
      <c r="I650" s="460"/>
      <c r="J650" s="460"/>
      <c r="K650" s="460"/>
      <c r="L650" s="460"/>
      <c r="M650" s="460"/>
      <c r="N650" s="220"/>
      <c r="O650" s="220"/>
      <c r="P650" s="220"/>
      <c r="Q650" s="220"/>
      <c r="R650" s="221"/>
      <c r="S650" s="221"/>
      <c r="T650" s="316">
        <f t="shared" si="76"/>
        <v>0</v>
      </c>
      <c r="U650" s="217">
        <f t="shared" si="77"/>
        <v>0</v>
      </c>
      <c r="X650" s="26" t="str">
        <f t="shared" si="78"/>
        <v/>
      </c>
      <c r="Y650" s="21" t="str">
        <f>IF(MATCH(X650,X$300:$X651,0),"Si",1)</f>
        <v>Si</v>
      </c>
      <c r="Z650" s="26">
        <f t="shared" si="79"/>
        <v>0</v>
      </c>
      <c r="AA650" s="26">
        <f t="shared" si="80"/>
        <v>0</v>
      </c>
      <c r="AB650" s="26" t="str">
        <f t="shared" si="81"/>
        <v/>
      </c>
      <c r="AC650" s="26" t="str">
        <f>IF(MATCH(AB650,AB$300:$AB651,0),"0",1)</f>
        <v>0</v>
      </c>
    </row>
    <row r="651" spans="2:29" x14ac:dyDescent="0.35">
      <c r="B651" s="219"/>
      <c r="C651" s="216" t="s">
        <v>1137</v>
      </c>
      <c r="D651" s="216"/>
      <c r="E651" s="220"/>
      <c r="F651" s="220"/>
      <c r="G651" s="220"/>
      <c r="H651" s="220" t="str">
        <f t="shared" si="75"/>
        <v/>
      </c>
      <c r="I651" s="460"/>
      <c r="J651" s="460"/>
      <c r="K651" s="460"/>
      <c r="L651" s="460"/>
      <c r="M651" s="460"/>
      <c r="N651" s="220"/>
      <c r="O651" s="220"/>
      <c r="P651" s="220"/>
      <c r="Q651" s="220"/>
      <c r="R651" s="221"/>
      <c r="S651" s="221"/>
      <c r="T651" s="316">
        <f t="shared" si="76"/>
        <v>0</v>
      </c>
      <c r="U651" s="217">
        <f t="shared" si="77"/>
        <v>0</v>
      </c>
      <c r="X651" s="26" t="str">
        <f t="shared" si="78"/>
        <v/>
      </c>
      <c r="Y651" s="21" t="str">
        <f>IF(MATCH(X651,X$300:$X652,0),"Si",1)</f>
        <v>Si</v>
      </c>
      <c r="Z651" s="26">
        <f t="shared" si="79"/>
        <v>0</v>
      </c>
      <c r="AA651" s="26">
        <f t="shared" si="80"/>
        <v>0</v>
      </c>
      <c r="AB651" s="26" t="str">
        <f t="shared" si="81"/>
        <v/>
      </c>
      <c r="AC651" s="26" t="str">
        <f>IF(MATCH(AB651,AB$300:$AB652,0),"0",1)</f>
        <v>0</v>
      </c>
    </row>
    <row r="652" spans="2:29" x14ac:dyDescent="0.35">
      <c r="B652" s="219"/>
      <c r="C652" s="216" t="s">
        <v>1138</v>
      </c>
      <c r="D652" s="216"/>
      <c r="E652" s="220"/>
      <c r="F652" s="220"/>
      <c r="G652" s="220"/>
      <c r="H652" s="220" t="str">
        <f t="shared" si="75"/>
        <v/>
      </c>
      <c r="I652" s="460"/>
      <c r="J652" s="460"/>
      <c r="K652" s="460"/>
      <c r="L652" s="460"/>
      <c r="M652" s="460"/>
      <c r="N652" s="220"/>
      <c r="O652" s="220"/>
      <c r="P652" s="220"/>
      <c r="Q652" s="220"/>
      <c r="R652" s="221"/>
      <c r="S652" s="221"/>
      <c r="T652" s="316">
        <f t="shared" si="76"/>
        <v>0</v>
      </c>
      <c r="U652" s="217">
        <f t="shared" si="77"/>
        <v>0</v>
      </c>
      <c r="X652" s="26" t="str">
        <f t="shared" si="78"/>
        <v/>
      </c>
      <c r="Y652" s="21" t="str">
        <f>IF(MATCH(X652,X$300:$X653,0),"Si",1)</f>
        <v>Si</v>
      </c>
      <c r="Z652" s="26">
        <f t="shared" si="79"/>
        <v>0</v>
      </c>
      <c r="AA652" s="26">
        <f t="shared" si="80"/>
        <v>0</v>
      </c>
      <c r="AB652" s="26" t="str">
        <f t="shared" si="81"/>
        <v/>
      </c>
      <c r="AC652" s="26" t="str">
        <f>IF(MATCH(AB652,AB$300:$AB653,0),"0",1)</f>
        <v>0</v>
      </c>
    </row>
    <row r="653" spans="2:29" x14ac:dyDescent="0.35">
      <c r="B653" s="219"/>
      <c r="C653" s="216" t="s">
        <v>1139</v>
      </c>
      <c r="D653" s="216"/>
      <c r="E653" s="220"/>
      <c r="F653" s="220"/>
      <c r="G653" s="220"/>
      <c r="H653" s="220" t="str">
        <f t="shared" si="75"/>
        <v/>
      </c>
      <c r="I653" s="460"/>
      <c r="J653" s="460"/>
      <c r="K653" s="460"/>
      <c r="L653" s="460"/>
      <c r="M653" s="460"/>
      <c r="N653" s="220"/>
      <c r="O653" s="220"/>
      <c r="P653" s="220"/>
      <c r="Q653" s="220"/>
      <c r="R653" s="221"/>
      <c r="S653" s="221"/>
      <c r="T653" s="316">
        <f t="shared" si="76"/>
        <v>0</v>
      </c>
      <c r="U653" s="217">
        <f t="shared" si="77"/>
        <v>0</v>
      </c>
      <c r="X653" s="26" t="str">
        <f t="shared" si="78"/>
        <v/>
      </c>
      <c r="Y653" s="21" t="str">
        <f>IF(MATCH(X653,X$300:$X654,0),"Si",1)</f>
        <v>Si</v>
      </c>
      <c r="Z653" s="26">
        <f t="shared" si="79"/>
        <v>0</v>
      </c>
      <c r="AA653" s="26">
        <f t="shared" si="80"/>
        <v>0</v>
      </c>
      <c r="AB653" s="26" t="str">
        <f t="shared" si="81"/>
        <v/>
      </c>
      <c r="AC653" s="26" t="str">
        <f>IF(MATCH(AB653,AB$300:$AB654,0),"0",1)</f>
        <v>0</v>
      </c>
    </row>
    <row r="654" spans="2:29" x14ac:dyDescent="0.35">
      <c r="B654" s="219"/>
      <c r="C654" s="216" t="s">
        <v>1140</v>
      </c>
      <c r="D654" s="216"/>
      <c r="E654" s="220"/>
      <c r="F654" s="220"/>
      <c r="G654" s="220"/>
      <c r="H654" s="220" t="str">
        <f t="shared" si="75"/>
        <v/>
      </c>
      <c r="I654" s="460"/>
      <c r="J654" s="460"/>
      <c r="K654" s="460"/>
      <c r="L654" s="460"/>
      <c r="M654" s="460"/>
      <c r="N654" s="220"/>
      <c r="O654" s="220"/>
      <c r="P654" s="220"/>
      <c r="Q654" s="220"/>
      <c r="R654" s="221"/>
      <c r="S654" s="221"/>
      <c r="T654" s="316">
        <f t="shared" si="76"/>
        <v>0</v>
      </c>
      <c r="U654" s="217">
        <f t="shared" si="77"/>
        <v>0</v>
      </c>
      <c r="X654" s="26" t="str">
        <f t="shared" si="78"/>
        <v/>
      </c>
      <c r="Y654" s="21" t="str">
        <f>IF(MATCH(X654,X$300:$X655,0),"Si",1)</f>
        <v>Si</v>
      </c>
      <c r="Z654" s="26">
        <f t="shared" si="79"/>
        <v>0</v>
      </c>
      <c r="AA654" s="26">
        <f t="shared" si="80"/>
        <v>0</v>
      </c>
      <c r="AB654" s="26" t="str">
        <f t="shared" si="81"/>
        <v/>
      </c>
      <c r="AC654" s="26" t="str">
        <f>IF(MATCH(AB654,AB$300:$AB655,0),"0",1)</f>
        <v>0</v>
      </c>
    </row>
    <row r="655" spans="2:29" x14ac:dyDescent="0.35">
      <c r="B655" s="219"/>
      <c r="C655" s="216" t="s">
        <v>1141</v>
      </c>
      <c r="D655" s="216"/>
      <c r="E655" s="220"/>
      <c r="F655" s="220"/>
      <c r="G655" s="220"/>
      <c r="H655" s="220" t="str">
        <f t="shared" si="75"/>
        <v/>
      </c>
      <c r="I655" s="460"/>
      <c r="J655" s="460"/>
      <c r="K655" s="460"/>
      <c r="L655" s="460"/>
      <c r="M655" s="460"/>
      <c r="N655" s="220"/>
      <c r="O655" s="220"/>
      <c r="P655" s="220"/>
      <c r="Q655" s="220"/>
      <c r="R655" s="221"/>
      <c r="S655" s="221"/>
      <c r="T655" s="316">
        <f t="shared" si="76"/>
        <v>0</v>
      </c>
      <c r="U655" s="217">
        <f t="shared" si="77"/>
        <v>0</v>
      </c>
      <c r="X655" s="26" t="str">
        <f t="shared" si="78"/>
        <v/>
      </c>
      <c r="Y655" s="21" t="str">
        <f>IF(MATCH(X655,X$300:$X656,0),"Si",1)</f>
        <v>Si</v>
      </c>
      <c r="Z655" s="26">
        <f t="shared" si="79"/>
        <v>0</v>
      </c>
      <c r="AA655" s="26">
        <f t="shared" si="80"/>
        <v>0</v>
      </c>
      <c r="AB655" s="26" t="str">
        <f t="shared" si="81"/>
        <v/>
      </c>
      <c r="AC655" s="26" t="str">
        <f>IF(MATCH(AB655,AB$300:$AB656,0),"0",1)</f>
        <v>0</v>
      </c>
    </row>
    <row r="656" spans="2:29" x14ac:dyDescent="0.35">
      <c r="B656" s="219"/>
      <c r="C656" s="216" t="s">
        <v>1142</v>
      </c>
      <c r="D656" s="216"/>
      <c r="E656" s="220"/>
      <c r="F656" s="220"/>
      <c r="G656" s="220"/>
      <c r="H656" s="220" t="str">
        <f t="shared" si="75"/>
        <v/>
      </c>
      <c r="I656" s="460"/>
      <c r="J656" s="460"/>
      <c r="K656" s="460"/>
      <c r="L656" s="460"/>
      <c r="M656" s="460"/>
      <c r="N656" s="220"/>
      <c r="O656" s="220"/>
      <c r="P656" s="220"/>
      <c r="Q656" s="220"/>
      <c r="R656" s="221"/>
      <c r="S656" s="221"/>
      <c r="T656" s="316">
        <f t="shared" si="76"/>
        <v>0</v>
      </c>
      <c r="U656" s="217">
        <f t="shared" si="77"/>
        <v>0</v>
      </c>
      <c r="X656" s="26" t="str">
        <f t="shared" si="78"/>
        <v/>
      </c>
      <c r="Y656" s="21" t="str">
        <f>IF(MATCH(X656,X$300:$X657,0),"Si",1)</f>
        <v>Si</v>
      </c>
      <c r="Z656" s="26">
        <f t="shared" si="79"/>
        <v>0</v>
      </c>
      <c r="AA656" s="26">
        <f t="shared" si="80"/>
        <v>0</v>
      </c>
      <c r="AB656" s="26" t="str">
        <f t="shared" si="81"/>
        <v/>
      </c>
      <c r="AC656" s="26" t="str">
        <f>IF(MATCH(AB656,AB$300:$AB657,0),"0",1)</f>
        <v>0</v>
      </c>
    </row>
    <row r="657" spans="2:29" x14ac:dyDescent="0.35">
      <c r="B657" s="219"/>
      <c r="C657" s="216" t="s">
        <v>1143</v>
      </c>
      <c r="D657" s="216"/>
      <c r="E657" s="220"/>
      <c r="F657" s="220"/>
      <c r="G657" s="220"/>
      <c r="H657" s="220" t="str">
        <f t="shared" si="75"/>
        <v/>
      </c>
      <c r="I657" s="460"/>
      <c r="J657" s="460"/>
      <c r="K657" s="460"/>
      <c r="L657" s="460"/>
      <c r="M657" s="460"/>
      <c r="N657" s="220"/>
      <c r="O657" s="220"/>
      <c r="P657" s="220"/>
      <c r="Q657" s="220"/>
      <c r="R657" s="221"/>
      <c r="S657" s="221"/>
      <c r="T657" s="316">
        <f t="shared" si="76"/>
        <v>0</v>
      </c>
      <c r="U657" s="217">
        <f t="shared" si="77"/>
        <v>0</v>
      </c>
      <c r="X657" s="26" t="str">
        <f t="shared" si="78"/>
        <v/>
      </c>
      <c r="Y657" s="21" t="str">
        <f>IF(MATCH(X657,X$300:$X658,0),"Si",1)</f>
        <v>Si</v>
      </c>
      <c r="Z657" s="26">
        <f t="shared" si="79"/>
        <v>0</v>
      </c>
      <c r="AA657" s="26">
        <f t="shared" si="80"/>
        <v>0</v>
      </c>
      <c r="AB657" s="26" t="str">
        <f t="shared" si="81"/>
        <v/>
      </c>
      <c r="AC657" s="26" t="str">
        <f>IF(MATCH(AB657,AB$300:$AB658,0),"0",1)</f>
        <v>0</v>
      </c>
    </row>
    <row r="658" spans="2:29" x14ac:dyDescent="0.35">
      <c r="B658" s="219"/>
      <c r="C658" s="216" t="s">
        <v>1144</v>
      </c>
      <c r="D658" s="216"/>
      <c r="E658" s="220"/>
      <c r="F658" s="220"/>
      <c r="G658" s="220"/>
      <c r="H658" s="220" t="str">
        <f t="shared" ref="H658:H721" si="82">IF(G658=0,"",IF(G658&lt;&gt;"Error","No",""))</f>
        <v/>
      </c>
      <c r="I658" s="460"/>
      <c r="J658" s="460"/>
      <c r="K658" s="460"/>
      <c r="L658" s="460"/>
      <c r="M658" s="460"/>
      <c r="N658" s="220"/>
      <c r="O658" s="220"/>
      <c r="P658" s="220"/>
      <c r="Q658" s="220"/>
      <c r="R658" s="221"/>
      <c r="S658" s="221"/>
      <c r="T658" s="316">
        <f t="shared" si="76"/>
        <v>0</v>
      </c>
      <c r="U658" s="217">
        <f t="shared" si="77"/>
        <v>0</v>
      </c>
      <c r="X658" s="26" t="str">
        <f t="shared" si="78"/>
        <v/>
      </c>
      <c r="Y658" s="21" t="str">
        <f>IF(MATCH(X658,X$300:$X659,0),"Si",1)</f>
        <v>Si</v>
      </c>
      <c r="Z658" s="26">
        <f t="shared" si="79"/>
        <v>0</v>
      </c>
      <c r="AA658" s="26">
        <f t="shared" si="80"/>
        <v>0</v>
      </c>
      <c r="AB658" s="26" t="str">
        <f t="shared" si="81"/>
        <v/>
      </c>
      <c r="AC658" s="26" t="str">
        <f>IF(MATCH(AB658,AB$300:$AB659,0),"0",1)</f>
        <v>0</v>
      </c>
    </row>
    <row r="659" spans="2:29" x14ac:dyDescent="0.35">
      <c r="B659" s="219"/>
      <c r="C659" s="216" t="s">
        <v>1145</v>
      </c>
      <c r="D659" s="216"/>
      <c r="E659" s="220"/>
      <c r="F659" s="220"/>
      <c r="G659" s="220"/>
      <c r="H659" s="220" t="str">
        <f t="shared" si="82"/>
        <v/>
      </c>
      <c r="I659" s="460"/>
      <c r="J659" s="460"/>
      <c r="K659" s="460"/>
      <c r="L659" s="460"/>
      <c r="M659" s="460"/>
      <c r="N659" s="220"/>
      <c r="O659" s="220"/>
      <c r="P659" s="220"/>
      <c r="Q659" s="220"/>
      <c r="R659" s="221"/>
      <c r="S659" s="221"/>
      <c r="T659" s="316">
        <f t="shared" si="76"/>
        <v>0</v>
      </c>
      <c r="U659" s="217">
        <f t="shared" si="77"/>
        <v>0</v>
      </c>
      <c r="X659" s="26" t="str">
        <f t="shared" si="78"/>
        <v/>
      </c>
      <c r="Y659" s="21" t="str">
        <f>IF(MATCH(X659,X$300:$X660,0),"Si",1)</f>
        <v>Si</v>
      </c>
      <c r="Z659" s="26">
        <f t="shared" si="79"/>
        <v>0</v>
      </c>
      <c r="AA659" s="26">
        <f t="shared" si="80"/>
        <v>0</v>
      </c>
      <c r="AB659" s="26" t="str">
        <f t="shared" si="81"/>
        <v/>
      </c>
      <c r="AC659" s="26" t="str">
        <f>IF(MATCH(AB659,AB$300:$AB660,0),"0",1)</f>
        <v>0</v>
      </c>
    </row>
    <row r="660" spans="2:29" x14ac:dyDescent="0.35">
      <c r="B660" s="219"/>
      <c r="C660" s="216" t="s">
        <v>1146</v>
      </c>
      <c r="D660" s="216"/>
      <c r="E660" s="220"/>
      <c r="F660" s="220"/>
      <c r="G660" s="220"/>
      <c r="H660" s="220" t="str">
        <f t="shared" si="82"/>
        <v/>
      </c>
      <c r="I660" s="460"/>
      <c r="J660" s="460"/>
      <c r="K660" s="460"/>
      <c r="L660" s="460"/>
      <c r="M660" s="460"/>
      <c r="N660" s="220"/>
      <c r="O660" s="220"/>
      <c r="P660" s="220"/>
      <c r="Q660" s="220"/>
      <c r="R660" s="221"/>
      <c r="S660" s="221"/>
      <c r="T660" s="316">
        <f t="shared" si="76"/>
        <v>0</v>
      </c>
      <c r="U660" s="217">
        <f t="shared" si="77"/>
        <v>0</v>
      </c>
      <c r="X660" s="26" t="str">
        <f t="shared" si="78"/>
        <v/>
      </c>
      <c r="Y660" s="21" t="str">
        <f>IF(MATCH(X660,X$300:$X661,0),"Si",1)</f>
        <v>Si</v>
      </c>
      <c r="Z660" s="26">
        <f t="shared" si="79"/>
        <v>0</v>
      </c>
      <c r="AA660" s="26">
        <f t="shared" si="80"/>
        <v>0</v>
      </c>
      <c r="AB660" s="26" t="str">
        <f t="shared" si="81"/>
        <v/>
      </c>
      <c r="AC660" s="26" t="str">
        <f>IF(MATCH(AB660,AB$300:$AB661,0),"0",1)</f>
        <v>0</v>
      </c>
    </row>
    <row r="661" spans="2:29" x14ac:dyDescent="0.35">
      <c r="B661" s="219"/>
      <c r="C661" s="216" t="s">
        <v>1147</v>
      </c>
      <c r="D661" s="216"/>
      <c r="E661" s="220"/>
      <c r="F661" s="220"/>
      <c r="G661" s="220"/>
      <c r="H661" s="220" t="str">
        <f t="shared" si="82"/>
        <v/>
      </c>
      <c r="I661" s="460"/>
      <c r="J661" s="460"/>
      <c r="K661" s="460"/>
      <c r="L661" s="460"/>
      <c r="M661" s="460"/>
      <c r="N661" s="220"/>
      <c r="O661" s="220"/>
      <c r="P661" s="220"/>
      <c r="Q661" s="220"/>
      <c r="R661" s="221"/>
      <c r="S661" s="221"/>
      <c r="T661" s="316">
        <f t="shared" si="76"/>
        <v>0</v>
      </c>
      <c r="U661" s="217">
        <f t="shared" si="77"/>
        <v>0</v>
      </c>
      <c r="X661" s="26" t="str">
        <f t="shared" si="78"/>
        <v/>
      </c>
      <c r="Y661" s="21" t="str">
        <f>IF(MATCH(X661,X$300:$X662,0),"Si",1)</f>
        <v>Si</v>
      </c>
      <c r="Z661" s="26">
        <f t="shared" si="79"/>
        <v>0</v>
      </c>
      <c r="AA661" s="26">
        <f t="shared" si="80"/>
        <v>0</v>
      </c>
      <c r="AB661" s="26" t="str">
        <f t="shared" si="81"/>
        <v/>
      </c>
      <c r="AC661" s="26" t="str">
        <f>IF(MATCH(AB661,AB$300:$AB662,0),"0",1)</f>
        <v>0</v>
      </c>
    </row>
    <row r="662" spans="2:29" x14ac:dyDescent="0.35">
      <c r="B662" s="219"/>
      <c r="C662" s="216" t="s">
        <v>1148</v>
      </c>
      <c r="D662" s="216"/>
      <c r="E662" s="220"/>
      <c r="F662" s="220"/>
      <c r="G662" s="220"/>
      <c r="H662" s="220" t="str">
        <f t="shared" si="82"/>
        <v/>
      </c>
      <c r="I662" s="460"/>
      <c r="J662" s="460"/>
      <c r="K662" s="460"/>
      <c r="L662" s="460"/>
      <c r="M662" s="460"/>
      <c r="N662" s="220"/>
      <c r="O662" s="220"/>
      <c r="P662" s="220"/>
      <c r="Q662" s="220"/>
      <c r="R662" s="221"/>
      <c r="S662" s="221"/>
      <c r="T662" s="316">
        <f t="shared" si="76"/>
        <v>0</v>
      </c>
      <c r="U662" s="217">
        <f t="shared" si="77"/>
        <v>0</v>
      </c>
      <c r="X662" s="26" t="str">
        <f t="shared" si="78"/>
        <v/>
      </c>
      <c r="Y662" s="21" t="str">
        <f>IF(MATCH(X662,X$300:$X663,0),"Si",1)</f>
        <v>Si</v>
      </c>
      <c r="Z662" s="26">
        <f t="shared" si="79"/>
        <v>0</v>
      </c>
      <c r="AA662" s="26">
        <f t="shared" si="80"/>
        <v>0</v>
      </c>
      <c r="AB662" s="26" t="str">
        <f t="shared" si="81"/>
        <v/>
      </c>
      <c r="AC662" s="26" t="str">
        <f>IF(MATCH(AB662,AB$300:$AB663,0),"0",1)</f>
        <v>0</v>
      </c>
    </row>
    <row r="663" spans="2:29" x14ac:dyDescent="0.35">
      <c r="B663" s="219"/>
      <c r="C663" s="216" t="s">
        <v>1149</v>
      </c>
      <c r="D663" s="216"/>
      <c r="E663" s="220"/>
      <c r="F663" s="220"/>
      <c r="G663" s="220"/>
      <c r="H663" s="220" t="str">
        <f t="shared" si="82"/>
        <v/>
      </c>
      <c r="I663" s="460"/>
      <c r="J663" s="460"/>
      <c r="K663" s="460"/>
      <c r="L663" s="460"/>
      <c r="M663" s="460"/>
      <c r="N663" s="220"/>
      <c r="O663" s="220"/>
      <c r="P663" s="220"/>
      <c r="Q663" s="220"/>
      <c r="R663" s="221"/>
      <c r="S663" s="221"/>
      <c r="T663" s="316">
        <f t="shared" si="76"/>
        <v>0</v>
      </c>
      <c r="U663" s="217">
        <f t="shared" si="77"/>
        <v>0</v>
      </c>
      <c r="X663" s="26" t="str">
        <f t="shared" si="78"/>
        <v/>
      </c>
      <c r="Y663" s="21" t="str">
        <f>IF(MATCH(X663,X$300:$X664,0),"Si",1)</f>
        <v>Si</v>
      </c>
      <c r="Z663" s="26">
        <f t="shared" si="79"/>
        <v>0</v>
      </c>
      <c r="AA663" s="26">
        <f t="shared" si="80"/>
        <v>0</v>
      </c>
      <c r="AB663" s="26" t="str">
        <f t="shared" si="81"/>
        <v/>
      </c>
      <c r="AC663" s="26" t="str">
        <f>IF(MATCH(AB663,AB$300:$AB664,0),"0",1)</f>
        <v>0</v>
      </c>
    </row>
    <row r="664" spans="2:29" x14ac:dyDescent="0.35">
      <c r="B664" s="219"/>
      <c r="C664" s="216" t="s">
        <v>1150</v>
      </c>
      <c r="D664" s="216"/>
      <c r="E664" s="220"/>
      <c r="F664" s="220"/>
      <c r="G664" s="220"/>
      <c r="H664" s="220" t="str">
        <f t="shared" si="82"/>
        <v/>
      </c>
      <c r="I664" s="460"/>
      <c r="J664" s="460"/>
      <c r="K664" s="460"/>
      <c r="L664" s="460"/>
      <c r="M664" s="460"/>
      <c r="N664" s="220"/>
      <c r="O664" s="220"/>
      <c r="P664" s="220"/>
      <c r="Q664" s="220"/>
      <c r="R664" s="221"/>
      <c r="S664" s="221"/>
      <c r="T664" s="316">
        <f t="shared" si="76"/>
        <v>0</v>
      </c>
      <c r="U664" s="217">
        <f t="shared" si="77"/>
        <v>0</v>
      </c>
      <c r="X664" s="26" t="str">
        <f t="shared" si="78"/>
        <v/>
      </c>
      <c r="Y664" s="21" t="str">
        <f>IF(MATCH(X664,X$300:$X665,0),"Si",1)</f>
        <v>Si</v>
      </c>
      <c r="Z664" s="26">
        <f t="shared" si="79"/>
        <v>0</v>
      </c>
      <c r="AA664" s="26">
        <f t="shared" si="80"/>
        <v>0</v>
      </c>
      <c r="AB664" s="26" t="str">
        <f t="shared" si="81"/>
        <v/>
      </c>
      <c r="AC664" s="26" t="str">
        <f>IF(MATCH(AB664,AB$300:$AB665,0),"0",1)</f>
        <v>0</v>
      </c>
    </row>
    <row r="665" spans="2:29" x14ac:dyDescent="0.35">
      <c r="B665" s="219"/>
      <c r="C665" s="216" t="s">
        <v>1151</v>
      </c>
      <c r="D665" s="216"/>
      <c r="E665" s="220"/>
      <c r="F665" s="220"/>
      <c r="G665" s="220"/>
      <c r="H665" s="220" t="str">
        <f t="shared" si="82"/>
        <v/>
      </c>
      <c r="I665" s="460"/>
      <c r="J665" s="460"/>
      <c r="K665" s="460"/>
      <c r="L665" s="460"/>
      <c r="M665" s="460"/>
      <c r="N665" s="220"/>
      <c r="O665" s="220"/>
      <c r="P665" s="220"/>
      <c r="Q665" s="220"/>
      <c r="R665" s="221"/>
      <c r="S665" s="221"/>
      <c r="T665" s="316">
        <f t="shared" si="76"/>
        <v>0</v>
      </c>
      <c r="U665" s="217">
        <f t="shared" si="77"/>
        <v>0</v>
      </c>
      <c r="X665" s="26" t="str">
        <f t="shared" si="78"/>
        <v/>
      </c>
      <c r="Y665" s="21" t="str">
        <f>IF(MATCH(X665,X$300:$X666,0),"Si",1)</f>
        <v>Si</v>
      </c>
      <c r="Z665" s="26">
        <f t="shared" si="79"/>
        <v>0</v>
      </c>
      <c r="AA665" s="26">
        <f t="shared" si="80"/>
        <v>0</v>
      </c>
      <c r="AB665" s="26" t="str">
        <f t="shared" si="81"/>
        <v/>
      </c>
      <c r="AC665" s="26" t="str">
        <f>IF(MATCH(AB665,AB$300:$AB666,0),"0",1)</f>
        <v>0</v>
      </c>
    </row>
    <row r="666" spans="2:29" x14ac:dyDescent="0.35">
      <c r="B666" s="219"/>
      <c r="C666" s="216" t="s">
        <v>1152</v>
      </c>
      <c r="D666" s="216"/>
      <c r="E666" s="220"/>
      <c r="F666" s="220"/>
      <c r="G666" s="220"/>
      <c r="H666" s="220" t="str">
        <f t="shared" si="82"/>
        <v/>
      </c>
      <c r="I666" s="460"/>
      <c r="J666" s="460"/>
      <c r="K666" s="460"/>
      <c r="L666" s="460"/>
      <c r="M666" s="460"/>
      <c r="N666" s="220"/>
      <c r="O666" s="220"/>
      <c r="P666" s="220"/>
      <c r="Q666" s="220"/>
      <c r="R666" s="221"/>
      <c r="S666" s="221"/>
      <c r="T666" s="316">
        <f t="shared" si="76"/>
        <v>0</v>
      </c>
      <c r="U666" s="217">
        <f t="shared" si="77"/>
        <v>0</v>
      </c>
      <c r="X666" s="26" t="str">
        <f t="shared" si="78"/>
        <v/>
      </c>
      <c r="Y666" s="21" t="str">
        <f>IF(MATCH(X666,X$300:$X667,0),"Si",1)</f>
        <v>Si</v>
      </c>
      <c r="Z666" s="26">
        <f t="shared" si="79"/>
        <v>0</v>
      </c>
      <c r="AA666" s="26">
        <f t="shared" si="80"/>
        <v>0</v>
      </c>
      <c r="AB666" s="26" t="str">
        <f t="shared" si="81"/>
        <v/>
      </c>
      <c r="AC666" s="26" t="str">
        <f>IF(MATCH(AB666,AB$300:$AB667,0),"0",1)</f>
        <v>0</v>
      </c>
    </row>
    <row r="667" spans="2:29" x14ac:dyDescent="0.35">
      <c r="B667" s="219"/>
      <c r="C667" s="216" t="s">
        <v>1153</v>
      </c>
      <c r="D667" s="216"/>
      <c r="E667" s="220"/>
      <c r="F667" s="220"/>
      <c r="G667" s="220"/>
      <c r="H667" s="220" t="str">
        <f t="shared" si="82"/>
        <v/>
      </c>
      <c r="I667" s="460"/>
      <c r="J667" s="460"/>
      <c r="K667" s="460"/>
      <c r="L667" s="460"/>
      <c r="M667" s="460"/>
      <c r="N667" s="220"/>
      <c r="O667" s="220"/>
      <c r="P667" s="220"/>
      <c r="Q667" s="220"/>
      <c r="R667" s="221"/>
      <c r="S667" s="221"/>
      <c r="T667" s="316">
        <f t="shared" ref="T667:T730" si="83">IF(S667=0,0,IF(S667&lt;R667,"Error en fecha solución",IFERROR(AC667,NETWORKDAYS(R667,S667)-1)))</f>
        <v>0</v>
      </c>
      <c r="U667" s="217">
        <f t="shared" ref="U667:U730" si="84">IFERROR(T667*8,"Error")</f>
        <v>0</v>
      </c>
      <c r="X667" s="26" t="str">
        <f t="shared" ref="X667:X730" si="85">CONCATENATE(H667,O667,R667,S667)</f>
        <v/>
      </c>
      <c r="Y667" s="21" t="str">
        <f>IF(MATCH(X667,X$300:$X668,0),"Si",1)</f>
        <v>Si</v>
      </c>
      <c r="Z667" s="26">
        <f t="shared" ref="Z667:Z730" si="86">IF(S667=0,0,IF(S667&lt;R667,"Error en fecha solución",IF(Y667="Si",0,IFERROR(Y667,NETWORKDAYS(R667,S667)-1))))</f>
        <v>0</v>
      </c>
      <c r="AA667" s="26">
        <f t="shared" ref="AA667:AA730" si="87">IF(S667=0,0,IF(S667&lt;R667,"Error en fecha solución",IFERROR(Z667,NETWORKDAYS(R667,S667)-1)))</f>
        <v>0</v>
      </c>
      <c r="AB667" s="26" t="str">
        <f t="shared" ref="AB667:AB730" si="88">CONCATENATE(R667,S667)</f>
        <v/>
      </c>
      <c r="AC667" s="26" t="str">
        <f>IF(MATCH(AB667,AB$300:$AB668,0),"0",1)</f>
        <v>0</v>
      </c>
    </row>
    <row r="668" spans="2:29" x14ac:dyDescent="0.35">
      <c r="B668" s="219"/>
      <c r="C668" s="216" t="s">
        <v>1154</v>
      </c>
      <c r="D668" s="216"/>
      <c r="E668" s="220"/>
      <c r="F668" s="220"/>
      <c r="G668" s="220"/>
      <c r="H668" s="220" t="str">
        <f t="shared" si="82"/>
        <v/>
      </c>
      <c r="I668" s="460"/>
      <c r="J668" s="460"/>
      <c r="K668" s="460"/>
      <c r="L668" s="460"/>
      <c r="M668" s="460"/>
      <c r="N668" s="220"/>
      <c r="O668" s="220"/>
      <c r="P668" s="220"/>
      <c r="Q668" s="220"/>
      <c r="R668" s="221"/>
      <c r="S668" s="221"/>
      <c r="T668" s="316">
        <f t="shared" si="83"/>
        <v>0</v>
      </c>
      <c r="U668" s="217">
        <f t="shared" si="84"/>
        <v>0</v>
      </c>
      <c r="X668" s="26" t="str">
        <f t="shared" si="85"/>
        <v/>
      </c>
      <c r="Y668" s="21" t="str">
        <f>IF(MATCH(X668,X$300:$X669,0),"Si",1)</f>
        <v>Si</v>
      </c>
      <c r="Z668" s="26">
        <f t="shared" si="86"/>
        <v>0</v>
      </c>
      <c r="AA668" s="26">
        <f t="shared" si="87"/>
        <v>0</v>
      </c>
      <c r="AB668" s="26" t="str">
        <f t="shared" si="88"/>
        <v/>
      </c>
      <c r="AC668" s="26" t="str">
        <f>IF(MATCH(AB668,AB$300:$AB669,0),"0",1)</f>
        <v>0</v>
      </c>
    </row>
    <row r="669" spans="2:29" x14ac:dyDescent="0.35">
      <c r="B669" s="219"/>
      <c r="C669" s="216" t="s">
        <v>1155</v>
      </c>
      <c r="D669" s="216"/>
      <c r="E669" s="220"/>
      <c r="F669" s="220"/>
      <c r="G669" s="220"/>
      <c r="H669" s="220" t="str">
        <f t="shared" si="82"/>
        <v/>
      </c>
      <c r="I669" s="460"/>
      <c r="J669" s="460"/>
      <c r="K669" s="460"/>
      <c r="L669" s="460"/>
      <c r="M669" s="460"/>
      <c r="N669" s="220"/>
      <c r="O669" s="220"/>
      <c r="P669" s="220"/>
      <c r="Q669" s="220"/>
      <c r="R669" s="221"/>
      <c r="S669" s="221"/>
      <c r="T669" s="316">
        <f t="shared" si="83"/>
        <v>0</v>
      </c>
      <c r="U669" s="217">
        <f t="shared" si="84"/>
        <v>0</v>
      </c>
      <c r="X669" s="26" t="str">
        <f t="shared" si="85"/>
        <v/>
      </c>
      <c r="Y669" s="21" t="str">
        <f>IF(MATCH(X669,X$300:$X670,0),"Si",1)</f>
        <v>Si</v>
      </c>
      <c r="Z669" s="26">
        <f t="shared" si="86"/>
        <v>0</v>
      </c>
      <c r="AA669" s="26">
        <f t="shared" si="87"/>
        <v>0</v>
      </c>
      <c r="AB669" s="26" t="str">
        <f t="shared" si="88"/>
        <v/>
      </c>
      <c r="AC669" s="26" t="str">
        <f>IF(MATCH(AB669,AB$300:$AB670,0),"0",1)</f>
        <v>0</v>
      </c>
    </row>
    <row r="670" spans="2:29" x14ac:dyDescent="0.35">
      <c r="B670" s="219"/>
      <c r="C670" s="216" t="s">
        <v>1156</v>
      </c>
      <c r="D670" s="216"/>
      <c r="E670" s="220"/>
      <c r="F670" s="220"/>
      <c r="G670" s="220"/>
      <c r="H670" s="220" t="str">
        <f t="shared" si="82"/>
        <v/>
      </c>
      <c r="I670" s="460"/>
      <c r="J670" s="460"/>
      <c r="K670" s="460"/>
      <c r="L670" s="460"/>
      <c r="M670" s="460"/>
      <c r="N670" s="220"/>
      <c r="O670" s="220"/>
      <c r="P670" s="220"/>
      <c r="Q670" s="220"/>
      <c r="R670" s="221"/>
      <c r="S670" s="221"/>
      <c r="T670" s="316">
        <f t="shared" si="83"/>
        <v>0</v>
      </c>
      <c r="U670" s="217">
        <f t="shared" si="84"/>
        <v>0</v>
      </c>
      <c r="X670" s="26" t="str">
        <f t="shared" si="85"/>
        <v/>
      </c>
      <c r="Y670" s="21" t="str">
        <f>IF(MATCH(X670,X$300:$X671,0),"Si",1)</f>
        <v>Si</v>
      </c>
      <c r="Z670" s="26">
        <f t="shared" si="86"/>
        <v>0</v>
      </c>
      <c r="AA670" s="26">
        <f t="shared" si="87"/>
        <v>0</v>
      </c>
      <c r="AB670" s="26" t="str">
        <f t="shared" si="88"/>
        <v/>
      </c>
      <c r="AC670" s="26" t="str">
        <f>IF(MATCH(AB670,AB$300:$AB671,0),"0",1)</f>
        <v>0</v>
      </c>
    </row>
    <row r="671" spans="2:29" x14ac:dyDescent="0.35">
      <c r="B671" s="219"/>
      <c r="C671" s="216" t="s">
        <v>1157</v>
      </c>
      <c r="D671" s="216"/>
      <c r="E671" s="220"/>
      <c r="F671" s="220"/>
      <c r="G671" s="220"/>
      <c r="H671" s="220" t="str">
        <f t="shared" si="82"/>
        <v/>
      </c>
      <c r="I671" s="460"/>
      <c r="J671" s="460"/>
      <c r="K671" s="460"/>
      <c r="L671" s="460"/>
      <c r="M671" s="460"/>
      <c r="N671" s="220"/>
      <c r="O671" s="220"/>
      <c r="P671" s="220"/>
      <c r="Q671" s="220"/>
      <c r="R671" s="221"/>
      <c r="S671" s="221"/>
      <c r="T671" s="316">
        <f t="shared" si="83"/>
        <v>0</v>
      </c>
      <c r="U671" s="217">
        <f t="shared" si="84"/>
        <v>0</v>
      </c>
      <c r="X671" s="26" t="str">
        <f t="shared" si="85"/>
        <v/>
      </c>
      <c r="Y671" s="21" t="str">
        <f>IF(MATCH(X671,X$300:$X672,0),"Si",1)</f>
        <v>Si</v>
      </c>
      <c r="Z671" s="26">
        <f t="shared" si="86"/>
        <v>0</v>
      </c>
      <c r="AA671" s="26">
        <f t="shared" si="87"/>
        <v>0</v>
      </c>
      <c r="AB671" s="26" t="str">
        <f t="shared" si="88"/>
        <v/>
      </c>
      <c r="AC671" s="26" t="str">
        <f>IF(MATCH(AB671,AB$300:$AB672,0),"0",1)</f>
        <v>0</v>
      </c>
    </row>
    <row r="672" spans="2:29" x14ac:dyDescent="0.35">
      <c r="B672" s="219"/>
      <c r="C672" s="216" t="s">
        <v>1158</v>
      </c>
      <c r="D672" s="216"/>
      <c r="E672" s="220"/>
      <c r="F672" s="220"/>
      <c r="G672" s="220"/>
      <c r="H672" s="220" t="str">
        <f t="shared" si="82"/>
        <v/>
      </c>
      <c r="I672" s="460"/>
      <c r="J672" s="460"/>
      <c r="K672" s="460"/>
      <c r="L672" s="460"/>
      <c r="M672" s="460"/>
      <c r="N672" s="220"/>
      <c r="O672" s="220"/>
      <c r="P672" s="220"/>
      <c r="Q672" s="220"/>
      <c r="R672" s="221"/>
      <c r="S672" s="221"/>
      <c r="T672" s="316">
        <f t="shared" si="83"/>
        <v>0</v>
      </c>
      <c r="U672" s="217">
        <f t="shared" si="84"/>
        <v>0</v>
      </c>
      <c r="X672" s="26" t="str">
        <f t="shared" si="85"/>
        <v/>
      </c>
      <c r="Y672" s="21" t="str">
        <f>IF(MATCH(X672,X$300:$X673,0),"Si",1)</f>
        <v>Si</v>
      </c>
      <c r="Z672" s="26">
        <f t="shared" si="86"/>
        <v>0</v>
      </c>
      <c r="AA672" s="26">
        <f t="shared" si="87"/>
        <v>0</v>
      </c>
      <c r="AB672" s="26" t="str">
        <f t="shared" si="88"/>
        <v/>
      </c>
      <c r="AC672" s="26" t="str">
        <f>IF(MATCH(AB672,AB$300:$AB673,0),"0",1)</f>
        <v>0</v>
      </c>
    </row>
    <row r="673" spans="2:29" x14ac:dyDescent="0.35">
      <c r="B673" s="219"/>
      <c r="C673" s="216" t="s">
        <v>1159</v>
      </c>
      <c r="D673" s="216"/>
      <c r="E673" s="220"/>
      <c r="F673" s="220"/>
      <c r="G673" s="220"/>
      <c r="H673" s="220" t="str">
        <f t="shared" si="82"/>
        <v/>
      </c>
      <c r="I673" s="460"/>
      <c r="J673" s="460"/>
      <c r="K673" s="460"/>
      <c r="L673" s="460"/>
      <c r="M673" s="460"/>
      <c r="N673" s="220"/>
      <c r="O673" s="220"/>
      <c r="P673" s="220"/>
      <c r="Q673" s="220"/>
      <c r="R673" s="221"/>
      <c r="S673" s="221"/>
      <c r="T673" s="316">
        <f t="shared" si="83"/>
        <v>0</v>
      </c>
      <c r="U673" s="217">
        <f t="shared" si="84"/>
        <v>0</v>
      </c>
      <c r="X673" s="26" t="str">
        <f t="shared" si="85"/>
        <v/>
      </c>
      <c r="Y673" s="21" t="str">
        <f>IF(MATCH(X673,X$300:$X674,0),"Si",1)</f>
        <v>Si</v>
      </c>
      <c r="Z673" s="26">
        <f t="shared" si="86"/>
        <v>0</v>
      </c>
      <c r="AA673" s="26">
        <f t="shared" si="87"/>
        <v>0</v>
      </c>
      <c r="AB673" s="26" t="str">
        <f t="shared" si="88"/>
        <v/>
      </c>
      <c r="AC673" s="26" t="str">
        <f>IF(MATCH(AB673,AB$300:$AB674,0),"0",1)</f>
        <v>0</v>
      </c>
    </row>
    <row r="674" spans="2:29" x14ac:dyDescent="0.35">
      <c r="B674" s="219"/>
      <c r="C674" s="216" t="s">
        <v>1160</v>
      </c>
      <c r="D674" s="216"/>
      <c r="E674" s="220"/>
      <c r="F674" s="220"/>
      <c r="G674" s="220"/>
      <c r="H674" s="220" t="str">
        <f t="shared" si="82"/>
        <v/>
      </c>
      <c r="I674" s="460"/>
      <c r="J674" s="460"/>
      <c r="K674" s="460"/>
      <c r="L674" s="460"/>
      <c r="M674" s="460"/>
      <c r="N674" s="220"/>
      <c r="O674" s="220"/>
      <c r="P674" s="220"/>
      <c r="Q674" s="220"/>
      <c r="R674" s="221"/>
      <c r="S674" s="221"/>
      <c r="T674" s="316">
        <f t="shared" si="83"/>
        <v>0</v>
      </c>
      <c r="U674" s="217">
        <f t="shared" si="84"/>
        <v>0</v>
      </c>
      <c r="X674" s="26" t="str">
        <f t="shared" si="85"/>
        <v/>
      </c>
      <c r="Y674" s="21" t="str">
        <f>IF(MATCH(X674,X$300:$X675,0),"Si",1)</f>
        <v>Si</v>
      </c>
      <c r="Z674" s="26">
        <f t="shared" si="86"/>
        <v>0</v>
      </c>
      <c r="AA674" s="26">
        <f t="shared" si="87"/>
        <v>0</v>
      </c>
      <c r="AB674" s="26" t="str">
        <f t="shared" si="88"/>
        <v/>
      </c>
      <c r="AC674" s="26" t="str">
        <f>IF(MATCH(AB674,AB$300:$AB675,0),"0",1)</f>
        <v>0</v>
      </c>
    </row>
    <row r="675" spans="2:29" x14ac:dyDescent="0.35">
      <c r="B675" s="219"/>
      <c r="C675" s="216" t="s">
        <v>1161</v>
      </c>
      <c r="D675" s="216"/>
      <c r="E675" s="220"/>
      <c r="F675" s="220"/>
      <c r="G675" s="220"/>
      <c r="H675" s="220" t="str">
        <f t="shared" si="82"/>
        <v/>
      </c>
      <c r="I675" s="460"/>
      <c r="J675" s="460"/>
      <c r="K675" s="460"/>
      <c r="L675" s="460"/>
      <c r="M675" s="460"/>
      <c r="N675" s="220"/>
      <c r="O675" s="220"/>
      <c r="P675" s="220"/>
      <c r="Q675" s="220"/>
      <c r="R675" s="221"/>
      <c r="S675" s="221"/>
      <c r="T675" s="316">
        <f t="shared" si="83"/>
        <v>0</v>
      </c>
      <c r="U675" s="217">
        <f t="shared" si="84"/>
        <v>0</v>
      </c>
      <c r="X675" s="26" t="str">
        <f t="shared" si="85"/>
        <v/>
      </c>
      <c r="Y675" s="21" t="str">
        <f>IF(MATCH(X675,X$300:$X676,0),"Si",1)</f>
        <v>Si</v>
      </c>
      <c r="Z675" s="26">
        <f t="shared" si="86"/>
        <v>0</v>
      </c>
      <c r="AA675" s="26">
        <f t="shared" si="87"/>
        <v>0</v>
      </c>
      <c r="AB675" s="26" t="str">
        <f t="shared" si="88"/>
        <v/>
      </c>
      <c r="AC675" s="26" t="str">
        <f>IF(MATCH(AB675,AB$300:$AB676,0),"0",1)</f>
        <v>0</v>
      </c>
    </row>
    <row r="676" spans="2:29" x14ac:dyDescent="0.35">
      <c r="B676" s="219"/>
      <c r="C676" s="216" t="s">
        <v>1162</v>
      </c>
      <c r="D676" s="216"/>
      <c r="E676" s="220"/>
      <c r="F676" s="220"/>
      <c r="G676" s="220"/>
      <c r="H676" s="220" t="str">
        <f t="shared" si="82"/>
        <v/>
      </c>
      <c r="I676" s="460"/>
      <c r="J676" s="460"/>
      <c r="K676" s="460"/>
      <c r="L676" s="460"/>
      <c r="M676" s="460"/>
      <c r="N676" s="220"/>
      <c r="O676" s="220"/>
      <c r="P676" s="220"/>
      <c r="Q676" s="220"/>
      <c r="R676" s="221"/>
      <c r="S676" s="221"/>
      <c r="T676" s="316">
        <f t="shared" si="83"/>
        <v>0</v>
      </c>
      <c r="U676" s="217">
        <f t="shared" si="84"/>
        <v>0</v>
      </c>
      <c r="X676" s="26" t="str">
        <f t="shared" si="85"/>
        <v/>
      </c>
      <c r="Y676" s="21" t="str">
        <f>IF(MATCH(X676,X$300:$X677,0),"Si",1)</f>
        <v>Si</v>
      </c>
      <c r="Z676" s="26">
        <f t="shared" si="86"/>
        <v>0</v>
      </c>
      <c r="AA676" s="26">
        <f t="shared" si="87"/>
        <v>0</v>
      </c>
      <c r="AB676" s="26" t="str">
        <f t="shared" si="88"/>
        <v/>
      </c>
      <c r="AC676" s="26" t="str">
        <f>IF(MATCH(AB676,AB$300:$AB677,0),"0",1)</f>
        <v>0</v>
      </c>
    </row>
    <row r="677" spans="2:29" x14ac:dyDescent="0.35">
      <c r="B677" s="219"/>
      <c r="C677" s="216" t="s">
        <v>1163</v>
      </c>
      <c r="D677" s="216"/>
      <c r="E677" s="220"/>
      <c r="F677" s="220"/>
      <c r="G677" s="220"/>
      <c r="H677" s="220" t="str">
        <f t="shared" si="82"/>
        <v/>
      </c>
      <c r="I677" s="460"/>
      <c r="J677" s="460"/>
      <c r="K677" s="460"/>
      <c r="L677" s="460"/>
      <c r="M677" s="460"/>
      <c r="N677" s="220"/>
      <c r="O677" s="220"/>
      <c r="P677" s="220"/>
      <c r="Q677" s="220"/>
      <c r="R677" s="221"/>
      <c r="S677" s="221"/>
      <c r="T677" s="316">
        <f t="shared" si="83"/>
        <v>0</v>
      </c>
      <c r="U677" s="217">
        <f t="shared" si="84"/>
        <v>0</v>
      </c>
      <c r="X677" s="26" t="str">
        <f t="shared" si="85"/>
        <v/>
      </c>
      <c r="Y677" s="21" t="str">
        <f>IF(MATCH(X677,X$300:$X678,0),"Si",1)</f>
        <v>Si</v>
      </c>
      <c r="Z677" s="26">
        <f t="shared" si="86"/>
        <v>0</v>
      </c>
      <c r="AA677" s="26">
        <f t="shared" si="87"/>
        <v>0</v>
      </c>
      <c r="AB677" s="26" t="str">
        <f t="shared" si="88"/>
        <v/>
      </c>
      <c r="AC677" s="26" t="str">
        <f>IF(MATCH(AB677,AB$300:$AB678,0),"0",1)</f>
        <v>0</v>
      </c>
    </row>
    <row r="678" spans="2:29" x14ac:dyDescent="0.35">
      <c r="B678" s="219"/>
      <c r="C678" s="216" t="s">
        <v>1164</v>
      </c>
      <c r="D678" s="216"/>
      <c r="E678" s="220"/>
      <c r="F678" s="220"/>
      <c r="G678" s="220"/>
      <c r="H678" s="220" t="str">
        <f t="shared" si="82"/>
        <v/>
      </c>
      <c r="I678" s="460"/>
      <c r="J678" s="460"/>
      <c r="K678" s="460"/>
      <c r="L678" s="460"/>
      <c r="M678" s="460"/>
      <c r="N678" s="220"/>
      <c r="O678" s="220"/>
      <c r="P678" s="220"/>
      <c r="Q678" s="220"/>
      <c r="R678" s="221"/>
      <c r="S678" s="221"/>
      <c r="T678" s="316">
        <f t="shared" si="83"/>
        <v>0</v>
      </c>
      <c r="U678" s="217">
        <f t="shared" si="84"/>
        <v>0</v>
      </c>
      <c r="X678" s="26" t="str">
        <f t="shared" si="85"/>
        <v/>
      </c>
      <c r="Y678" s="21" t="str">
        <f>IF(MATCH(X678,X$300:$X679,0),"Si",1)</f>
        <v>Si</v>
      </c>
      <c r="Z678" s="26">
        <f t="shared" si="86"/>
        <v>0</v>
      </c>
      <c r="AA678" s="26">
        <f t="shared" si="87"/>
        <v>0</v>
      </c>
      <c r="AB678" s="26" t="str">
        <f t="shared" si="88"/>
        <v/>
      </c>
      <c r="AC678" s="26" t="str">
        <f>IF(MATCH(AB678,AB$300:$AB679,0),"0",1)</f>
        <v>0</v>
      </c>
    </row>
    <row r="679" spans="2:29" x14ac:dyDescent="0.35">
      <c r="B679" s="219"/>
      <c r="C679" s="216" t="s">
        <v>1165</v>
      </c>
      <c r="D679" s="216"/>
      <c r="E679" s="220"/>
      <c r="F679" s="220"/>
      <c r="G679" s="220"/>
      <c r="H679" s="220" t="str">
        <f t="shared" si="82"/>
        <v/>
      </c>
      <c r="I679" s="460"/>
      <c r="J679" s="460"/>
      <c r="K679" s="460"/>
      <c r="L679" s="460"/>
      <c r="M679" s="460"/>
      <c r="N679" s="220"/>
      <c r="O679" s="220"/>
      <c r="P679" s="220"/>
      <c r="Q679" s="220"/>
      <c r="R679" s="221"/>
      <c r="S679" s="221"/>
      <c r="T679" s="316">
        <f t="shared" si="83"/>
        <v>0</v>
      </c>
      <c r="U679" s="217">
        <f t="shared" si="84"/>
        <v>0</v>
      </c>
      <c r="X679" s="26" t="str">
        <f t="shared" si="85"/>
        <v/>
      </c>
      <c r="Y679" s="21" t="str">
        <f>IF(MATCH(X679,X$300:$X680,0),"Si",1)</f>
        <v>Si</v>
      </c>
      <c r="Z679" s="26">
        <f t="shared" si="86"/>
        <v>0</v>
      </c>
      <c r="AA679" s="26">
        <f t="shared" si="87"/>
        <v>0</v>
      </c>
      <c r="AB679" s="26" t="str">
        <f t="shared" si="88"/>
        <v/>
      </c>
      <c r="AC679" s="26" t="str">
        <f>IF(MATCH(AB679,AB$300:$AB680,0),"0",1)</f>
        <v>0</v>
      </c>
    </row>
    <row r="680" spans="2:29" x14ac:dyDescent="0.35">
      <c r="B680" s="219"/>
      <c r="C680" s="216" t="s">
        <v>1166</v>
      </c>
      <c r="D680" s="216"/>
      <c r="E680" s="220"/>
      <c r="F680" s="220"/>
      <c r="G680" s="220"/>
      <c r="H680" s="220" t="str">
        <f t="shared" si="82"/>
        <v/>
      </c>
      <c r="I680" s="460"/>
      <c r="J680" s="460"/>
      <c r="K680" s="460"/>
      <c r="L680" s="460"/>
      <c r="M680" s="460"/>
      <c r="N680" s="220"/>
      <c r="O680" s="220"/>
      <c r="P680" s="220"/>
      <c r="Q680" s="220"/>
      <c r="R680" s="221"/>
      <c r="S680" s="221"/>
      <c r="T680" s="316">
        <f t="shared" si="83"/>
        <v>0</v>
      </c>
      <c r="U680" s="217">
        <f t="shared" si="84"/>
        <v>0</v>
      </c>
      <c r="X680" s="26" t="str">
        <f t="shared" si="85"/>
        <v/>
      </c>
      <c r="Y680" s="21" t="str">
        <f>IF(MATCH(X680,X$300:$X681,0),"Si",1)</f>
        <v>Si</v>
      </c>
      <c r="Z680" s="26">
        <f t="shared" si="86"/>
        <v>0</v>
      </c>
      <c r="AA680" s="26">
        <f t="shared" si="87"/>
        <v>0</v>
      </c>
      <c r="AB680" s="26" t="str">
        <f t="shared" si="88"/>
        <v/>
      </c>
      <c r="AC680" s="26" t="str">
        <f>IF(MATCH(AB680,AB$300:$AB681,0),"0",1)</f>
        <v>0</v>
      </c>
    </row>
    <row r="681" spans="2:29" x14ac:dyDescent="0.35">
      <c r="B681" s="219"/>
      <c r="C681" s="216" t="s">
        <v>1167</v>
      </c>
      <c r="D681" s="216"/>
      <c r="E681" s="220"/>
      <c r="F681" s="220"/>
      <c r="G681" s="220"/>
      <c r="H681" s="220" t="str">
        <f t="shared" si="82"/>
        <v/>
      </c>
      <c r="I681" s="460"/>
      <c r="J681" s="460"/>
      <c r="K681" s="460"/>
      <c r="L681" s="460"/>
      <c r="M681" s="460"/>
      <c r="N681" s="220"/>
      <c r="O681" s="220"/>
      <c r="P681" s="220"/>
      <c r="Q681" s="220"/>
      <c r="R681" s="221"/>
      <c r="S681" s="221"/>
      <c r="T681" s="316">
        <f t="shared" si="83"/>
        <v>0</v>
      </c>
      <c r="U681" s="217">
        <f t="shared" si="84"/>
        <v>0</v>
      </c>
      <c r="X681" s="26" t="str">
        <f t="shared" si="85"/>
        <v/>
      </c>
      <c r="Y681" s="21" t="str">
        <f>IF(MATCH(X681,X$300:$X682,0),"Si",1)</f>
        <v>Si</v>
      </c>
      <c r="Z681" s="26">
        <f t="shared" si="86"/>
        <v>0</v>
      </c>
      <c r="AA681" s="26">
        <f t="shared" si="87"/>
        <v>0</v>
      </c>
      <c r="AB681" s="26" t="str">
        <f t="shared" si="88"/>
        <v/>
      </c>
      <c r="AC681" s="26" t="str">
        <f>IF(MATCH(AB681,AB$300:$AB682,0),"0",1)</f>
        <v>0</v>
      </c>
    </row>
    <row r="682" spans="2:29" x14ac:dyDescent="0.35">
      <c r="B682" s="219"/>
      <c r="C682" s="216" t="s">
        <v>1168</v>
      </c>
      <c r="D682" s="216"/>
      <c r="E682" s="220"/>
      <c r="F682" s="220"/>
      <c r="G682" s="220"/>
      <c r="H682" s="220" t="str">
        <f t="shared" si="82"/>
        <v/>
      </c>
      <c r="I682" s="460"/>
      <c r="J682" s="460"/>
      <c r="K682" s="460"/>
      <c r="L682" s="460"/>
      <c r="M682" s="460"/>
      <c r="N682" s="220"/>
      <c r="O682" s="220"/>
      <c r="P682" s="220"/>
      <c r="Q682" s="220"/>
      <c r="R682" s="221"/>
      <c r="S682" s="221"/>
      <c r="T682" s="316">
        <f t="shared" si="83"/>
        <v>0</v>
      </c>
      <c r="U682" s="217">
        <f t="shared" si="84"/>
        <v>0</v>
      </c>
      <c r="X682" s="26" t="str">
        <f t="shared" si="85"/>
        <v/>
      </c>
      <c r="Y682" s="21" t="str">
        <f>IF(MATCH(X682,X$300:$X683,0),"Si",1)</f>
        <v>Si</v>
      </c>
      <c r="Z682" s="26">
        <f t="shared" si="86"/>
        <v>0</v>
      </c>
      <c r="AA682" s="26">
        <f t="shared" si="87"/>
        <v>0</v>
      </c>
      <c r="AB682" s="26" t="str">
        <f t="shared" si="88"/>
        <v/>
      </c>
      <c r="AC682" s="26" t="str">
        <f>IF(MATCH(AB682,AB$300:$AB683,0),"0",1)</f>
        <v>0</v>
      </c>
    </row>
    <row r="683" spans="2:29" x14ac:dyDescent="0.35">
      <c r="B683" s="219"/>
      <c r="C683" s="216" t="s">
        <v>1169</v>
      </c>
      <c r="D683" s="216"/>
      <c r="E683" s="220"/>
      <c r="F683" s="220"/>
      <c r="G683" s="220"/>
      <c r="H683" s="220" t="str">
        <f t="shared" si="82"/>
        <v/>
      </c>
      <c r="I683" s="460"/>
      <c r="J683" s="460"/>
      <c r="K683" s="460"/>
      <c r="L683" s="460"/>
      <c r="M683" s="460"/>
      <c r="N683" s="220"/>
      <c r="O683" s="220"/>
      <c r="P683" s="220"/>
      <c r="Q683" s="220"/>
      <c r="R683" s="221"/>
      <c r="S683" s="221"/>
      <c r="T683" s="316">
        <f t="shared" si="83"/>
        <v>0</v>
      </c>
      <c r="U683" s="217">
        <f t="shared" si="84"/>
        <v>0</v>
      </c>
      <c r="X683" s="26" t="str">
        <f t="shared" si="85"/>
        <v/>
      </c>
      <c r="Y683" s="21" t="str">
        <f>IF(MATCH(X683,X$300:$X684,0),"Si",1)</f>
        <v>Si</v>
      </c>
      <c r="Z683" s="26">
        <f t="shared" si="86"/>
        <v>0</v>
      </c>
      <c r="AA683" s="26">
        <f t="shared" si="87"/>
        <v>0</v>
      </c>
      <c r="AB683" s="26" t="str">
        <f t="shared" si="88"/>
        <v/>
      </c>
      <c r="AC683" s="26" t="str">
        <f>IF(MATCH(AB683,AB$300:$AB684,0),"0",1)</f>
        <v>0</v>
      </c>
    </row>
    <row r="684" spans="2:29" x14ac:dyDescent="0.35">
      <c r="B684" s="219"/>
      <c r="C684" s="216" t="s">
        <v>1170</v>
      </c>
      <c r="D684" s="216"/>
      <c r="E684" s="220"/>
      <c r="F684" s="220"/>
      <c r="G684" s="220"/>
      <c r="H684" s="220" t="str">
        <f t="shared" si="82"/>
        <v/>
      </c>
      <c r="I684" s="460"/>
      <c r="J684" s="460"/>
      <c r="K684" s="460"/>
      <c r="L684" s="460"/>
      <c r="M684" s="460"/>
      <c r="N684" s="220"/>
      <c r="O684" s="220"/>
      <c r="P684" s="220"/>
      <c r="Q684" s="220"/>
      <c r="R684" s="221"/>
      <c r="S684" s="221"/>
      <c r="T684" s="316">
        <f t="shared" si="83"/>
        <v>0</v>
      </c>
      <c r="U684" s="217">
        <f t="shared" si="84"/>
        <v>0</v>
      </c>
      <c r="X684" s="26" t="str">
        <f t="shared" si="85"/>
        <v/>
      </c>
      <c r="Y684" s="21" t="str">
        <f>IF(MATCH(X684,X$300:$X685,0),"Si",1)</f>
        <v>Si</v>
      </c>
      <c r="Z684" s="26">
        <f t="shared" si="86"/>
        <v>0</v>
      </c>
      <c r="AA684" s="26">
        <f t="shared" si="87"/>
        <v>0</v>
      </c>
      <c r="AB684" s="26" t="str">
        <f t="shared" si="88"/>
        <v/>
      </c>
      <c r="AC684" s="26" t="str">
        <f>IF(MATCH(AB684,AB$300:$AB685,0),"0",1)</f>
        <v>0</v>
      </c>
    </row>
    <row r="685" spans="2:29" x14ac:dyDescent="0.35">
      <c r="B685" s="219"/>
      <c r="C685" s="216" t="s">
        <v>1171</v>
      </c>
      <c r="D685" s="216"/>
      <c r="E685" s="220"/>
      <c r="F685" s="220"/>
      <c r="G685" s="220"/>
      <c r="H685" s="220" t="str">
        <f t="shared" si="82"/>
        <v/>
      </c>
      <c r="I685" s="460"/>
      <c r="J685" s="460"/>
      <c r="K685" s="460"/>
      <c r="L685" s="460"/>
      <c r="M685" s="460"/>
      <c r="N685" s="220"/>
      <c r="O685" s="220"/>
      <c r="P685" s="220"/>
      <c r="Q685" s="220"/>
      <c r="R685" s="221"/>
      <c r="S685" s="221"/>
      <c r="T685" s="316">
        <f t="shared" si="83"/>
        <v>0</v>
      </c>
      <c r="U685" s="217">
        <f t="shared" si="84"/>
        <v>0</v>
      </c>
      <c r="X685" s="26" t="str">
        <f t="shared" si="85"/>
        <v/>
      </c>
      <c r="Y685" s="21" t="str">
        <f>IF(MATCH(X685,X$300:$X686,0),"Si",1)</f>
        <v>Si</v>
      </c>
      <c r="Z685" s="26">
        <f t="shared" si="86"/>
        <v>0</v>
      </c>
      <c r="AA685" s="26">
        <f t="shared" si="87"/>
        <v>0</v>
      </c>
      <c r="AB685" s="26" t="str">
        <f t="shared" si="88"/>
        <v/>
      </c>
      <c r="AC685" s="26" t="str">
        <f>IF(MATCH(AB685,AB$300:$AB686,0),"0",1)</f>
        <v>0</v>
      </c>
    </row>
    <row r="686" spans="2:29" x14ac:dyDescent="0.35">
      <c r="B686" s="219"/>
      <c r="C686" s="216" t="s">
        <v>1172</v>
      </c>
      <c r="D686" s="216"/>
      <c r="E686" s="220"/>
      <c r="F686" s="220"/>
      <c r="G686" s="220"/>
      <c r="H686" s="220" t="str">
        <f t="shared" si="82"/>
        <v/>
      </c>
      <c r="I686" s="460"/>
      <c r="J686" s="460"/>
      <c r="K686" s="460"/>
      <c r="L686" s="460"/>
      <c r="M686" s="460"/>
      <c r="N686" s="220"/>
      <c r="O686" s="220"/>
      <c r="P686" s="220"/>
      <c r="Q686" s="220"/>
      <c r="R686" s="221"/>
      <c r="S686" s="221"/>
      <c r="T686" s="316">
        <f t="shared" si="83"/>
        <v>0</v>
      </c>
      <c r="U686" s="217">
        <f t="shared" si="84"/>
        <v>0</v>
      </c>
      <c r="X686" s="26" t="str">
        <f t="shared" si="85"/>
        <v/>
      </c>
      <c r="Y686" s="21" t="str">
        <f>IF(MATCH(X686,X$300:$X687,0),"Si",1)</f>
        <v>Si</v>
      </c>
      <c r="Z686" s="26">
        <f t="shared" si="86"/>
        <v>0</v>
      </c>
      <c r="AA686" s="26">
        <f t="shared" si="87"/>
        <v>0</v>
      </c>
      <c r="AB686" s="26" t="str">
        <f t="shared" si="88"/>
        <v/>
      </c>
      <c r="AC686" s="26" t="str">
        <f>IF(MATCH(AB686,AB$300:$AB687,0),"0",1)</f>
        <v>0</v>
      </c>
    </row>
    <row r="687" spans="2:29" x14ac:dyDescent="0.35">
      <c r="B687" s="219"/>
      <c r="C687" s="216" t="s">
        <v>1173</v>
      </c>
      <c r="D687" s="216"/>
      <c r="E687" s="220"/>
      <c r="F687" s="220"/>
      <c r="G687" s="220"/>
      <c r="H687" s="220" t="str">
        <f t="shared" si="82"/>
        <v/>
      </c>
      <c r="I687" s="460"/>
      <c r="J687" s="460"/>
      <c r="K687" s="460"/>
      <c r="L687" s="460"/>
      <c r="M687" s="460"/>
      <c r="N687" s="220"/>
      <c r="O687" s="220"/>
      <c r="P687" s="220"/>
      <c r="Q687" s="220"/>
      <c r="R687" s="221"/>
      <c r="S687" s="221"/>
      <c r="T687" s="316">
        <f t="shared" si="83"/>
        <v>0</v>
      </c>
      <c r="U687" s="217">
        <f t="shared" si="84"/>
        <v>0</v>
      </c>
      <c r="X687" s="26" t="str">
        <f t="shared" si="85"/>
        <v/>
      </c>
      <c r="Y687" s="21" t="str">
        <f>IF(MATCH(X687,X$300:$X688,0),"Si",1)</f>
        <v>Si</v>
      </c>
      <c r="Z687" s="26">
        <f t="shared" si="86"/>
        <v>0</v>
      </c>
      <c r="AA687" s="26">
        <f t="shared" si="87"/>
        <v>0</v>
      </c>
      <c r="AB687" s="26" t="str">
        <f t="shared" si="88"/>
        <v/>
      </c>
      <c r="AC687" s="26" t="str">
        <f>IF(MATCH(AB687,AB$300:$AB688,0),"0",1)</f>
        <v>0</v>
      </c>
    </row>
    <row r="688" spans="2:29" x14ac:dyDescent="0.35">
      <c r="B688" s="219"/>
      <c r="C688" s="216" t="s">
        <v>1174</v>
      </c>
      <c r="D688" s="216"/>
      <c r="E688" s="220"/>
      <c r="F688" s="220"/>
      <c r="G688" s="220"/>
      <c r="H688" s="220" t="str">
        <f t="shared" si="82"/>
        <v/>
      </c>
      <c r="I688" s="460"/>
      <c r="J688" s="460"/>
      <c r="K688" s="460"/>
      <c r="L688" s="460"/>
      <c r="M688" s="460"/>
      <c r="N688" s="220"/>
      <c r="O688" s="220"/>
      <c r="P688" s="220"/>
      <c r="Q688" s="220"/>
      <c r="R688" s="221"/>
      <c r="S688" s="221"/>
      <c r="T688" s="316">
        <f t="shared" si="83"/>
        <v>0</v>
      </c>
      <c r="U688" s="217">
        <f t="shared" si="84"/>
        <v>0</v>
      </c>
      <c r="X688" s="26" t="str">
        <f t="shared" si="85"/>
        <v/>
      </c>
      <c r="Y688" s="21" t="str">
        <f>IF(MATCH(X688,X$300:$X689,0),"Si",1)</f>
        <v>Si</v>
      </c>
      <c r="Z688" s="26">
        <f t="shared" si="86"/>
        <v>0</v>
      </c>
      <c r="AA688" s="26">
        <f t="shared" si="87"/>
        <v>0</v>
      </c>
      <c r="AB688" s="26" t="str">
        <f t="shared" si="88"/>
        <v/>
      </c>
      <c r="AC688" s="26" t="str">
        <f>IF(MATCH(AB688,AB$300:$AB689,0),"0",1)</f>
        <v>0</v>
      </c>
    </row>
    <row r="689" spans="2:29" x14ac:dyDescent="0.35">
      <c r="B689" s="219"/>
      <c r="C689" s="216" t="s">
        <v>1175</v>
      </c>
      <c r="D689" s="216"/>
      <c r="E689" s="220"/>
      <c r="F689" s="220"/>
      <c r="G689" s="220"/>
      <c r="H689" s="220" t="str">
        <f t="shared" si="82"/>
        <v/>
      </c>
      <c r="I689" s="460"/>
      <c r="J689" s="460"/>
      <c r="K689" s="460"/>
      <c r="L689" s="460"/>
      <c r="M689" s="460"/>
      <c r="N689" s="220"/>
      <c r="O689" s="220"/>
      <c r="P689" s="220"/>
      <c r="Q689" s="220"/>
      <c r="R689" s="221"/>
      <c r="S689" s="221"/>
      <c r="T689" s="316">
        <f t="shared" si="83"/>
        <v>0</v>
      </c>
      <c r="U689" s="217">
        <f t="shared" si="84"/>
        <v>0</v>
      </c>
      <c r="X689" s="26" t="str">
        <f t="shared" si="85"/>
        <v/>
      </c>
      <c r="Y689" s="21" t="str">
        <f>IF(MATCH(X689,X$300:$X690,0),"Si",1)</f>
        <v>Si</v>
      </c>
      <c r="Z689" s="26">
        <f t="shared" si="86"/>
        <v>0</v>
      </c>
      <c r="AA689" s="26">
        <f t="shared" si="87"/>
        <v>0</v>
      </c>
      <c r="AB689" s="26" t="str">
        <f t="shared" si="88"/>
        <v/>
      </c>
      <c r="AC689" s="26" t="str">
        <f>IF(MATCH(AB689,AB$300:$AB690,0),"0",1)</f>
        <v>0</v>
      </c>
    </row>
    <row r="690" spans="2:29" x14ac:dyDescent="0.35">
      <c r="B690" s="219"/>
      <c r="C690" s="216" t="s">
        <v>1176</v>
      </c>
      <c r="D690" s="216"/>
      <c r="E690" s="220"/>
      <c r="F690" s="220"/>
      <c r="G690" s="220"/>
      <c r="H690" s="220" t="str">
        <f t="shared" si="82"/>
        <v/>
      </c>
      <c r="I690" s="460"/>
      <c r="J690" s="460"/>
      <c r="K690" s="460"/>
      <c r="L690" s="460"/>
      <c r="M690" s="460"/>
      <c r="N690" s="220"/>
      <c r="O690" s="220"/>
      <c r="P690" s="220"/>
      <c r="Q690" s="220"/>
      <c r="R690" s="221"/>
      <c r="S690" s="221"/>
      <c r="T690" s="316">
        <f t="shared" si="83"/>
        <v>0</v>
      </c>
      <c r="U690" s="217">
        <f t="shared" si="84"/>
        <v>0</v>
      </c>
      <c r="X690" s="26" t="str">
        <f t="shared" si="85"/>
        <v/>
      </c>
      <c r="Y690" s="21" t="str">
        <f>IF(MATCH(X690,X$300:$X691,0),"Si",1)</f>
        <v>Si</v>
      </c>
      <c r="Z690" s="26">
        <f t="shared" si="86"/>
        <v>0</v>
      </c>
      <c r="AA690" s="26">
        <f t="shared" si="87"/>
        <v>0</v>
      </c>
      <c r="AB690" s="26" t="str">
        <f t="shared" si="88"/>
        <v/>
      </c>
      <c r="AC690" s="26" t="str">
        <f>IF(MATCH(AB690,AB$300:$AB691,0),"0",1)</f>
        <v>0</v>
      </c>
    </row>
    <row r="691" spans="2:29" x14ac:dyDescent="0.35">
      <c r="B691" s="219"/>
      <c r="C691" s="216" t="s">
        <v>1177</v>
      </c>
      <c r="D691" s="216"/>
      <c r="E691" s="220"/>
      <c r="F691" s="220"/>
      <c r="G691" s="220"/>
      <c r="H691" s="220" t="str">
        <f t="shared" si="82"/>
        <v/>
      </c>
      <c r="I691" s="460"/>
      <c r="J691" s="460"/>
      <c r="K691" s="460"/>
      <c r="L691" s="460"/>
      <c r="M691" s="460"/>
      <c r="N691" s="220"/>
      <c r="O691" s="220"/>
      <c r="P691" s="220"/>
      <c r="Q691" s="220"/>
      <c r="R691" s="221"/>
      <c r="S691" s="221"/>
      <c r="T691" s="316">
        <f t="shared" si="83"/>
        <v>0</v>
      </c>
      <c r="U691" s="217">
        <f t="shared" si="84"/>
        <v>0</v>
      </c>
      <c r="X691" s="26" t="str">
        <f t="shared" si="85"/>
        <v/>
      </c>
      <c r="Y691" s="21" t="str">
        <f>IF(MATCH(X691,X$300:$X692,0),"Si",1)</f>
        <v>Si</v>
      </c>
      <c r="Z691" s="26">
        <f t="shared" si="86"/>
        <v>0</v>
      </c>
      <c r="AA691" s="26">
        <f t="shared" si="87"/>
        <v>0</v>
      </c>
      <c r="AB691" s="26" t="str">
        <f t="shared" si="88"/>
        <v/>
      </c>
      <c r="AC691" s="26" t="str">
        <f>IF(MATCH(AB691,AB$300:$AB692,0),"0",1)</f>
        <v>0</v>
      </c>
    </row>
    <row r="692" spans="2:29" x14ac:dyDescent="0.35">
      <c r="B692" s="219"/>
      <c r="C692" s="216" t="s">
        <v>1178</v>
      </c>
      <c r="D692" s="216"/>
      <c r="E692" s="220"/>
      <c r="F692" s="220"/>
      <c r="G692" s="220"/>
      <c r="H692" s="220" t="str">
        <f t="shared" si="82"/>
        <v/>
      </c>
      <c r="I692" s="460"/>
      <c r="J692" s="460"/>
      <c r="K692" s="460"/>
      <c r="L692" s="460"/>
      <c r="M692" s="460"/>
      <c r="N692" s="220"/>
      <c r="O692" s="220"/>
      <c r="P692" s="220"/>
      <c r="Q692" s="220"/>
      <c r="R692" s="221"/>
      <c r="S692" s="221"/>
      <c r="T692" s="316">
        <f t="shared" si="83"/>
        <v>0</v>
      </c>
      <c r="U692" s="217">
        <f t="shared" si="84"/>
        <v>0</v>
      </c>
      <c r="X692" s="26" t="str">
        <f t="shared" si="85"/>
        <v/>
      </c>
      <c r="Y692" s="21" t="str">
        <f>IF(MATCH(X692,X$300:$X693,0),"Si",1)</f>
        <v>Si</v>
      </c>
      <c r="Z692" s="26">
        <f t="shared" si="86"/>
        <v>0</v>
      </c>
      <c r="AA692" s="26">
        <f t="shared" si="87"/>
        <v>0</v>
      </c>
      <c r="AB692" s="26" t="str">
        <f t="shared" si="88"/>
        <v/>
      </c>
      <c r="AC692" s="26" t="str">
        <f>IF(MATCH(AB692,AB$300:$AB693,0),"0",1)</f>
        <v>0</v>
      </c>
    </row>
    <row r="693" spans="2:29" x14ac:dyDescent="0.35">
      <c r="B693" s="219"/>
      <c r="C693" s="216" t="s">
        <v>1179</v>
      </c>
      <c r="D693" s="216"/>
      <c r="E693" s="220"/>
      <c r="F693" s="220"/>
      <c r="G693" s="220"/>
      <c r="H693" s="220" t="str">
        <f t="shared" si="82"/>
        <v/>
      </c>
      <c r="I693" s="460"/>
      <c r="J693" s="460"/>
      <c r="K693" s="460"/>
      <c r="L693" s="460"/>
      <c r="M693" s="460"/>
      <c r="N693" s="220"/>
      <c r="O693" s="220"/>
      <c r="P693" s="220"/>
      <c r="Q693" s="220"/>
      <c r="R693" s="221"/>
      <c r="S693" s="221"/>
      <c r="T693" s="316">
        <f t="shared" si="83"/>
        <v>0</v>
      </c>
      <c r="U693" s="217">
        <f t="shared" si="84"/>
        <v>0</v>
      </c>
      <c r="X693" s="26" t="str">
        <f t="shared" si="85"/>
        <v/>
      </c>
      <c r="Y693" s="21" t="str">
        <f>IF(MATCH(X693,X$300:$X694,0),"Si",1)</f>
        <v>Si</v>
      </c>
      <c r="Z693" s="26">
        <f t="shared" si="86"/>
        <v>0</v>
      </c>
      <c r="AA693" s="26">
        <f t="shared" si="87"/>
        <v>0</v>
      </c>
      <c r="AB693" s="26" t="str">
        <f t="shared" si="88"/>
        <v/>
      </c>
      <c r="AC693" s="26" t="str">
        <f>IF(MATCH(AB693,AB$300:$AB694,0),"0",1)</f>
        <v>0</v>
      </c>
    </row>
    <row r="694" spans="2:29" x14ac:dyDescent="0.35">
      <c r="B694" s="219"/>
      <c r="C694" s="216" t="s">
        <v>1180</v>
      </c>
      <c r="D694" s="216"/>
      <c r="E694" s="220"/>
      <c r="F694" s="220"/>
      <c r="G694" s="220"/>
      <c r="H694" s="220" t="str">
        <f t="shared" si="82"/>
        <v/>
      </c>
      <c r="I694" s="460"/>
      <c r="J694" s="460"/>
      <c r="K694" s="460"/>
      <c r="L694" s="460"/>
      <c r="M694" s="460"/>
      <c r="N694" s="220"/>
      <c r="O694" s="220"/>
      <c r="P694" s="220"/>
      <c r="Q694" s="220"/>
      <c r="R694" s="221"/>
      <c r="S694" s="221"/>
      <c r="T694" s="316">
        <f t="shared" si="83"/>
        <v>0</v>
      </c>
      <c r="U694" s="217">
        <f t="shared" si="84"/>
        <v>0</v>
      </c>
      <c r="X694" s="26" t="str">
        <f t="shared" si="85"/>
        <v/>
      </c>
      <c r="Y694" s="21" t="str">
        <f>IF(MATCH(X694,X$300:$X695,0),"Si",1)</f>
        <v>Si</v>
      </c>
      <c r="Z694" s="26">
        <f t="shared" si="86"/>
        <v>0</v>
      </c>
      <c r="AA694" s="26">
        <f t="shared" si="87"/>
        <v>0</v>
      </c>
      <c r="AB694" s="26" t="str">
        <f t="shared" si="88"/>
        <v/>
      </c>
      <c r="AC694" s="26" t="str">
        <f>IF(MATCH(AB694,AB$300:$AB695,0),"0",1)</f>
        <v>0</v>
      </c>
    </row>
    <row r="695" spans="2:29" x14ac:dyDescent="0.35">
      <c r="B695" s="219"/>
      <c r="C695" s="216" t="s">
        <v>1181</v>
      </c>
      <c r="D695" s="216"/>
      <c r="E695" s="220"/>
      <c r="F695" s="220"/>
      <c r="G695" s="220"/>
      <c r="H695" s="220" t="str">
        <f t="shared" si="82"/>
        <v/>
      </c>
      <c r="I695" s="460"/>
      <c r="J695" s="460"/>
      <c r="K695" s="460"/>
      <c r="L695" s="460"/>
      <c r="M695" s="460"/>
      <c r="N695" s="220"/>
      <c r="O695" s="220"/>
      <c r="P695" s="220"/>
      <c r="Q695" s="220"/>
      <c r="R695" s="221"/>
      <c r="S695" s="221"/>
      <c r="T695" s="316">
        <f t="shared" si="83"/>
        <v>0</v>
      </c>
      <c r="U695" s="217">
        <f t="shared" si="84"/>
        <v>0</v>
      </c>
      <c r="X695" s="26" t="str">
        <f t="shared" si="85"/>
        <v/>
      </c>
      <c r="Y695" s="21" t="str">
        <f>IF(MATCH(X695,X$300:$X696,0),"Si",1)</f>
        <v>Si</v>
      </c>
      <c r="Z695" s="26">
        <f t="shared" si="86"/>
        <v>0</v>
      </c>
      <c r="AA695" s="26">
        <f t="shared" si="87"/>
        <v>0</v>
      </c>
      <c r="AB695" s="26" t="str">
        <f t="shared" si="88"/>
        <v/>
      </c>
      <c r="AC695" s="26" t="str">
        <f>IF(MATCH(AB695,AB$300:$AB696,0),"0",1)</f>
        <v>0</v>
      </c>
    </row>
    <row r="696" spans="2:29" x14ac:dyDescent="0.35">
      <c r="B696" s="219"/>
      <c r="C696" s="216" t="s">
        <v>1182</v>
      </c>
      <c r="D696" s="216"/>
      <c r="E696" s="220"/>
      <c r="F696" s="220"/>
      <c r="G696" s="220"/>
      <c r="H696" s="220" t="str">
        <f t="shared" si="82"/>
        <v/>
      </c>
      <c r="I696" s="460"/>
      <c r="J696" s="460"/>
      <c r="K696" s="460"/>
      <c r="L696" s="460"/>
      <c r="M696" s="460"/>
      <c r="N696" s="220"/>
      <c r="O696" s="220"/>
      <c r="P696" s="220"/>
      <c r="Q696" s="220"/>
      <c r="R696" s="221"/>
      <c r="S696" s="221"/>
      <c r="T696" s="316">
        <f t="shared" si="83"/>
        <v>0</v>
      </c>
      <c r="U696" s="217">
        <f t="shared" si="84"/>
        <v>0</v>
      </c>
      <c r="X696" s="26" t="str">
        <f t="shared" si="85"/>
        <v/>
      </c>
      <c r="Y696" s="21" t="str">
        <f>IF(MATCH(X696,X$300:$X697,0),"Si",1)</f>
        <v>Si</v>
      </c>
      <c r="Z696" s="26">
        <f t="shared" si="86"/>
        <v>0</v>
      </c>
      <c r="AA696" s="26">
        <f t="shared" si="87"/>
        <v>0</v>
      </c>
      <c r="AB696" s="26" t="str">
        <f t="shared" si="88"/>
        <v/>
      </c>
      <c r="AC696" s="26" t="str">
        <f>IF(MATCH(AB696,AB$300:$AB697,0),"0",1)</f>
        <v>0</v>
      </c>
    </row>
    <row r="697" spans="2:29" x14ac:dyDescent="0.35">
      <c r="B697" s="219"/>
      <c r="C697" s="216" t="s">
        <v>1183</v>
      </c>
      <c r="D697" s="216"/>
      <c r="E697" s="220"/>
      <c r="F697" s="220"/>
      <c r="G697" s="220"/>
      <c r="H697" s="220" t="str">
        <f t="shared" si="82"/>
        <v/>
      </c>
      <c r="I697" s="460"/>
      <c r="J697" s="460"/>
      <c r="K697" s="460"/>
      <c r="L697" s="460"/>
      <c r="M697" s="460"/>
      <c r="N697" s="220"/>
      <c r="O697" s="220"/>
      <c r="P697" s="220"/>
      <c r="Q697" s="220"/>
      <c r="R697" s="221"/>
      <c r="S697" s="221"/>
      <c r="T697" s="316">
        <f t="shared" si="83"/>
        <v>0</v>
      </c>
      <c r="U697" s="217">
        <f t="shared" si="84"/>
        <v>0</v>
      </c>
      <c r="X697" s="26" t="str">
        <f t="shared" si="85"/>
        <v/>
      </c>
      <c r="Y697" s="21" t="str">
        <f>IF(MATCH(X697,X$300:$X698,0),"Si",1)</f>
        <v>Si</v>
      </c>
      <c r="Z697" s="26">
        <f t="shared" si="86"/>
        <v>0</v>
      </c>
      <c r="AA697" s="26">
        <f t="shared" si="87"/>
        <v>0</v>
      </c>
      <c r="AB697" s="26" t="str">
        <f t="shared" si="88"/>
        <v/>
      </c>
      <c r="AC697" s="26" t="str">
        <f>IF(MATCH(AB697,AB$300:$AB698,0),"0",1)</f>
        <v>0</v>
      </c>
    </row>
    <row r="698" spans="2:29" x14ac:dyDescent="0.35">
      <c r="B698" s="219"/>
      <c r="C698" s="216" t="s">
        <v>1184</v>
      </c>
      <c r="D698" s="216"/>
      <c r="E698" s="220"/>
      <c r="F698" s="220"/>
      <c r="G698" s="220"/>
      <c r="H698" s="220" t="str">
        <f t="shared" si="82"/>
        <v/>
      </c>
      <c r="I698" s="460"/>
      <c r="J698" s="460"/>
      <c r="K698" s="460"/>
      <c r="L698" s="460"/>
      <c r="M698" s="460"/>
      <c r="N698" s="220"/>
      <c r="O698" s="220"/>
      <c r="P698" s="220"/>
      <c r="Q698" s="220"/>
      <c r="R698" s="221"/>
      <c r="S698" s="221"/>
      <c r="T698" s="316">
        <f t="shared" si="83"/>
        <v>0</v>
      </c>
      <c r="U698" s="217">
        <f t="shared" si="84"/>
        <v>0</v>
      </c>
      <c r="X698" s="26" t="str">
        <f t="shared" si="85"/>
        <v/>
      </c>
      <c r="Y698" s="21" t="str">
        <f>IF(MATCH(X698,X$300:$X699,0),"Si",1)</f>
        <v>Si</v>
      </c>
      <c r="Z698" s="26">
        <f t="shared" si="86"/>
        <v>0</v>
      </c>
      <c r="AA698" s="26">
        <f t="shared" si="87"/>
        <v>0</v>
      </c>
      <c r="AB698" s="26" t="str">
        <f t="shared" si="88"/>
        <v/>
      </c>
      <c r="AC698" s="26" t="str">
        <f>IF(MATCH(AB698,AB$300:$AB699,0),"0",1)</f>
        <v>0</v>
      </c>
    </row>
    <row r="699" spans="2:29" x14ac:dyDescent="0.35">
      <c r="B699" s="219"/>
      <c r="C699" s="216" t="s">
        <v>1185</v>
      </c>
      <c r="D699" s="216"/>
      <c r="E699" s="220"/>
      <c r="F699" s="220"/>
      <c r="G699" s="220"/>
      <c r="H699" s="220" t="str">
        <f t="shared" si="82"/>
        <v/>
      </c>
      <c r="I699" s="460"/>
      <c r="J699" s="460"/>
      <c r="K699" s="460"/>
      <c r="L699" s="460"/>
      <c r="M699" s="460"/>
      <c r="N699" s="220"/>
      <c r="O699" s="220"/>
      <c r="P699" s="220"/>
      <c r="Q699" s="220"/>
      <c r="R699" s="221"/>
      <c r="S699" s="221"/>
      <c r="T699" s="316">
        <f t="shared" si="83"/>
        <v>0</v>
      </c>
      <c r="U699" s="217">
        <f t="shared" si="84"/>
        <v>0</v>
      </c>
      <c r="X699" s="26" t="str">
        <f t="shared" si="85"/>
        <v/>
      </c>
      <c r="Y699" s="21" t="str">
        <f>IF(MATCH(X699,X$300:$X700,0),"Si",1)</f>
        <v>Si</v>
      </c>
      <c r="Z699" s="26">
        <f t="shared" si="86"/>
        <v>0</v>
      </c>
      <c r="AA699" s="26">
        <f t="shared" si="87"/>
        <v>0</v>
      </c>
      <c r="AB699" s="26" t="str">
        <f t="shared" si="88"/>
        <v/>
      </c>
      <c r="AC699" s="26" t="str">
        <f>IF(MATCH(AB699,AB$300:$AB700,0),"0",1)</f>
        <v>0</v>
      </c>
    </row>
    <row r="700" spans="2:29" x14ac:dyDescent="0.35">
      <c r="B700" s="219"/>
      <c r="C700" s="216" t="s">
        <v>1186</v>
      </c>
      <c r="D700" s="216"/>
      <c r="E700" s="220"/>
      <c r="F700" s="220"/>
      <c r="G700" s="220"/>
      <c r="H700" s="220" t="str">
        <f t="shared" si="82"/>
        <v/>
      </c>
      <c r="I700" s="460"/>
      <c r="J700" s="460"/>
      <c r="K700" s="460"/>
      <c r="L700" s="460"/>
      <c r="M700" s="460"/>
      <c r="N700" s="220"/>
      <c r="O700" s="220"/>
      <c r="P700" s="220"/>
      <c r="Q700" s="220"/>
      <c r="R700" s="221"/>
      <c r="S700" s="221"/>
      <c r="T700" s="316">
        <f t="shared" si="83"/>
        <v>0</v>
      </c>
      <c r="U700" s="217">
        <f t="shared" si="84"/>
        <v>0</v>
      </c>
      <c r="X700" s="26" t="str">
        <f t="shared" si="85"/>
        <v/>
      </c>
      <c r="Y700" s="21" t="str">
        <f>IF(MATCH(X700,X$300:$X701,0),"Si",1)</f>
        <v>Si</v>
      </c>
      <c r="Z700" s="26">
        <f t="shared" si="86"/>
        <v>0</v>
      </c>
      <c r="AA700" s="26">
        <f t="shared" si="87"/>
        <v>0</v>
      </c>
      <c r="AB700" s="26" t="str">
        <f t="shared" si="88"/>
        <v/>
      </c>
      <c r="AC700" s="26" t="str">
        <f>IF(MATCH(AB700,AB$300:$AB701,0),"0",1)</f>
        <v>0</v>
      </c>
    </row>
    <row r="701" spans="2:29" x14ac:dyDescent="0.35">
      <c r="B701" s="219"/>
      <c r="C701" s="216" t="s">
        <v>1187</v>
      </c>
      <c r="D701" s="216"/>
      <c r="E701" s="220"/>
      <c r="F701" s="220"/>
      <c r="G701" s="220"/>
      <c r="H701" s="220" t="str">
        <f t="shared" si="82"/>
        <v/>
      </c>
      <c r="I701" s="460"/>
      <c r="J701" s="460"/>
      <c r="K701" s="460"/>
      <c r="L701" s="460"/>
      <c r="M701" s="460"/>
      <c r="N701" s="220"/>
      <c r="O701" s="220"/>
      <c r="P701" s="220"/>
      <c r="Q701" s="220"/>
      <c r="R701" s="221"/>
      <c r="S701" s="221"/>
      <c r="T701" s="316">
        <f t="shared" si="83"/>
        <v>0</v>
      </c>
      <c r="U701" s="217">
        <f t="shared" si="84"/>
        <v>0</v>
      </c>
      <c r="X701" s="26" t="str">
        <f t="shared" si="85"/>
        <v/>
      </c>
      <c r="Y701" s="21" t="str">
        <f>IF(MATCH(X701,X$300:$X702,0),"Si",1)</f>
        <v>Si</v>
      </c>
      <c r="Z701" s="26">
        <f t="shared" si="86"/>
        <v>0</v>
      </c>
      <c r="AA701" s="26">
        <f t="shared" si="87"/>
        <v>0</v>
      </c>
      <c r="AB701" s="26" t="str">
        <f t="shared" si="88"/>
        <v/>
      </c>
      <c r="AC701" s="26" t="str">
        <f>IF(MATCH(AB701,AB$300:$AB702,0),"0",1)</f>
        <v>0</v>
      </c>
    </row>
    <row r="702" spans="2:29" x14ac:dyDescent="0.35">
      <c r="B702" s="219"/>
      <c r="C702" s="216" t="s">
        <v>1188</v>
      </c>
      <c r="D702" s="216"/>
      <c r="E702" s="220"/>
      <c r="F702" s="220"/>
      <c r="G702" s="220"/>
      <c r="H702" s="220" t="str">
        <f t="shared" si="82"/>
        <v/>
      </c>
      <c r="I702" s="460"/>
      <c r="J702" s="460"/>
      <c r="K702" s="460"/>
      <c r="L702" s="460"/>
      <c r="M702" s="460"/>
      <c r="N702" s="220"/>
      <c r="O702" s="220"/>
      <c r="P702" s="220"/>
      <c r="Q702" s="220"/>
      <c r="R702" s="221"/>
      <c r="S702" s="221"/>
      <c r="T702" s="316">
        <f t="shared" si="83"/>
        <v>0</v>
      </c>
      <c r="U702" s="217">
        <f t="shared" si="84"/>
        <v>0</v>
      </c>
      <c r="X702" s="26" t="str">
        <f t="shared" si="85"/>
        <v/>
      </c>
      <c r="Y702" s="21" t="str">
        <f>IF(MATCH(X702,X$300:$X703,0),"Si",1)</f>
        <v>Si</v>
      </c>
      <c r="Z702" s="26">
        <f t="shared" si="86"/>
        <v>0</v>
      </c>
      <c r="AA702" s="26">
        <f t="shared" si="87"/>
        <v>0</v>
      </c>
      <c r="AB702" s="26" t="str">
        <f t="shared" si="88"/>
        <v/>
      </c>
      <c r="AC702" s="26" t="str">
        <f>IF(MATCH(AB702,AB$300:$AB703,0),"0",1)</f>
        <v>0</v>
      </c>
    </row>
    <row r="703" spans="2:29" x14ac:dyDescent="0.35">
      <c r="B703" s="219"/>
      <c r="C703" s="216" t="s">
        <v>1189</v>
      </c>
      <c r="D703" s="216"/>
      <c r="E703" s="220"/>
      <c r="F703" s="220"/>
      <c r="G703" s="220"/>
      <c r="H703" s="220" t="str">
        <f t="shared" si="82"/>
        <v/>
      </c>
      <c r="I703" s="460"/>
      <c r="J703" s="460"/>
      <c r="K703" s="460"/>
      <c r="L703" s="460"/>
      <c r="M703" s="460"/>
      <c r="N703" s="220"/>
      <c r="O703" s="220"/>
      <c r="P703" s="220"/>
      <c r="Q703" s="220"/>
      <c r="R703" s="221"/>
      <c r="S703" s="221"/>
      <c r="T703" s="316">
        <f t="shared" si="83"/>
        <v>0</v>
      </c>
      <c r="U703" s="217">
        <f t="shared" si="84"/>
        <v>0</v>
      </c>
      <c r="X703" s="26" t="str">
        <f t="shared" si="85"/>
        <v/>
      </c>
      <c r="Y703" s="21" t="str">
        <f>IF(MATCH(X703,X$300:$X704,0),"Si",1)</f>
        <v>Si</v>
      </c>
      <c r="Z703" s="26">
        <f t="shared" si="86"/>
        <v>0</v>
      </c>
      <c r="AA703" s="26">
        <f t="shared" si="87"/>
        <v>0</v>
      </c>
      <c r="AB703" s="26" t="str">
        <f t="shared" si="88"/>
        <v/>
      </c>
      <c r="AC703" s="26" t="str">
        <f>IF(MATCH(AB703,AB$300:$AB704,0),"0",1)</f>
        <v>0</v>
      </c>
    </row>
    <row r="704" spans="2:29" x14ac:dyDescent="0.35">
      <c r="B704" s="219"/>
      <c r="C704" s="216" t="s">
        <v>1190</v>
      </c>
      <c r="D704" s="216"/>
      <c r="E704" s="220"/>
      <c r="F704" s="220"/>
      <c r="G704" s="220"/>
      <c r="H704" s="220" t="str">
        <f t="shared" si="82"/>
        <v/>
      </c>
      <c r="I704" s="460"/>
      <c r="J704" s="460"/>
      <c r="K704" s="460"/>
      <c r="L704" s="460"/>
      <c r="M704" s="460"/>
      <c r="N704" s="220"/>
      <c r="O704" s="220"/>
      <c r="P704" s="220"/>
      <c r="Q704" s="220"/>
      <c r="R704" s="221"/>
      <c r="S704" s="221"/>
      <c r="T704" s="316">
        <f t="shared" si="83"/>
        <v>0</v>
      </c>
      <c r="U704" s="217">
        <f t="shared" si="84"/>
        <v>0</v>
      </c>
      <c r="X704" s="26" t="str">
        <f t="shared" si="85"/>
        <v/>
      </c>
      <c r="Y704" s="21" t="str">
        <f>IF(MATCH(X704,X$300:$X705,0),"Si",1)</f>
        <v>Si</v>
      </c>
      <c r="Z704" s="26">
        <f t="shared" si="86"/>
        <v>0</v>
      </c>
      <c r="AA704" s="26">
        <f t="shared" si="87"/>
        <v>0</v>
      </c>
      <c r="AB704" s="26" t="str">
        <f t="shared" si="88"/>
        <v/>
      </c>
      <c r="AC704" s="26" t="str">
        <f>IF(MATCH(AB704,AB$300:$AB705,0),"0",1)</f>
        <v>0</v>
      </c>
    </row>
    <row r="705" spans="2:29" x14ac:dyDescent="0.35">
      <c r="B705" s="219"/>
      <c r="C705" s="216" t="s">
        <v>1191</v>
      </c>
      <c r="D705" s="216"/>
      <c r="E705" s="220"/>
      <c r="F705" s="220"/>
      <c r="G705" s="220"/>
      <c r="H705" s="220" t="str">
        <f t="shared" si="82"/>
        <v/>
      </c>
      <c r="I705" s="460"/>
      <c r="J705" s="460"/>
      <c r="K705" s="460"/>
      <c r="L705" s="460"/>
      <c r="M705" s="460"/>
      <c r="N705" s="220"/>
      <c r="O705" s="220"/>
      <c r="P705" s="220"/>
      <c r="Q705" s="220"/>
      <c r="R705" s="221"/>
      <c r="S705" s="221"/>
      <c r="T705" s="316">
        <f t="shared" si="83"/>
        <v>0</v>
      </c>
      <c r="U705" s="217">
        <f t="shared" si="84"/>
        <v>0</v>
      </c>
      <c r="X705" s="26" t="str">
        <f t="shared" si="85"/>
        <v/>
      </c>
      <c r="Y705" s="21" t="str">
        <f>IF(MATCH(X705,X$300:$X706,0),"Si",1)</f>
        <v>Si</v>
      </c>
      <c r="Z705" s="26">
        <f t="shared" si="86"/>
        <v>0</v>
      </c>
      <c r="AA705" s="26">
        <f t="shared" si="87"/>
        <v>0</v>
      </c>
      <c r="AB705" s="26" t="str">
        <f t="shared" si="88"/>
        <v/>
      </c>
      <c r="AC705" s="26" t="str">
        <f>IF(MATCH(AB705,AB$300:$AB706,0),"0",1)</f>
        <v>0</v>
      </c>
    </row>
    <row r="706" spans="2:29" x14ac:dyDescent="0.35">
      <c r="B706" s="219"/>
      <c r="C706" s="216" t="s">
        <v>1192</v>
      </c>
      <c r="D706" s="216"/>
      <c r="E706" s="220"/>
      <c r="F706" s="220"/>
      <c r="G706" s="220"/>
      <c r="H706" s="220" t="str">
        <f t="shared" si="82"/>
        <v/>
      </c>
      <c r="I706" s="460"/>
      <c r="J706" s="460"/>
      <c r="K706" s="460"/>
      <c r="L706" s="460"/>
      <c r="M706" s="460"/>
      <c r="N706" s="220"/>
      <c r="O706" s="220"/>
      <c r="P706" s="220"/>
      <c r="Q706" s="220"/>
      <c r="R706" s="221"/>
      <c r="S706" s="221"/>
      <c r="T706" s="316">
        <f t="shared" si="83"/>
        <v>0</v>
      </c>
      <c r="U706" s="217">
        <f t="shared" si="84"/>
        <v>0</v>
      </c>
      <c r="X706" s="26" t="str">
        <f t="shared" si="85"/>
        <v/>
      </c>
      <c r="Y706" s="21" t="str">
        <f>IF(MATCH(X706,X$300:$X707,0),"Si",1)</f>
        <v>Si</v>
      </c>
      <c r="Z706" s="26">
        <f t="shared" si="86"/>
        <v>0</v>
      </c>
      <c r="AA706" s="26">
        <f t="shared" si="87"/>
        <v>0</v>
      </c>
      <c r="AB706" s="26" t="str">
        <f t="shared" si="88"/>
        <v/>
      </c>
      <c r="AC706" s="26" t="str">
        <f>IF(MATCH(AB706,AB$300:$AB707,0),"0",1)</f>
        <v>0</v>
      </c>
    </row>
    <row r="707" spans="2:29" x14ac:dyDescent="0.35">
      <c r="B707" s="219"/>
      <c r="C707" s="216" t="s">
        <v>1193</v>
      </c>
      <c r="D707" s="216"/>
      <c r="E707" s="220"/>
      <c r="F707" s="220"/>
      <c r="G707" s="220"/>
      <c r="H707" s="220" t="str">
        <f t="shared" si="82"/>
        <v/>
      </c>
      <c r="I707" s="460"/>
      <c r="J707" s="460"/>
      <c r="K707" s="460"/>
      <c r="L707" s="460"/>
      <c r="M707" s="460"/>
      <c r="N707" s="220"/>
      <c r="O707" s="220"/>
      <c r="P707" s="220"/>
      <c r="Q707" s="220"/>
      <c r="R707" s="221"/>
      <c r="S707" s="221"/>
      <c r="T707" s="316">
        <f t="shared" si="83"/>
        <v>0</v>
      </c>
      <c r="U707" s="217">
        <f t="shared" si="84"/>
        <v>0</v>
      </c>
      <c r="X707" s="26" t="str">
        <f t="shared" si="85"/>
        <v/>
      </c>
      <c r="Y707" s="21" t="str">
        <f>IF(MATCH(X707,X$300:$X708,0),"Si",1)</f>
        <v>Si</v>
      </c>
      <c r="Z707" s="26">
        <f t="shared" si="86"/>
        <v>0</v>
      </c>
      <c r="AA707" s="26">
        <f t="shared" si="87"/>
        <v>0</v>
      </c>
      <c r="AB707" s="26" t="str">
        <f t="shared" si="88"/>
        <v/>
      </c>
      <c r="AC707" s="26" t="str">
        <f>IF(MATCH(AB707,AB$300:$AB708,0),"0",1)</f>
        <v>0</v>
      </c>
    </row>
    <row r="708" spans="2:29" x14ac:dyDescent="0.35">
      <c r="B708" s="219"/>
      <c r="C708" s="216" t="s">
        <v>1194</v>
      </c>
      <c r="D708" s="216"/>
      <c r="E708" s="220"/>
      <c r="F708" s="220"/>
      <c r="G708" s="220"/>
      <c r="H708" s="220" t="str">
        <f t="shared" si="82"/>
        <v/>
      </c>
      <c r="I708" s="460"/>
      <c r="J708" s="460"/>
      <c r="K708" s="460"/>
      <c r="L708" s="460"/>
      <c r="M708" s="460"/>
      <c r="N708" s="220"/>
      <c r="O708" s="220"/>
      <c r="P708" s="220"/>
      <c r="Q708" s="220"/>
      <c r="R708" s="221"/>
      <c r="S708" s="221"/>
      <c r="T708" s="316">
        <f t="shared" si="83"/>
        <v>0</v>
      </c>
      <c r="U708" s="217">
        <f t="shared" si="84"/>
        <v>0</v>
      </c>
      <c r="X708" s="26" t="str">
        <f t="shared" si="85"/>
        <v/>
      </c>
      <c r="Y708" s="21" t="str">
        <f>IF(MATCH(X708,X$300:$X709,0),"Si",1)</f>
        <v>Si</v>
      </c>
      <c r="Z708" s="26">
        <f t="shared" si="86"/>
        <v>0</v>
      </c>
      <c r="AA708" s="26">
        <f t="shared" si="87"/>
        <v>0</v>
      </c>
      <c r="AB708" s="26" t="str">
        <f t="shared" si="88"/>
        <v/>
      </c>
      <c r="AC708" s="26" t="str">
        <f>IF(MATCH(AB708,AB$300:$AB709,0),"0",1)</f>
        <v>0</v>
      </c>
    </row>
    <row r="709" spans="2:29" x14ac:dyDescent="0.35">
      <c r="B709" s="219"/>
      <c r="C709" s="216" t="s">
        <v>1195</v>
      </c>
      <c r="D709" s="216"/>
      <c r="E709" s="220"/>
      <c r="F709" s="220"/>
      <c r="G709" s="220"/>
      <c r="H709" s="220" t="str">
        <f t="shared" si="82"/>
        <v/>
      </c>
      <c r="I709" s="460"/>
      <c r="J709" s="460"/>
      <c r="K709" s="460"/>
      <c r="L709" s="460"/>
      <c r="M709" s="460"/>
      <c r="N709" s="220"/>
      <c r="O709" s="220"/>
      <c r="P709" s="220"/>
      <c r="Q709" s="220"/>
      <c r="R709" s="221"/>
      <c r="S709" s="221"/>
      <c r="T709" s="316">
        <f t="shared" si="83"/>
        <v>0</v>
      </c>
      <c r="U709" s="217">
        <f t="shared" si="84"/>
        <v>0</v>
      </c>
      <c r="X709" s="26" t="str">
        <f t="shared" si="85"/>
        <v/>
      </c>
      <c r="Y709" s="21" t="str">
        <f>IF(MATCH(X709,X$300:$X710,0),"Si",1)</f>
        <v>Si</v>
      </c>
      <c r="Z709" s="26">
        <f t="shared" si="86"/>
        <v>0</v>
      </c>
      <c r="AA709" s="26">
        <f t="shared" si="87"/>
        <v>0</v>
      </c>
      <c r="AB709" s="26" t="str">
        <f t="shared" si="88"/>
        <v/>
      </c>
      <c r="AC709" s="26" t="str">
        <f>IF(MATCH(AB709,AB$300:$AB710,0),"0",1)</f>
        <v>0</v>
      </c>
    </row>
    <row r="710" spans="2:29" x14ac:dyDescent="0.35">
      <c r="B710" s="219"/>
      <c r="C710" s="216" t="s">
        <v>1196</v>
      </c>
      <c r="D710" s="216"/>
      <c r="E710" s="220"/>
      <c r="F710" s="220"/>
      <c r="G710" s="220"/>
      <c r="H710" s="220" t="str">
        <f t="shared" si="82"/>
        <v/>
      </c>
      <c r="I710" s="460"/>
      <c r="J710" s="460"/>
      <c r="K710" s="460"/>
      <c r="L710" s="460"/>
      <c r="M710" s="460"/>
      <c r="N710" s="220"/>
      <c r="O710" s="220"/>
      <c r="P710" s="220"/>
      <c r="Q710" s="220"/>
      <c r="R710" s="221"/>
      <c r="S710" s="221"/>
      <c r="T710" s="316">
        <f t="shared" si="83"/>
        <v>0</v>
      </c>
      <c r="U710" s="217">
        <f t="shared" si="84"/>
        <v>0</v>
      </c>
      <c r="X710" s="26" t="str">
        <f t="shared" si="85"/>
        <v/>
      </c>
      <c r="Y710" s="21" t="str">
        <f>IF(MATCH(X710,X$300:$X711,0),"Si",1)</f>
        <v>Si</v>
      </c>
      <c r="Z710" s="26">
        <f t="shared" si="86"/>
        <v>0</v>
      </c>
      <c r="AA710" s="26">
        <f t="shared" si="87"/>
        <v>0</v>
      </c>
      <c r="AB710" s="26" t="str">
        <f t="shared" si="88"/>
        <v/>
      </c>
      <c r="AC710" s="26" t="str">
        <f>IF(MATCH(AB710,AB$300:$AB711,0),"0",1)</f>
        <v>0</v>
      </c>
    </row>
    <row r="711" spans="2:29" x14ac:dyDescent="0.35">
      <c r="B711" s="219"/>
      <c r="C711" s="216" t="s">
        <v>1197</v>
      </c>
      <c r="D711" s="216"/>
      <c r="E711" s="220"/>
      <c r="F711" s="220"/>
      <c r="G711" s="220"/>
      <c r="H711" s="220" t="str">
        <f t="shared" si="82"/>
        <v/>
      </c>
      <c r="I711" s="460"/>
      <c r="J711" s="460"/>
      <c r="K711" s="460"/>
      <c r="L711" s="460"/>
      <c r="M711" s="460"/>
      <c r="N711" s="220"/>
      <c r="O711" s="220"/>
      <c r="P711" s="220"/>
      <c r="Q711" s="220"/>
      <c r="R711" s="221"/>
      <c r="S711" s="221"/>
      <c r="T711" s="316">
        <f t="shared" si="83"/>
        <v>0</v>
      </c>
      <c r="U711" s="217">
        <f t="shared" si="84"/>
        <v>0</v>
      </c>
      <c r="X711" s="26" t="str">
        <f t="shared" si="85"/>
        <v/>
      </c>
      <c r="Y711" s="21" t="str">
        <f>IF(MATCH(X711,X$300:$X712,0),"Si",1)</f>
        <v>Si</v>
      </c>
      <c r="Z711" s="26">
        <f t="shared" si="86"/>
        <v>0</v>
      </c>
      <c r="AA711" s="26">
        <f t="shared" si="87"/>
        <v>0</v>
      </c>
      <c r="AB711" s="26" t="str">
        <f t="shared" si="88"/>
        <v/>
      </c>
      <c r="AC711" s="26" t="str">
        <f>IF(MATCH(AB711,AB$300:$AB712,0),"0",1)</f>
        <v>0</v>
      </c>
    </row>
    <row r="712" spans="2:29" x14ac:dyDescent="0.35">
      <c r="B712" s="219"/>
      <c r="C712" s="216" t="s">
        <v>1198</v>
      </c>
      <c r="D712" s="216"/>
      <c r="E712" s="220"/>
      <c r="F712" s="220"/>
      <c r="G712" s="220"/>
      <c r="H712" s="220" t="str">
        <f t="shared" si="82"/>
        <v/>
      </c>
      <c r="I712" s="460"/>
      <c r="J712" s="460"/>
      <c r="K712" s="460"/>
      <c r="L712" s="460"/>
      <c r="M712" s="460"/>
      <c r="N712" s="220"/>
      <c r="O712" s="220"/>
      <c r="P712" s="220"/>
      <c r="Q712" s="220"/>
      <c r="R712" s="221"/>
      <c r="S712" s="221"/>
      <c r="T712" s="316">
        <f t="shared" si="83"/>
        <v>0</v>
      </c>
      <c r="U712" s="217">
        <f t="shared" si="84"/>
        <v>0</v>
      </c>
      <c r="X712" s="26" t="str">
        <f t="shared" si="85"/>
        <v/>
      </c>
      <c r="Y712" s="21" t="str">
        <f>IF(MATCH(X712,X$300:$X713,0),"Si",1)</f>
        <v>Si</v>
      </c>
      <c r="Z712" s="26">
        <f t="shared" si="86"/>
        <v>0</v>
      </c>
      <c r="AA712" s="26">
        <f t="shared" si="87"/>
        <v>0</v>
      </c>
      <c r="AB712" s="26" t="str">
        <f t="shared" si="88"/>
        <v/>
      </c>
      <c r="AC712" s="26" t="str">
        <f>IF(MATCH(AB712,AB$300:$AB713,0),"0",1)</f>
        <v>0</v>
      </c>
    </row>
    <row r="713" spans="2:29" x14ac:dyDescent="0.35">
      <c r="B713" s="219"/>
      <c r="C713" s="216" t="s">
        <v>1199</v>
      </c>
      <c r="D713" s="216"/>
      <c r="E713" s="220"/>
      <c r="F713" s="220"/>
      <c r="G713" s="220"/>
      <c r="H713" s="220" t="str">
        <f t="shared" si="82"/>
        <v/>
      </c>
      <c r="I713" s="460"/>
      <c r="J713" s="460"/>
      <c r="K713" s="460"/>
      <c r="L713" s="460"/>
      <c r="M713" s="460"/>
      <c r="N713" s="220"/>
      <c r="O713" s="220"/>
      <c r="P713" s="220"/>
      <c r="Q713" s="220"/>
      <c r="R713" s="221"/>
      <c r="S713" s="221"/>
      <c r="T713" s="316">
        <f t="shared" si="83"/>
        <v>0</v>
      </c>
      <c r="U713" s="217">
        <f t="shared" si="84"/>
        <v>0</v>
      </c>
      <c r="X713" s="26" t="str">
        <f t="shared" si="85"/>
        <v/>
      </c>
      <c r="Y713" s="21" t="str">
        <f>IF(MATCH(X713,X$300:$X714,0),"Si",1)</f>
        <v>Si</v>
      </c>
      <c r="Z713" s="26">
        <f t="shared" si="86"/>
        <v>0</v>
      </c>
      <c r="AA713" s="26">
        <f t="shared" si="87"/>
        <v>0</v>
      </c>
      <c r="AB713" s="26" t="str">
        <f t="shared" si="88"/>
        <v/>
      </c>
      <c r="AC713" s="26" t="str">
        <f>IF(MATCH(AB713,AB$300:$AB714,0),"0",1)</f>
        <v>0</v>
      </c>
    </row>
    <row r="714" spans="2:29" x14ac:dyDescent="0.35">
      <c r="B714" s="219"/>
      <c r="C714" s="216" t="s">
        <v>1200</v>
      </c>
      <c r="D714" s="216"/>
      <c r="E714" s="220"/>
      <c r="F714" s="220"/>
      <c r="G714" s="220"/>
      <c r="H714" s="220" t="str">
        <f t="shared" si="82"/>
        <v/>
      </c>
      <c r="I714" s="460"/>
      <c r="J714" s="460"/>
      <c r="K714" s="460"/>
      <c r="L714" s="460"/>
      <c r="M714" s="460"/>
      <c r="N714" s="220"/>
      <c r="O714" s="220"/>
      <c r="P714" s="220"/>
      <c r="Q714" s="220"/>
      <c r="R714" s="221"/>
      <c r="S714" s="221"/>
      <c r="T714" s="316">
        <f t="shared" si="83"/>
        <v>0</v>
      </c>
      <c r="U714" s="217">
        <f t="shared" si="84"/>
        <v>0</v>
      </c>
      <c r="X714" s="26" t="str">
        <f t="shared" si="85"/>
        <v/>
      </c>
      <c r="Y714" s="21" t="str">
        <f>IF(MATCH(X714,X$300:$X715,0),"Si",1)</f>
        <v>Si</v>
      </c>
      <c r="Z714" s="26">
        <f t="shared" si="86"/>
        <v>0</v>
      </c>
      <c r="AA714" s="26">
        <f t="shared" si="87"/>
        <v>0</v>
      </c>
      <c r="AB714" s="26" t="str">
        <f t="shared" si="88"/>
        <v/>
      </c>
      <c r="AC714" s="26" t="str">
        <f>IF(MATCH(AB714,AB$300:$AB715,0),"0",1)</f>
        <v>0</v>
      </c>
    </row>
    <row r="715" spans="2:29" x14ac:dyDescent="0.35">
      <c r="B715" s="219"/>
      <c r="C715" s="216" t="s">
        <v>1201</v>
      </c>
      <c r="D715" s="216"/>
      <c r="E715" s="220"/>
      <c r="F715" s="220"/>
      <c r="G715" s="220"/>
      <c r="H715" s="220" t="str">
        <f t="shared" si="82"/>
        <v/>
      </c>
      <c r="I715" s="460"/>
      <c r="J715" s="460"/>
      <c r="K715" s="460"/>
      <c r="L715" s="460"/>
      <c r="M715" s="460"/>
      <c r="N715" s="220"/>
      <c r="O715" s="220"/>
      <c r="P715" s="220"/>
      <c r="Q715" s="220"/>
      <c r="R715" s="221"/>
      <c r="S715" s="221"/>
      <c r="T715" s="316">
        <f t="shared" si="83"/>
        <v>0</v>
      </c>
      <c r="U715" s="217">
        <f t="shared" si="84"/>
        <v>0</v>
      </c>
      <c r="X715" s="26" t="str">
        <f t="shared" si="85"/>
        <v/>
      </c>
      <c r="Y715" s="21" t="str">
        <f>IF(MATCH(X715,X$300:$X716,0),"Si",1)</f>
        <v>Si</v>
      </c>
      <c r="Z715" s="26">
        <f t="shared" si="86"/>
        <v>0</v>
      </c>
      <c r="AA715" s="26">
        <f t="shared" si="87"/>
        <v>0</v>
      </c>
      <c r="AB715" s="26" t="str">
        <f t="shared" si="88"/>
        <v/>
      </c>
      <c r="AC715" s="26" t="str">
        <f>IF(MATCH(AB715,AB$300:$AB716,0),"0",1)</f>
        <v>0</v>
      </c>
    </row>
    <row r="716" spans="2:29" x14ac:dyDescent="0.35">
      <c r="B716" s="219"/>
      <c r="C716" s="216" t="s">
        <v>1202</v>
      </c>
      <c r="D716" s="216"/>
      <c r="E716" s="220"/>
      <c r="F716" s="220"/>
      <c r="G716" s="220"/>
      <c r="H716" s="220" t="str">
        <f t="shared" si="82"/>
        <v/>
      </c>
      <c r="I716" s="460"/>
      <c r="J716" s="460"/>
      <c r="K716" s="460"/>
      <c r="L716" s="460"/>
      <c r="M716" s="460"/>
      <c r="N716" s="220"/>
      <c r="O716" s="220"/>
      <c r="P716" s="220"/>
      <c r="Q716" s="220"/>
      <c r="R716" s="221"/>
      <c r="S716" s="221"/>
      <c r="T716" s="316">
        <f t="shared" si="83"/>
        <v>0</v>
      </c>
      <c r="U716" s="217">
        <f t="shared" si="84"/>
        <v>0</v>
      </c>
      <c r="X716" s="26" t="str">
        <f t="shared" si="85"/>
        <v/>
      </c>
      <c r="Y716" s="21" t="str">
        <f>IF(MATCH(X716,X$300:$X717,0),"Si",1)</f>
        <v>Si</v>
      </c>
      <c r="Z716" s="26">
        <f t="shared" si="86"/>
        <v>0</v>
      </c>
      <c r="AA716" s="26">
        <f t="shared" si="87"/>
        <v>0</v>
      </c>
      <c r="AB716" s="26" t="str">
        <f t="shared" si="88"/>
        <v/>
      </c>
      <c r="AC716" s="26" t="str">
        <f>IF(MATCH(AB716,AB$300:$AB717,0),"0",1)</f>
        <v>0</v>
      </c>
    </row>
    <row r="717" spans="2:29" x14ac:dyDescent="0.35">
      <c r="B717" s="219"/>
      <c r="C717" s="216" t="s">
        <v>1203</v>
      </c>
      <c r="D717" s="216"/>
      <c r="E717" s="220"/>
      <c r="F717" s="220"/>
      <c r="G717" s="220"/>
      <c r="H717" s="220" t="str">
        <f t="shared" si="82"/>
        <v/>
      </c>
      <c r="I717" s="460"/>
      <c r="J717" s="460"/>
      <c r="K717" s="460"/>
      <c r="L717" s="460"/>
      <c r="M717" s="460"/>
      <c r="N717" s="220"/>
      <c r="O717" s="220"/>
      <c r="P717" s="220"/>
      <c r="Q717" s="220"/>
      <c r="R717" s="221"/>
      <c r="S717" s="221"/>
      <c r="T717" s="316">
        <f t="shared" si="83"/>
        <v>0</v>
      </c>
      <c r="U717" s="217">
        <f t="shared" si="84"/>
        <v>0</v>
      </c>
      <c r="X717" s="26" t="str">
        <f t="shared" si="85"/>
        <v/>
      </c>
      <c r="Y717" s="21" t="str">
        <f>IF(MATCH(X717,X$300:$X718,0),"Si",1)</f>
        <v>Si</v>
      </c>
      <c r="Z717" s="26">
        <f t="shared" si="86"/>
        <v>0</v>
      </c>
      <c r="AA717" s="26">
        <f t="shared" si="87"/>
        <v>0</v>
      </c>
      <c r="AB717" s="26" t="str">
        <f t="shared" si="88"/>
        <v/>
      </c>
      <c r="AC717" s="26" t="str">
        <f>IF(MATCH(AB717,AB$300:$AB718,0),"0",1)</f>
        <v>0</v>
      </c>
    </row>
    <row r="718" spans="2:29" x14ac:dyDescent="0.35">
      <c r="B718" s="219"/>
      <c r="C718" s="216" t="s">
        <v>1204</v>
      </c>
      <c r="D718" s="216"/>
      <c r="E718" s="220"/>
      <c r="F718" s="220"/>
      <c r="G718" s="220"/>
      <c r="H718" s="220" t="str">
        <f t="shared" si="82"/>
        <v/>
      </c>
      <c r="I718" s="460"/>
      <c r="J718" s="460"/>
      <c r="K718" s="460"/>
      <c r="L718" s="460"/>
      <c r="M718" s="460"/>
      <c r="N718" s="220"/>
      <c r="O718" s="220"/>
      <c r="P718" s="220"/>
      <c r="Q718" s="220"/>
      <c r="R718" s="221"/>
      <c r="S718" s="221"/>
      <c r="T718" s="316">
        <f t="shared" si="83"/>
        <v>0</v>
      </c>
      <c r="U718" s="217">
        <f t="shared" si="84"/>
        <v>0</v>
      </c>
      <c r="X718" s="26" t="str">
        <f t="shared" si="85"/>
        <v/>
      </c>
      <c r="Y718" s="21" t="str">
        <f>IF(MATCH(X718,X$300:$X719,0),"Si",1)</f>
        <v>Si</v>
      </c>
      <c r="Z718" s="26">
        <f t="shared" si="86"/>
        <v>0</v>
      </c>
      <c r="AA718" s="26">
        <f t="shared" si="87"/>
        <v>0</v>
      </c>
      <c r="AB718" s="26" t="str">
        <f t="shared" si="88"/>
        <v/>
      </c>
      <c r="AC718" s="26" t="str">
        <f>IF(MATCH(AB718,AB$300:$AB719,0),"0",1)</f>
        <v>0</v>
      </c>
    </row>
    <row r="719" spans="2:29" x14ac:dyDescent="0.35">
      <c r="B719" s="219"/>
      <c r="C719" s="216" t="s">
        <v>1205</v>
      </c>
      <c r="D719" s="216"/>
      <c r="E719" s="220"/>
      <c r="F719" s="220"/>
      <c r="G719" s="220"/>
      <c r="H719" s="220" t="str">
        <f t="shared" si="82"/>
        <v/>
      </c>
      <c r="I719" s="460"/>
      <c r="J719" s="460"/>
      <c r="K719" s="460"/>
      <c r="L719" s="460"/>
      <c r="M719" s="460"/>
      <c r="N719" s="220"/>
      <c r="O719" s="220"/>
      <c r="P719" s="220"/>
      <c r="Q719" s="220"/>
      <c r="R719" s="221"/>
      <c r="S719" s="221"/>
      <c r="T719" s="316">
        <f t="shared" si="83"/>
        <v>0</v>
      </c>
      <c r="U719" s="217">
        <f t="shared" si="84"/>
        <v>0</v>
      </c>
      <c r="X719" s="26" t="str">
        <f t="shared" si="85"/>
        <v/>
      </c>
      <c r="Y719" s="21" t="str">
        <f>IF(MATCH(X719,X$300:$X720,0),"Si",1)</f>
        <v>Si</v>
      </c>
      <c r="Z719" s="26">
        <f t="shared" si="86"/>
        <v>0</v>
      </c>
      <c r="AA719" s="26">
        <f t="shared" si="87"/>
        <v>0</v>
      </c>
      <c r="AB719" s="26" t="str">
        <f t="shared" si="88"/>
        <v/>
      </c>
      <c r="AC719" s="26" t="str">
        <f>IF(MATCH(AB719,AB$300:$AB720,0),"0",1)</f>
        <v>0</v>
      </c>
    </row>
    <row r="720" spans="2:29" x14ac:dyDescent="0.35">
      <c r="B720" s="219"/>
      <c r="C720" s="216" t="s">
        <v>1206</v>
      </c>
      <c r="D720" s="216"/>
      <c r="E720" s="220"/>
      <c r="F720" s="220"/>
      <c r="G720" s="220"/>
      <c r="H720" s="220" t="str">
        <f t="shared" si="82"/>
        <v/>
      </c>
      <c r="I720" s="460"/>
      <c r="J720" s="460"/>
      <c r="K720" s="460"/>
      <c r="L720" s="460"/>
      <c r="M720" s="460"/>
      <c r="N720" s="220"/>
      <c r="O720" s="220"/>
      <c r="P720" s="220"/>
      <c r="Q720" s="220"/>
      <c r="R720" s="221"/>
      <c r="S720" s="221"/>
      <c r="T720" s="316">
        <f t="shared" si="83"/>
        <v>0</v>
      </c>
      <c r="U720" s="217">
        <f t="shared" si="84"/>
        <v>0</v>
      </c>
      <c r="X720" s="26" t="str">
        <f t="shared" si="85"/>
        <v/>
      </c>
      <c r="Y720" s="21" t="str">
        <f>IF(MATCH(X720,X$300:$X721,0),"Si",1)</f>
        <v>Si</v>
      </c>
      <c r="Z720" s="26">
        <f t="shared" si="86"/>
        <v>0</v>
      </c>
      <c r="AA720" s="26">
        <f t="shared" si="87"/>
        <v>0</v>
      </c>
      <c r="AB720" s="26" t="str">
        <f t="shared" si="88"/>
        <v/>
      </c>
      <c r="AC720" s="26" t="str">
        <f>IF(MATCH(AB720,AB$300:$AB721,0),"0",1)</f>
        <v>0</v>
      </c>
    </row>
    <row r="721" spans="2:29" x14ac:dyDescent="0.35">
      <c r="B721" s="219"/>
      <c r="C721" s="216" t="s">
        <v>1207</v>
      </c>
      <c r="D721" s="216"/>
      <c r="E721" s="220"/>
      <c r="F721" s="220"/>
      <c r="G721" s="220"/>
      <c r="H721" s="220" t="str">
        <f t="shared" si="82"/>
        <v/>
      </c>
      <c r="I721" s="460"/>
      <c r="J721" s="460"/>
      <c r="K721" s="460"/>
      <c r="L721" s="460"/>
      <c r="M721" s="460"/>
      <c r="N721" s="220"/>
      <c r="O721" s="220"/>
      <c r="P721" s="220"/>
      <c r="Q721" s="220"/>
      <c r="R721" s="221"/>
      <c r="S721" s="221"/>
      <c r="T721" s="316">
        <f t="shared" si="83"/>
        <v>0</v>
      </c>
      <c r="U721" s="217">
        <f t="shared" si="84"/>
        <v>0</v>
      </c>
      <c r="X721" s="26" t="str">
        <f t="shared" si="85"/>
        <v/>
      </c>
      <c r="Y721" s="21" t="str">
        <f>IF(MATCH(X721,X$300:$X722,0),"Si",1)</f>
        <v>Si</v>
      </c>
      <c r="Z721" s="26">
        <f t="shared" si="86"/>
        <v>0</v>
      </c>
      <c r="AA721" s="26">
        <f t="shared" si="87"/>
        <v>0</v>
      </c>
      <c r="AB721" s="26" t="str">
        <f t="shared" si="88"/>
        <v/>
      </c>
      <c r="AC721" s="26" t="str">
        <f>IF(MATCH(AB721,AB$300:$AB722,0),"0",1)</f>
        <v>0</v>
      </c>
    </row>
    <row r="722" spans="2:29" x14ac:dyDescent="0.35">
      <c r="B722" s="219"/>
      <c r="C722" s="216" t="s">
        <v>1208</v>
      </c>
      <c r="D722" s="216"/>
      <c r="E722" s="220"/>
      <c r="F722" s="220"/>
      <c r="G722" s="220"/>
      <c r="H722" s="220" t="str">
        <f t="shared" ref="H722:H785" si="89">IF(G722=0,"",IF(G722&lt;&gt;"Error","No",""))</f>
        <v/>
      </c>
      <c r="I722" s="460"/>
      <c r="J722" s="460"/>
      <c r="K722" s="460"/>
      <c r="L722" s="460"/>
      <c r="M722" s="460"/>
      <c r="N722" s="220"/>
      <c r="O722" s="220"/>
      <c r="P722" s="220"/>
      <c r="Q722" s="220"/>
      <c r="R722" s="221"/>
      <c r="S722" s="221"/>
      <c r="T722" s="316">
        <f t="shared" si="83"/>
        <v>0</v>
      </c>
      <c r="U722" s="217">
        <f t="shared" si="84"/>
        <v>0</v>
      </c>
      <c r="X722" s="26" t="str">
        <f t="shared" si="85"/>
        <v/>
      </c>
      <c r="Y722" s="21" t="str">
        <f>IF(MATCH(X722,X$300:$X723,0),"Si",1)</f>
        <v>Si</v>
      </c>
      <c r="Z722" s="26">
        <f t="shared" si="86"/>
        <v>0</v>
      </c>
      <c r="AA722" s="26">
        <f t="shared" si="87"/>
        <v>0</v>
      </c>
      <c r="AB722" s="26" t="str">
        <f t="shared" si="88"/>
        <v/>
      </c>
      <c r="AC722" s="26" t="str">
        <f>IF(MATCH(AB722,AB$300:$AB723,0),"0",1)</f>
        <v>0</v>
      </c>
    </row>
    <row r="723" spans="2:29" x14ac:dyDescent="0.35">
      <c r="B723" s="219"/>
      <c r="C723" s="216" t="s">
        <v>1209</v>
      </c>
      <c r="D723" s="216"/>
      <c r="E723" s="220"/>
      <c r="F723" s="220"/>
      <c r="G723" s="220"/>
      <c r="H723" s="220" t="str">
        <f t="shared" si="89"/>
        <v/>
      </c>
      <c r="I723" s="460"/>
      <c r="J723" s="460"/>
      <c r="K723" s="460"/>
      <c r="L723" s="460"/>
      <c r="M723" s="460"/>
      <c r="N723" s="220"/>
      <c r="O723" s="220"/>
      <c r="P723" s="220"/>
      <c r="Q723" s="220"/>
      <c r="R723" s="221"/>
      <c r="S723" s="221"/>
      <c r="T723" s="316">
        <f t="shared" si="83"/>
        <v>0</v>
      </c>
      <c r="U723" s="217">
        <f t="shared" si="84"/>
        <v>0</v>
      </c>
      <c r="X723" s="26" t="str">
        <f t="shared" si="85"/>
        <v/>
      </c>
      <c r="Y723" s="21" t="str">
        <f>IF(MATCH(X723,X$300:$X724,0),"Si",1)</f>
        <v>Si</v>
      </c>
      <c r="Z723" s="26">
        <f t="shared" si="86"/>
        <v>0</v>
      </c>
      <c r="AA723" s="26">
        <f t="shared" si="87"/>
        <v>0</v>
      </c>
      <c r="AB723" s="26" t="str">
        <f t="shared" si="88"/>
        <v/>
      </c>
      <c r="AC723" s="26" t="str">
        <f>IF(MATCH(AB723,AB$300:$AB724,0),"0",1)</f>
        <v>0</v>
      </c>
    </row>
    <row r="724" spans="2:29" x14ac:dyDescent="0.35">
      <c r="B724" s="219"/>
      <c r="C724" s="216" t="s">
        <v>1210</v>
      </c>
      <c r="D724" s="216"/>
      <c r="E724" s="220"/>
      <c r="F724" s="220"/>
      <c r="G724" s="220"/>
      <c r="H724" s="220" t="str">
        <f t="shared" si="89"/>
        <v/>
      </c>
      <c r="I724" s="460"/>
      <c r="J724" s="460"/>
      <c r="K724" s="460"/>
      <c r="L724" s="460"/>
      <c r="M724" s="460"/>
      <c r="N724" s="220"/>
      <c r="O724" s="220"/>
      <c r="P724" s="220"/>
      <c r="Q724" s="220"/>
      <c r="R724" s="221"/>
      <c r="S724" s="221"/>
      <c r="T724" s="316">
        <f t="shared" si="83"/>
        <v>0</v>
      </c>
      <c r="U724" s="217">
        <f t="shared" si="84"/>
        <v>0</v>
      </c>
      <c r="X724" s="26" t="str">
        <f t="shared" si="85"/>
        <v/>
      </c>
      <c r="Y724" s="21" t="str">
        <f>IF(MATCH(X724,X$300:$X725,0),"Si",1)</f>
        <v>Si</v>
      </c>
      <c r="Z724" s="26">
        <f t="shared" si="86"/>
        <v>0</v>
      </c>
      <c r="AA724" s="26">
        <f t="shared" si="87"/>
        <v>0</v>
      </c>
      <c r="AB724" s="26" t="str">
        <f t="shared" si="88"/>
        <v/>
      </c>
      <c r="AC724" s="26" t="str">
        <f>IF(MATCH(AB724,AB$300:$AB725,0),"0",1)</f>
        <v>0</v>
      </c>
    </row>
    <row r="725" spans="2:29" x14ac:dyDescent="0.35">
      <c r="B725" s="219"/>
      <c r="C725" s="216" t="s">
        <v>1211</v>
      </c>
      <c r="D725" s="216"/>
      <c r="E725" s="220"/>
      <c r="F725" s="220"/>
      <c r="G725" s="220"/>
      <c r="H725" s="220" t="str">
        <f t="shared" si="89"/>
        <v/>
      </c>
      <c r="I725" s="460"/>
      <c r="J725" s="460"/>
      <c r="K725" s="460"/>
      <c r="L725" s="460"/>
      <c r="M725" s="460"/>
      <c r="N725" s="220"/>
      <c r="O725" s="220"/>
      <c r="P725" s="220"/>
      <c r="Q725" s="220"/>
      <c r="R725" s="221"/>
      <c r="S725" s="221"/>
      <c r="T725" s="316">
        <f t="shared" si="83"/>
        <v>0</v>
      </c>
      <c r="U725" s="217">
        <f t="shared" si="84"/>
        <v>0</v>
      </c>
      <c r="X725" s="26" t="str">
        <f t="shared" si="85"/>
        <v/>
      </c>
      <c r="Y725" s="21" t="str">
        <f>IF(MATCH(X725,X$300:$X726,0),"Si",1)</f>
        <v>Si</v>
      </c>
      <c r="Z725" s="26">
        <f t="shared" si="86"/>
        <v>0</v>
      </c>
      <c r="AA725" s="26">
        <f t="shared" si="87"/>
        <v>0</v>
      </c>
      <c r="AB725" s="26" t="str">
        <f t="shared" si="88"/>
        <v/>
      </c>
      <c r="AC725" s="26" t="str">
        <f>IF(MATCH(AB725,AB$300:$AB726,0),"0",1)</f>
        <v>0</v>
      </c>
    </row>
    <row r="726" spans="2:29" x14ac:dyDescent="0.35">
      <c r="B726" s="219"/>
      <c r="C726" s="216" t="s">
        <v>1212</v>
      </c>
      <c r="D726" s="216"/>
      <c r="E726" s="220"/>
      <c r="F726" s="220"/>
      <c r="G726" s="220"/>
      <c r="H726" s="220" t="str">
        <f t="shared" si="89"/>
        <v/>
      </c>
      <c r="I726" s="460"/>
      <c r="J726" s="460"/>
      <c r="K726" s="460"/>
      <c r="L726" s="460"/>
      <c r="M726" s="460"/>
      <c r="N726" s="220"/>
      <c r="O726" s="220"/>
      <c r="P726" s="220"/>
      <c r="Q726" s="220"/>
      <c r="R726" s="221"/>
      <c r="S726" s="221"/>
      <c r="T726" s="316">
        <f t="shared" si="83"/>
        <v>0</v>
      </c>
      <c r="U726" s="217">
        <f t="shared" si="84"/>
        <v>0</v>
      </c>
      <c r="X726" s="26" t="str">
        <f t="shared" si="85"/>
        <v/>
      </c>
      <c r="Y726" s="21" t="str">
        <f>IF(MATCH(X726,X$300:$X727,0),"Si",1)</f>
        <v>Si</v>
      </c>
      <c r="Z726" s="26">
        <f t="shared" si="86"/>
        <v>0</v>
      </c>
      <c r="AA726" s="26">
        <f t="shared" si="87"/>
        <v>0</v>
      </c>
      <c r="AB726" s="26" t="str">
        <f t="shared" si="88"/>
        <v/>
      </c>
      <c r="AC726" s="26" t="str">
        <f>IF(MATCH(AB726,AB$300:$AB727,0),"0",1)</f>
        <v>0</v>
      </c>
    </row>
    <row r="727" spans="2:29" x14ac:dyDescent="0.35">
      <c r="B727" s="219"/>
      <c r="C727" s="216" t="s">
        <v>1213</v>
      </c>
      <c r="D727" s="216"/>
      <c r="E727" s="220"/>
      <c r="F727" s="220"/>
      <c r="G727" s="220"/>
      <c r="H727" s="220" t="str">
        <f t="shared" si="89"/>
        <v/>
      </c>
      <c r="I727" s="460"/>
      <c r="J727" s="460"/>
      <c r="K727" s="460"/>
      <c r="L727" s="460"/>
      <c r="M727" s="460"/>
      <c r="N727" s="220"/>
      <c r="O727" s="220"/>
      <c r="P727" s="220"/>
      <c r="Q727" s="220"/>
      <c r="R727" s="221"/>
      <c r="S727" s="221"/>
      <c r="T727" s="316">
        <f t="shared" si="83"/>
        <v>0</v>
      </c>
      <c r="U727" s="217">
        <f t="shared" si="84"/>
        <v>0</v>
      </c>
      <c r="X727" s="26" t="str">
        <f t="shared" si="85"/>
        <v/>
      </c>
      <c r="Y727" s="21" t="str">
        <f>IF(MATCH(X727,X$300:$X728,0),"Si",1)</f>
        <v>Si</v>
      </c>
      <c r="Z727" s="26">
        <f t="shared" si="86"/>
        <v>0</v>
      </c>
      <c r="AA727" s="26">
        <f t="shared" si="87"/>
        <v>0</v>
      </c>
      <c r="AB727" s="26" t="str">
        <f t="shared" si="88"/>
        <v/>
      </c>
      <c r="AC727" s="26" t="str">
        <f>IF(MATCH(AB727,AB$300:$AB728,0),"0",1)</f>
        <v>0</v>
      </c>
    </row>
    <row r="728" spans="2:29" x14ac:dyDescent="0.35">
      <c r="B728" s="219"/>
      <c r="C728" s="216" t="s">
        <v>1214</v>
      </c>
      <c r="D728" s="216"/>
      <c r="E728" s="220"/>
      <c r="F728" s="220"/>
      <c r="G728" s="220"/>
      <c r="H728" s="220" t="str">
        <f t="shared" si="89"/>
        <v/>
      </c>
      <c r="I728" s="460"/>
      <c r="J728" s="460"/>
      <c r="K728" s="460"/>
      <c r="L728" s="460"/>
      <c r="M728" s="460"/>
      <c r="N728" s="220"/>
      <c r="O728" s="220"/>
      <c r="P728" s="220"/>
      <c r="Q728" s="220"/>
      <c r="R728" s="221"/>
      <c r="S728" s="221"/>
      <c r="T728" s="316">
        <f t="shared" si="83"/>
        <v>0</v>
      </c>
      <c r="U728" s="217">
        <f t="shared" si="84"/>
        <v>0</v>
      </c>
      <c r="X728" s="26" t="str">
        <f t="shared" si="85"/>
        <v/>
      </c>
      <c r="Y728" s="21" t="str">
        <f>IF(MATCH(X728,X$300:$X729,0),"Si",1)</f>
        <v>Si</v>
      </c>
      <c r="Z728" s="26">
        <f t="shared" si="86"/>
        <v>0</v>
      </c>
      <c r="AA728" s="26">
        <f t="shared" si="87"/>
        <v>0</v>
      </c>
      <c r="AB728" s="26" t="str">
        <f t="shared" si="88"/>
        <v/>
      </c>
      <c r="AC728" s="26" t="str">
        <f>IF(MATCH(AB728,AB$300:$AB729,0),"0",1)</f>
        <v>0</v>
      </c>
    </row>
    <row r="729" spans="2:29" x14ac:dyDescent="0.35">
      <c r="B729" s="219"/>
      <c r="C729" s="216" t="s">
        <v>1215</v>
      </c>
      <c r="D729" s="216"/>
      <c r="E729" s="220"/>
      <c r="F729" s="220"/>
      <c r="G729" s="220"/>
      <c r="H729" s="220" t="str">
        <f t="shared" si="89"/>
        <v/>
      </c>
      <c r="I729" s="460"/>
      <c r="J729" s="460"/>
      <c r="K729" s="460"/>
      <c r="L729" s="460"/>
      <c r="M729" s="460"/>
      <c r="N729" s="220"/>
      <c r="O729" s="220"/>
      <c r="P729" s="220"/>
      <c r="Q729" s="220"/>
      <c r="R729" s="221"/>
      <c r="S729" s="221"/>
      <c r="T729" s="316">
        <f t="shared" si="83"/>
        <v>0</v>
      </c>
      <c r="U729" s="217">
        <f t="shared" si="84"/>
        <v>0</v>
      </c>
      <c r="X729" s="26" t="str">
        <f t="shared" si="85"/>
        <v/>
      </c>
      <c r="Y729" s="21" t="str">
        <f>IF(MATCH(X729,X$300:$X730,0),"Si",1)</f>
        <v>Si</v>
      </c>
      <c r="Z729" s="26">
        <f t="shared" si="86"/>
        <v>0</v>
      </c>
      <c r="AA729" s="26">
        <f t="shared" si="87"/>
        <v>0</v>
      </c>
      <c r="AB729" s="26" t="str">
        <f t="shared" si="88"/>
        <v/>
      </c>
      <c r="AC729" s="26" t="str">
        <f>IF(MATCH(AB729,AB$300:$AB730,0),"0",1)</f>
        <v>0</v>
      </c>
    </row>
    <row r="730" spans="2:29" x14ac:dyDescent="0.35">
      <c r="B730" s="219"/>
      <c r="C730" s="216" t="s">
        <v>1216</v>
      </c>
      <c r="D730" s="216"/>
      <c r="E730" s="220"/>
      <c r="F730" s="220"/>
      <c r="G730" s="220"/>
      <c r="H730" s="220" t="str">
        <f t="shared" si="89"/>
        <v/>
      </c>
      <c r="I730" s="460"/>
      <c r="J730" s="460"/>
      <c r="K730" s="460"/>
      <c r="L730" s="460"/>
      <c r="M730" s="460"/>
      <c r="N730" s="220"/>
      <c r="O730" s="220"/>
      <c r="P730" s="220"/>
      <c r="Q730" s="220"/>
      <c r="R730" s="221"/>
      <c r="S730" s="221"/>
      <c r="T730" s="316">
        <f t="shared" si="83"/>
        <v>0</v>
      </c>
      <c r="U730" s="217">
        <f t="shared" si="84"/>
        <v>0</v>
      </c>
      <c r="X730" s="26" t="str">
        <f t="shared" si="85"/>
        <v/>
      </c>
      <c r="Y730" s="21" t="str">
        <f>IF(MATCH(X730,X$300:$X731,0),"Si",1)</f>
        <v>Si</v>
      </c>
      <c r="Z730" s="26">
        <f t="shared" si="86"/>
        <v>0</v>
      </c>
      <c r="AA730" s="26">
        <f t="shared" si="87"/>
        <v>0</v>
      </c>
      <c r="AB730" s="26" t="str">
        <f t="shared" si="88"/>
        <v/>
      </c>
      <c r="AC730" s="26" t="str">
        <f>IF(MATCH(AB730,AB$300:$AB731,0),"0",1)</f>
        <v>0</v>
      </c>
    </row>
    <row r="731" spans="2:29" x14ac:dyDescent="0.35">
      <c r="B731" s="219"/>
      <c r="C731" s="216" t="s">
        <v>1217</v>
      </c>
      <c r="D731" s="216"/>
      <c r="E731" s="220"/>
      <c r="F731" s="220"/>
      <c r="G731" s="220"/>
      <c r="H731" s="220" t="str">
        <f t="shared" si="89"/>
        <v/>
      </c>
      <c r="I731" s="460"/>
      <c r="J731" s="460"/>
      <c r="K731" s="460"/>
      <c r="L731" s="460"/>
      <c r="M731" s="460"/>
      <c r="N731" s="220"/>
      <c r="O731" s="220"/>
      <c r="P731" s="220"/>
      <c r="Q731" s="220"/>
      <c r="R731" s="221"/>
      <c r="S731" s="221"/>
      <c r="T731" s="316">
        <f t="shared" ref="T731:T794" si="90">IF(S731=0,0,IF(S731&lt;R731,"Error en fecha solución",IFERROR(AC731,NETWORKDAYS(R731,S731)-1)))</f>
        <v>0</v>
      </c>
      <c r="U731" s="217">
        <f t="shared" ref="U731:U794" si="91">IFERROR(T731*8,"Error")</f>
        <v>0</v>
      </c>
      <c r="X731" s="26" t="str">
        <f t="shared" ref="X731:X794" si="92">CONCATENATE(H731,O731,R731,S731)</f>
        <v/>
      </c>
      <c r="Y731" s="21" t="str">
        <f>IF(MATCH(X731,X$300:$X732,0),"Si",1)</f>
        <v>Si</v>
      </c>
      <c r="Z731" s="26">
        <f t="shared" ref="Z731:Z794" si="93">IF(S731=0,0,IF(S731&lt;R731,"Error en fecha solución",IF(Y731="Si",0,IFERROR(Y731,NETWORKDAYS(R731,S731)-1))))</f>
        <v>0</v>
      </c>
      <c r="AA731" s="26">
        <f t="shared" ref="AA731:AA794" si="94">IF(S731=0,0,IF(S731&lt;R731,"Error en fecha solución",IFERROR(Z731,NETWORKDAYS(R731,S731)-1)))</f>
        <v>0</v>
      </c>
      <c r="AB731" s="26" t="str">
        <f t="shared" ref="AB731:AB794" si="95">CONCATENATE(R731,S731)</f>
        <v/>
      </c>
      <c r="AC731" s="26" t="str">
        <f>IF(MATCH(AB731,AB$300:$AB732,0),"0",1)</f>
        <v>0</v>
      </c>
    </row>
    <row r="732" spans="2:29" x14ac:dyDescent="0.35">
      <c r="B732" s="219"/>
      <c r="C732" s="216" t="s">
        <v>1218</v>
      </c>
      <c r="D732" s="216"/>
      <c r="E732" s="220"/>
      <c r="F732" s="220"/>
      <c r="G732" s="220"/>
      <c r="H732" s="220" t="str">
        <f t="shared" si="89"/>
        <v/>
      </c>
      <c r="I732" s="460"/>
      <c r="J732" s="460"/>
      <c r="K732" s="460"/>
      <c r="L732" s="460"/>
      <c r="M732" s="460"/>
      <c r="N732" s="220"/>
      <c r="O732" s="220"/>
      <c r="P732" s="220"/>
      <c r="Q732" s="220"/>
      <c r="R732" s="221"/>
      <c r="S732" s="221"/>
      <c r="T732" s="316">
        <f t="shared" si="90"/>
        <v>0</v>
      </c>
      <c r="U732" s="217">
        <f t="shared" si="91"/>
        <v>0</v>
      </c>
      <c r="X732" s="26" t="str">
        <f t="shared" si="92"/>
        <v/>
      </c>
      <c r="Y732" s="21" t="str">
        <f>IF(MATCH(X732,X$300:$X733,0),"Si",1)</f>
        <v>Si</v>
      </c>
      <c r="Z732" s="26">
        <f t="shared" si="93"/>
        <v>0</v>
      </c>
      <c r="AA732" s="26">
        <f t="shared" si="94"/>
        <v>0</v>
      </c>
      <c r="AB732" s="26" t="str">
        <f t="shared" si="95"/>
        <v/>
      </c>
      <c r="AC732" s="26" t="str">
        <f>IF(MATCH(AB732,AB$300:$AB733,0),"0",1)</f>
        <v>0</v>
      </c>
    </row>
    <row r="733" spans="2:29" x14ac:dyDescent="0.35">
      <c r="B733" s="219"/>
      <c r="C733" s="216" t="s">
        <v>1219</v>
      </c>
      <c r="D733" s="216"/>
      <c r="E733" s="220"/>
      <c r="F733" s="220"/>
      <c r="G733" s="220"/>
      <c r="H733" s="220" t="str">
        <f t="shared" si="89"/>
        <v/>
      </c>
      <c r="I733" s="460"/>
      <c r="J733" s="460"/>
      <c r="K733" s="460"/>
      <c r="L733" s="460"/>
      <c r="M733" s="460"/>
      <c r="N733" s="220"/>
      <c r="O733" s="220"/>
      <c r="P733" s="220"/>
      <c r="Q733" s="220"/>
      <c r="R733" s="221"/>
      <c r="S733" s="221"/>
      <c r="T733" s="316">
        <f t="shared" si="90"/>
        <v>0</v>
      </c>
      <c r="U733" s="217">
        <f t="shared" si="91"/>
        <v>0</v>
      </c>
      <c r="X733" s="26" t="str">
        <f t="shared" si="92"/>
        <v/>
      </c>
      <c r="Y733" s="21" t="str">
        <f>IF(MATCH(X733,X$300:$X734,0),"Si",1)</f>
        <v>Si</v>
      </c>
      <c r="Z733" s="26">
        <f t="shared" si="93"/>
        <v>0</v>
      </c>
      <c r="AA733" s="26">
        <f t="shared" si="94"/>
        <v>0</v>
      </c>
      <c r="AB733" s="26" t="str">
        <f t="shared" si="95"/>
        <v/>
      </c>
      <c r="AC733" s="26" t="str">
        <f>IF(MATCH(AB733,AB$300:$AB734,0),"0",1)</f>
        <v>0</v>
      </c>
    </row>
    <row r="734" spans="2:29" x14ac:dyDescent="0.35">
      <c r="B734" s="219"/>
      <c r="C734" s="216" t="s">
        <v>1220</v>
      </c>
      <c r="D734" s="216"/>
      <c r="E734" s="220"/>
      <c r="F734" s="220"/>
      <c r="G734" s="220"/>
      <c r="H734" s="220" t="str">
        <f t="shared" si="89"/>
        <v/>
      </c>
      <c r="I734" s="460"/>
      <c r="J734" s="460"/>
      <c r="K734" s="460"/>
      <c r="L734" s="460"/>
      <c r="M734" s="460"/>
      <c r="N734" s="220"/>
      <c r="O734" s="220"/>
      <c r="P734" s="220"/>
      <c r="Q734" s="220"/>
      <c r="R734" s="221"/>
      <c r="S734" s="221"/>
      <c r="T734" s="316">
        <f t="shared" si="90"/>
        <v>0</v>
      </c>
      <c r="U734" s="217">
        <f t="shared" si="91"/>
        <v>0</v>
      </c>
      <c r="X734" s="26" t="str">
        <f t="shared" si="92"/>
        <v/>
      </c>
      <c r="Y734" s="21" t="str">
        <f>IF(MATCH(X734,X$300:$X735,0),"Si",1)</f>
        <v>Si</v>
      </c>
      <c r="Z734" s="26">
        <f t="shared" si="93"/>
        <v>0</v>
      </c>
      <c r="AA734" s="26">
        <f t="shared" si="94"/>
        <v>0</v>
      </c>
      <c r="AB734" s="26" t="str">
        <f t="shared" si="95"/>
        <v/>
      </c>
      <c r="AC734" s="26" t="str">
        <f>IF(MATCH(AB734,AB$300:$AB735,0),"0",1)</f>
        <v>0</v>
      </c>
    </row>
    <row r="735" spans="2:29" x14ac:dyDescent="0.35">
      <c r="B735" s="219"/>
      <c r="C735" s="216" t="s">
        <v>1221</v>
      </c>
      <c r="D735" s="216"/>
      <c r="E735" s="220"/>
      <c r="F735" s="220"/>
      <c r="G735" s="220"/>
      <c r="H735" s="220" t="str">
        <f t="shared" si="89"/>
        <v/>
      </c>
      <c r="I735" s="460"/>
      <c r="J735" s="460"/>
      <c r="K735" s="460"/>
      <c r="L735" s="460"/>
      <c r="M735" s="460"/>
      <c r="N735" s="220"/>
      <c r="O735" s="220"/>
      <c r="P735" s="220"/>
      <c r="Q735" s="220"/>
      <c r="R735" s="221"/>
      <c r="S735" s="221"/>
      <c r="T735" s="316">
        <f t="shared" si="90"/>
        <v>0</v>
      </c>
      <c r="U735" s="217">
        <f t="shared" si="91"/>
        <v>0</v>
      </c>
      <c r="X735" s="26" t="str">
        <f t="shared" si="92"/>
        <v/>
      </c>
      <c r="Y735" s="21" t="str">
        <f>IF(MATCH(X735,X$300:$X736,0),"Si",1)</f>
        <v>Si</v>
      </c>
      <c r="Z735" s="26">
        <f t="shared" si="93"/>
        <v>0</v>
      </c>
      <c r="AA735" s="26">
        <f t="shared" si="94"/>
        <v>0</v>
      </c>
      <c r="AB735" s="26" t="str">
        <f t="shared" si="95"/>
        <v/>
      </c>
      <c r="AC735" s="26" t="str">
        <f>IF(MATCH(AB735,AB$300:$AB736,0),"0",1)</f>
        <v>0</v>
      </c>
    </row>
    <row r="736" spans="2:29" x14ac:dyDescent="0.35">
      <c r="B736" s="219"/>
      <c r="C736" s="216" t="s">
        <v>1222</v>
      </c>
      <c r="D736" s="216"/>
      <c r="E736" s="220"/>
      <c r="F736" s="220"/>
      <c r="G736" s="220"/>
      <c r="H736" s="220" t="str">
        <f t="shared" si="89"/>
        <v/>
      </c>
      <c r="I736" s="460"/>
      <c r="J736" s="460"/>
      <c r="K736" s="460"/>
      <c r="L736" s="460"/>
      <c r="M736" s="460"/>
      <c r="N736" s="220"/>
      <c r="O736" s="220"/>
      <c r="P736" s="220"/>
      <c r="Q736" s="220"/>
      <c r="R736" s="221"/>
      <c r="S736" s="221"/>
      <c r="T736" s="316">
        <f t="shared" si="90"/>
        <v>0</v>
      </c>
      <c r="U736" s="217">
        <f t="shared" si="91"/>
        <v>0</v>
      </c>
      <c r="X736" s="26" t="str">
        <f t="shared" si="92"/>
        <v/>
      </c>
      <c r="Y736" s="21" t="str">
        <f>IF(MATCH(X736,X$300:$X737,0),"Si",1)</f>
        <v>Si</v>
      </c>
      <c r="Z736" s="26">
        <f t="shared" si="93"/>
        <v>0</v>
      </c>
      <c r="AA736" s="26">
        <f t="shared" si="94"/>
        <v>0</v>
      </c>
      <c r="AB736" s="26" t="str">
        <f t="shared" si="95"/>
        <v/>
      </c>
      <c r="AC736" s="26" t="str">
        <f>IF(MATCH(AB736,AB$300:$AB737,0),"0",1)</f>
        <v>0</v>
      </c>
    </row>
    <row r="737" spans="2:29" x14ac:dyDescent="0.35">
      <c r="B737" s="219"/>
      <c r="C737" s="216" t="s">
        <v>1223</v>
      </c>
      <c r="D737" s="216"/>
      <c r="E737" s="220"/>
      <c r="F737" s="220"/>
      <c r="G737" s="220"/>
      <c r="H737" s="220" t="str">
        <f t="shared" si="89"/>
        <v/>
      </c>
      <c r="I737" s="460"/>
      <c r="J737" s="460"/>
      <c r="K737" s="460"/>
      <c r="L737" s="460"/>
      <c r="M737" s="460"/>
      <c r="N737" s="220"/>
      <c r="O737" s="220"/>
      <c r="P737" s="220"/>
      <c r="Q737" s="220"/>
      <c r="R737" s="221"/>
      <c r="S737" s="221"/>
      <c r="T737" s="316">
        <f t="shared" si="90"/>
        <v>0</v>
      </c>
      <c r="U737" s="217">
        <f t="shared" si="91"/>
        <v>0</v>
      </c>
      <c r="X737" s="26" t="str">
        <f t="shared" si="92"/>
        <v/>
      </c>
      <c r="Y737" s="21" t="str">
        <f>IF(MATCH(X737,X$300:$X738,0),"Si",1)</f>
        <v>Si</v>
      </c>
      <c r="Z737" s="26">
        <f t="shared" si="93"/>
        <v>0</v>
      </c>
      <c r="AA737" s="26">
        <f t="shared" si="94"/>
        <v>0</v>
      </c>
      <c r="AB737" s="26" t="str">
        <f t="shared" si="95"/>
        <v/>
      </c>
      <c r="AC737" s="26" t="str">
        <f>IF(MATCH(AB737,AB$300:$AB738,0),"0",1)</f>
        <v>0</v>
      </c>
    </row>
    <row r="738" spans="2:29" x14ac:dyDescent="0.35">
      <c r="B738" s="219"/>
      <c r="C738" s="216" t="s">
        <v>1224</v>
      </c>
      <c r="D738" s="216"/>
      <c r="E738" s="220"/>
      <c r="F738" s="220"/>
      <c r="G738" s="220"/>
      <c r="H738" s="220" t="str">
        <f t="shared" si="89"/>
        <v/>
      </c>
      <c r="I738" s="460"/>
      <c r="J738" s="460"/>
      <c r="K738" s="460"/>
      <c r="L738" s="460"/>
      <c r="M738" s="460"/>
      <c r="N738" s="220"/>
      <c r="O738" s="220"/>
      <c r="P738" s="220"/>
      <c r="Q738" s="220"/>
      <c r="R738" s="221"/>
      <c r="S738" s="221"/>
      <c r="T738" s="316">
        <f t="shared" si="90"/>
        <v>0</v>
      </c>
      <c r="U738" s="217">
        <f t="shared" si="91"/>
        <v>0</v>
      </c>
      <c r="X738" s="26" t="str">
        <f t="shared" si="92"/>
        <v/>
      </c>
      <c r="Y738" s="21" t="str">
        <f>IF(MATCH(X738,X$300:$X739,0),"Si",1)</f>
        <v>Si</v>
      </c>
      <c r="Z738" s="26">
        <f t="shared" si="93"/>
        <v>0</v>
      </c>
      <c r="AA738" s="26">
        <f t="shared" si="94"/>
        <v>0</v>
      </c>
      <c r="AB738" s="26" t="str">
        <f t="shared" si="95"/>
        <v/>
      </c>
      <c r="AC738" s="26" t="str">
        <f>IF(MATCH(AB738,AB$300:$AB739,0),"0",1)</f>
        <v>0</v>
      </c>
    </row>
    <row r="739" spans="2:29" x14ac:dyDescent="0.35">
      <c r="B739" s="219"/>
      <c r="C739" s="216" t="s">
        <v>1225</v>
      </c>
      <c r="D739" s="216"/>
      <c r="E739" s="220"/>
      <c r="F739" s="220"/>
      <c r="G739" s="220"/>
      <c r="H739" s="220" t="str">
        <f t="shared" si="89"/>
        <v/>
      </c>
      <c r="I739" s="460"/>
      <c r="J739" s="460"/>
      <c r="K739" s="460"/>
      <c r="L739" s="460"/>
      <c r="M739" s="460"/>
      <c r="N739" s="220"/>
      <c r="O739" s="220"/>
      <c r="P739" s="220"/>
      <c r="Q739" s="220"/>
      <c r="R739" s="221"/>
      <c r="S739" s="221"/>
      <c r="T739" s="316">
        <f t="shared" si="90"/>
        <v>0</v>
      </c>
      <c r="U739" s="217">
        <f t="shared" si="91"/>
        <v>0</v>
      </c>
      <c r="X739" s="26" t="str">
        <f t="shared" si="92"/>
        <v/>
      </c>
      <c r="Y739" s="21" t="str">
        <f>IF(MATCH(X739,X$300:$X740,0),"Si",1)</f>
        <v>Si</v>
      </c>
      <c r="Z739" s="26">
        <f t="shared" si="93"/>
        <v>0</v>
      </c>
      <c r="AA739" s="26">
        <f t="shared" si="94"/>
        <v>0</v>
      </c>
      <c r="AB739" s="26" t="str">
        <f t="shared" si="95"/>
        <v/>
      </c>
      <c r="AC739" s="26" t="str">
        <f>IF(MATCH(AB739,AB$300:$AB740,0),"0",1)</f>
        <v>0</v>
      </c>
    </row>
    <row r="740" spans="2:29" x14ac:dyDescent="0.35">
      <c r="B740" s="219"/>
      <c r="C740" s="216" t="s">
        <v>1226</v>
      </c>
      <c r="D740" s="216"/>
      <c r="E740" s="220"/>
      <c r="F740" s="220"/>
      <c r="G740" s="220"/>
      <c r="H740" s="220" t="str">
        <f t="shared" si="89"/>
        <v/>
      </c>
      <c r="I740" s="460"/>
      <c r="J740" s="460"/>
      <c r="K740" s="460"/>
      <c r="L740" s="460"/>
      <c r="M740" s="460"/>
      <c r="N740" s="220"/>
      <c r="O740" s="220"/>
      <c r="P740" s="220"/>
      <c r="Q740" s="220"/>
      <c r="R740" s="221"/>
      <c r="S740" s="221"/>
      <c r="T740" s="316">
        <f t="shared" si="90"/>
        <v>0</v>
      </c>
      <c r="U740" s="217">
        <f t="shared" si="91"/>
        <v>0</v>
      </c>
      <c r="X740" s="26" t="str">
        <f t="shared" si="92"/>
        <v/>
      </c>
      <c r="Y740" s="21" t="str">
        <f>IF(MATCH(X740,X$300:$X741,0),"Si",1)</f>
        <v>Si</v>
      </c>
      <c r="Z740" s="26">
        <f t="shared" si="93"/>
        <v>0</v>
      </c>
      <c r="AA740" s="26">
        <f t="shared" si="94"/>
        <v>0</v>
      </c>
      <c r="AB740" s="26" t="str">
        <f t="shared" si="95"/>
        <v/>
      </c>
      <c r="AC740" s="26" t="str">
        <f>IF(MATCH(AB740,AB$300:$AB741,0),"0",1)</f>
        <v>0</v>
      </c>
    </row>
    <row r="741" spans="2:29" x14ac:dyDescent="0.35">
      <c r="B741" s="219"/>
      <c r="C741" s="216" t="s">
        <v>1227</v>
      </c>
      <c r="D741" s="216"/>
      <c r="E741" s="220"/>
      <c r="F741" s="220"/>
      <c r="G741" s="220"/>
      <c r="H741" s="220" t="str">
        <f t="shared" si="89"/>
        <v/>
      </c>
      <c r="I741" s="460"/>
      <c r="J741" s="460"/>
      <c r="K741" s="460"/>
      <c r="L741" s="460"/>
      <c r="M741" s="460"/>
      <c r="N741" s="220"/>
      <c r="O741" s="220"/>
      <c r="P741" s="220"/>
      <c r="Q741" s="220"/>
      <c r="R741" s="221"/>
      <c r="S741" s="221"/>
      <c r="T741" s="316">
        <f t="shared" si="90"/>
        <v>0</v>
      </c>
      <c r="U741" s="217">
        <f t="shared" si="91"/>
        <v>0</v>
      </c>
      <c r="X741" s="26" t="str">
        <f t="shared" si="92"/>
        <v/>
      </c>
      <c r="Y741" s="21" t="str">
        <f>IF(MATCH(X741,X$300:$X742,0),"Si",1)</f>
        <v>Si</v>
      </c>
      <c r="Z741" s="26">
        <f t="shared" si="93"/>
        <v>0</v>
      </c>
      <c r="AA741" s="26">
        <f t="shared" si="94"/>
        <v>0</v>
      </c>
      <c r="AB741" s="26" t="str">
        <f t="shared" si="95"/>
        <v/>
      </c>
      <c r="AC741" s="26" t="str">
        <f>IF(MATCH(AB741,AB$300:$AB742,0),"0",1)</f>
        <v>0</v>
      </c>
    </row>
    <row r="742" spans="2:29" x14ac:dyDescent="0.35">
      <c r="B742" s="219"/>
      <c r="C742" s="216" t="s">
        <v>1228</v>
      </c>
      <c r="D742" s="216"/>
      <c r="E742" s="220"/>
      <c r="F742" s="220"/>
      <c r="G742" s="220"/>
      <c r="H742" s="220" t="str">
        <f t="shared" si="89"/>
        <v/>
      </c>
      <c r="I742" s="460"/>
      <c r="J742" s="460"/>
      <c r="K742" s="460"/>
      <c r="L742" s="460"/>
      <c r="M742" s="460"/>
      <c r="N742" s="220"/>
      <c r="O742" s="220"/>
      <c r="P742" s="220"/>
      <c r="Q742" s="220"/>
      <c r="R742" s="221"/>
      <c r="S742" s="221"/>
      <c r="T742" s="316">
        <f t="shared" si="90"/>
        <v>0</v>
      </c>
      <c r="U742" s="217">
        <f t="shared" si="91"/>
        <v>0</v>
      </c>
      <c r="X742" s="26" t="str">
        <f t="shared" si="92"/>
        <v/>
      </c>
      <c r="Y742" s="21" t="str">
        <f>IF(MATCH(X742,X$300:$X743,0),"Si",1)</f>
        <v>Si</v>
      </c>
      <c r="Z742" s="26">
        <f t="shared" si="93"/>
        <v>0</v>
      </c>
      <c r="AA742" s="26">
        <f t="shared" si="94"/>
        <v>0</v>
      </c>
      <c r="AB742" s="26" t="str">
        <f t="shared" si="95"/>
        <v/>
      </c>
      <c r="AC742" s="26" t="str">
        <f>IF(MATCH(AB742,AB$300:$AB743,0),"0",1)</f>
        <v>0</v>
      </c>
    </row>
    <row r="743" spans="2:29" x14ac:dyDescent="0.35">
      <c r="B743" s="219"/>
      <c r="C743" s="216" t="s">
        <v>1229</v>
      </c>
      <c r="D743" s="216"/>
      <c r="E743" s="220"/>
      <c r="F743" s="220"/>
      <c r="G743" s="220"/>
      <c r="H743" s="220" t="str">
        <f t="shared" si="89"/>
        <v/>
      </c>
      <c r="I743" s="460"/>
      <c r="J743" s="460"/>
      <c r="K743" s="460"/>
      <c r="L743" s="460"/>
      <c r="M743" s="460"/>
      <c r="N743" s="220"/>
      <c r="O743" s="220"/>
      <c r="P743" s="220"/>
      <c r="Q743" s="220"/>
      <c r="R743" s="221"/>
      <c r="S743" s="221"/>
      <c r="T743" s="316">
        <f t="shared" si="90"/>
        <v>0</v>
      </c>
      <c r="U743" s="217">
        <f t="shared" si="91"/>
        <v>0</v>
      </c>
      <c r="X743" s="26" t="str">
        <f t="shared" si="92"/>
        <v/>
      </c>
      <c r="Y743" s="21" t="str">
        <f>IF(MATCH(X743,X$300:$X744,0),"Si",1)</f>
        <v>Si</v>
      </c>
      <c r="Z743" s="26">
        <f t="shared" si="93"/>
        <v>0</v>
      </c>
      <c r="AA743" s="26">
        <f t="shared" si="94"/>
        <v>0</v>
      </c>
      <c r="AB743" s="26" t="str">
        <f t="shared" si="95"/>
        <v/>
      </c>
      <c r="AC743" s="26" t="str">
        <f>IF(MATCH(AB743,AB$300:$AB744,0),"0",1)</f>
        <v>0</v>
      </c>
    </row>
    <row r="744" spans="2:29" x14ac:dyDescent="0.35">
      <c r="B744" s="219"/>
      <c r="C744" s="216" t="s">
        <v>1230</v>
      </c>
      <c r="D744" s="216"/>
      <c r="E744" s="220"/>
      <c r="F744" s="220"/>
      <c r="G744" s="220"/>
      <c r="H744" s="220" t="str">
        <f t="shared" si="89"/>
        <v/>
      </c>
      <c r="I744" s="460"/>
      <c r="J744" s="460"/>
      <c r="K744" s="460"/>
      <c r="L744" s="460"/>
      <c r="M744" s="460"/>
      <c r="N744" s="220"/>
      <c r="O744" s="220"/>
      <c r="P744" s="220"/>
      <c r="Q744" s="220"/>
      <c r="R744" s="221"/>
      <c r="S744" s="221"/>
      <c r="T744" s="316">
        <f t="shared" si="90"/>
        <v>0</v>
      </c>
      <c r="U744" s="217">
        <f t="shared" si="91"/>
        <v>0</v>
      </c>
      <c r="X744" s="26" t="str">
        <f t="shared" si="92"/>
        <v/>
      </c>
      <c r="Y744" s="21" t="str">
        <f>IF(MATCH(X744,X$300:$X745,0),"Si",1)</f>
        <v>Si</v>
      </c>
      <c r="Z744" s="26">
        <f t="shared" si="93"/>
        <v>0</v>
      </c>
      <c r="AA744" s="26">
        <f t="shared" si="94"/>
        <v>0</v>
      </c>
      <c r="AB744" s="26" t="str">
        <f t="shared" si="95"/>
        <v/>
      </c>
      <c r="AC744" s="26" t="str">
        <f>IF(MATCH(AB744,AB$300:$AB745,0),"0",1)</f>
        <v>0</v>
      </c>
    </row>
    <row r="745" spans="2:29" x14ac:dyDescent="0.35">
      <c r="B745" s="219"/>
      <c r="C745" s="216" t="s">
        <v>1231</v>
      </c>
      <c r="D745" s="216"/>
      <c r="E745" s="220"/>
      <c r="F745" s="220"/>
      <c r="G745" s="220"/>
      <c r="H745" s="220" t="str">
        <f t="shared" si="89"/>
        <v/>
      </c>
      <c r="I745" s="460"/>
      <c r="J745" s="460"/>
      <c r="K745" s="460"/>
      <c r="L745" s="460"/>
      <c r="M745" s="460"/>
      <c r="N745" s="220"/>
      <c r="O745" s="220"/>
      <c r="P745" s="220"/>
      <c r="Q745" s="220"/>
      <c r="R745" s="221"/>
      <c r="S745" s="221"/>
      <c r="T745" s="316">
        <f t="shared" si="90"/>
        <v>0</v>
      </c>
      <c r="U745" s="217">
        <f t="shared" si="91"/>
        <v>0</v>
      </c>
      <c r="X745" s="26" t="str">
        <f t="shared" si="92"/>
        <v/>
      </c>
      <c r="Y745" s="21" t="str">
        <f>IF(MATCH(X745,X$300:$X746,0),"Si",1)</f>
        <v>Si</v>
      </c>
      <c r="Z745" s="26">
        <f t="shared" si="93"/>
        <v>0</v>
      </c>
      <c r="AA745" s="26">
        <f t="shared" si="94"/>
        <v>0</v>
      </c>
      <c r="AB745" s="26" t="str">
        <f t="shared" si="95"/>
        <v/>
      </c>
      <c r="AC745" s="26" t="str">
        <f>IF(MATCH(AB745,AB$300:$AB746,0),"0",1)</f>
        <v>0</v>
      </c>
    </row>
    <row r="746" spans="2:29" x14ac:dyDescent="0.35">
      <c r="B746" s="219"/>
      <c r="C746" s="216" t="s">
        <v>1232</v>
      </c>
      <c r="D746" s="216"/>
      <c r="E746" s="220"/>
      <c r="F746" s="220"/>
      <c r="G746" s="220"/>
      <c r="H746" s="220" t="str">
        <f t="shared" si="89"/>
        <v/>
      </c>
      <c r="I746" s="460"/>
      <c r="J746" s="460"/>
      <c r="K746" s="460"/>
      <c r="L746" s="460"/>
      <c r="M746" s="460"/>
      <c r="N746" s="220"/>
      <c r="O746" s="220"/>
      <c r="P746" s="220"/>
      <c r="Q746" s="220"/>
      <c r="R746" s="221"/>
      <c r="S746" s="221"/>
      <c r="T746" s="316">
        <f t="shared" si="90"/>
        <v>0</v>
      </c>
      <c r="U746" s="217">
        <f t="shared" si="91"/>
        <v>0</v>
      </c>
      <c r="X746" s="26" t="str">
        <f t="shared" si="92"/>
        <v/>
      </c>
      <c r="Y746" s="21" t="str">
        <f>IF(MATCH(X746,X$300:$X747,0),"Si",1)</f>
        <v>Si</v>
      </c>
      <c r="Z746" s="26">
        <f t="shared" si="93"/>
        <v>0</v>
      </c>
      <c r="AA746" s="26">
        <f t="shared" si="94"/>
        <v>0</v>
      </c>
      <c r="AB746" s="26" t="str">
        <f t="shared" si="95"/>
        <v/>
      </c>
      <c r="AC746" s="26" t="str">
        <f>IF(MATCH(AB746,AB$300:$AB747,0),"0",1)</f>
        <v>0</v>
      </c>
    </row>
    <row r="747" spans="2:29" x14ac:dyDescent="0.35">
      <c r="B747" s="219"/>
      <c r="C747" s="216" t="s">
        <v>1233</v>
      </c>
      <c r="D747" s="216"/>
      <c r="E747" s="220"/>
      <c r="F747" s="220"/>
      <c r="G747" s="220"/>
      <c r="H747" s="220" t="str">
        <f t="shared" si="89"/>
        <v/>
      </c>
      <c r="I747" s="460"/>
      <c r="J747" s="460"/>
      <c r="K747" s="460"/>
      <c r="L747" s="460"/>
      <c r="M747" s="460"/>
      <c r="N747" s="220"/>
      <c r="O747" s="220"/>
      <c r="P747" s="220"/>
      <c r="Q747" s="220"/>
      <c r="R747" s="221"/>
      <c r="S747" s="221"/>
      <c r="T747" s="316">
        <f t="shared" si="90"/>
        <v>0</v>
      </c>
      <c r="U747" s="217">
        <f t="shared" si="91"/>
        <v>0</v>
      </c>
      <c r="X747" s="26" t="str">
        <f t="shared" si="92"/>
        <v/>
      </c>
      <c r="Y747" s="21" t="str">
        <f>IF(MATCH(X747,X$300:$X748,0),"Si",1)</f>
        <v>Si</v>
      </c>
      <c r="Z747" s="26">
        <f t="shared" si="93"/>
        <v>0</v>
      </c>
      <c r="AA747" s="26">
        <f t="shared" si="94"/>
        <v>0</v>
      </c>
      <c r="AB747" s="26" t="str">
        <f t="shared" si="95"/>
        <v/>
      </c>
      <c r="AC747" s="26" t="str">
        <f>IF(MATCH(AB747,AB$300:$AB748,0),"0",1)</f>
        <v>0</v>
      </c>
    </row>
    <row r="748" spans="2:29" x14ac:dyDescent="0.35">
      <c r="B748" s="219"/>
      <c r="C748" s="216" t="s">
        <v>1234</v>
      </c>
      <c r="D748" s="216"/>
      <c r="E748" s="220"/>
      <c r="F748" s="220"/>
      <c r="G748" s="220"/>
      <c r="H748" s="220" t="str">
        <f t="shared" si="89"/>
        <v/>
      </c>
      <c r="I748" s="460"/>
      <c r="J748" s="460"/>
      <c r="K748" s="460"/>
      <c r="L748" s="460"/>
      <c r="M748" s="460"/>
      <c r="N748" s="220"/>
      <c r="O748" s="220"/>
      <c r="P748" s="220"/>
      <c r="Q748" s="220"/>
      <c r="R748" s="221"/>
      <c r="S748" s="221"/>
      <c r="T748" s="316">
        <f t="shared" si="90"/>
        <v>0</v>
      </c>
      <c r="U748" s="217">
        <f t="shared" si="91"/>
        <v>0</v>
      </c>
      <c r="X748" s="26" t="str">
        <f t="shared" si="92"/>
        <v/>
      </c>
      <c r="Y748" s="21" t="str">
        <f>IF(MATCH(X748,X$300:$X749,0),"Si",1)</f>
        <v>Si</v>
      </c>
      <c r="Z748" s="26">
        <f t="shared" si="93"/>
        <v>0</v>
      </c>
      <c r="AA748" s="26">
        <f t="shared" si="94"/>
        <v>0</v>
      </c>
      <c r="AB748" s="26" t="str">
        <f t="shared" si="95"/>
        <v/>
      </c>
      <c r="AC748" s="26" t="str">
        <f>IF(MATCH(AB748,AB$300:$AB749,0),"0",1)</f>
        <v>0</v>
      </c>
    </row>
    <row r="749" spans="2:29" x14ac:dyDescent="0.35">
      <c r="B749" s="219"/>
      <c r="C749" s="216" t="s">
        <v>1235</v>
      </c>
      <c r="D749" s="216"/>
      <c r="E749" s="220"/>
      <c r="F749" s="220"/>
      <c r="G749" s="220"/>
      <c r="H749" s="220" t="str">
        <f t="shared" si="89"/>
        <v/>
      </c>
      <c r="I749" s="460"/>
      <c r="J749" s="460"/>
      <c r="K749" s="460"/>
      <c r="L749" s="460"/>
      <c r="M749" s="460"/>
      <c r="N749" s="220"/>
      <c r="O749" s="220"/>
      <c r="P749" s="220"/>
      <c r="Q749" s="220"/>
      <c r="R749" s="221"/>
      <c r="S749" s="221"/>
      <c r="T749" s="316">
        <f t="shared" si="90"/>
        <v>0</v>
      </c>
      <c r="U749" s="217">
        <f t="shared" si="91"/>
        <v>0</v>
      </c>
      <c r="X749" s="26" t="str">
        <f t="shared" si="92"/>
        <v/>
      </c>
      <c r="Y749" s="21" t="str">
        <f>IF(MATCH(X749,X$300:$X750,0),"Si",1)</f>
        <v>Si</v>
      </c>
      <c r="Z749" s="26">
        <f t="shared" si="93"/>
        <v>0</v>
      </c>
      <c r="AA749" s="26">
        <f t="shared" si="94"/>
        <v>0</v>
      </c>
      <c r="AB749" s="26" t="str">
        <f t="shared" si="95"/>
        <v/>
      </c>
      <c r="AC749" s="26" t="str">
        <f>IF(MATCH(AB749,AB$300:$AB750,0),"0",1)</f>
        <v>0</v>
      </c>
    </row>
    <row r="750" spans="2:29" x14ac:dyDescent="0.35">
      <c r="B750" s="219"/>
      <c r="C750" s="216" t="s">
        <v>1236</v>
      </c>
      <c r="D750" s="216"/>
      <c r="E750" s="220"/>
      <c r="F750" s="220"/>
      <c r="G750" s="220"/>
      <c r="H750" s="220" t="str">
        <f t="shared" si="89"/>
        <v/>
      </c>
      <c r="I750" s="460"/>
      <c r="J750" s="460"/>
      <c r="K750" s="460"/>
      <c r="L750" s="460"/>
      <c r="M750" s="460"/>
      <c r="N750" s="220"/>
      <c r="O750" s="220"/>
      <c r="P750" s="220"/>
      <c r="Q750" s="220"/>
      <c r="R750" s="221"/>
      <c r="S750" s="221"/>
      <c r="T750" s="316">
        <f t="shared" si="90"/>
        <v>0</v>
      </c>
      <c r="U750" s="217">
        <f t="shared" si="91"/>
        <v>0</v>
      </c>
      <c r="X750" s="26" t="str">
        <f t="shared" si="92"/>
        <v/>
      </c>
      <c r="Y750" s="21" t="str">
        <f>IF(MATCH(X750,X$300:$X751,0),"Si",1)</f>
        <v>Si</v>
      </c>
      <c r="Z750" s="26">
        <f t="shared" si="93"/>
        <v>0</v>
      </c>
      <c r="AA750" s="26">
        <f t="shared" si="94"/>
        <v>0</v>
      </c>
      <c r="AB750" s="26" t="str">
        <f t="shared" si="95"/>
        <v/>
      </c>
      <c r="AC750" s="26" t="str">
        <f>IF(MATCH(AB750,AB$300:$AB751,0),"0",1)</f>
        <v>0</v>
      </c>
    </row>
    <row r="751" spans="2:29" x14ac:dyDescent="0.35">
      <c r="B751" s="219"/>
      <c r="C751" s="216" t="s">
        <v>1237</v>
      </c>
      <c r="D751" s="216"/>
      <c r="E751" s="220"/>
      <c r="F751" s="220"/>
      <c r="G751" s="220"/>
      <c r="H751" s="220" t="str">
        <f t="shared" si="89"/>
        <v/>
      </c>
      <c r="I751" s="460"/>
      <c r="J751" s="460"/>
      <c r="K751" s="460"/>
      <c r="L751" s="460"/>
      <c r="M751" s="460"/>
      <c r="N751" s="220"/>
      <c r="O751" s="220"/>
      <c r="P751" s="220"/>
      <c r="Q751" s="220"/>
      <c r="R751" s="221"/>
      <c r="S751" s="221"/>
      <c r="T751" s="316">
        <f t="shared" si="90"/>
        <v>0</v>
      </c>
      <c r="U751" s="217">
        <f t="shared" si="91"/>
        <v>0</v>
      </c>
      <c r="X751" s="26" t="str">
        <f t="shared" si="92"/>
        <v/>
      </c>
      <c r="Y751" s="21" t="str">
        <f>IF(MATCH(X751,X$300:$X752,0),"Si",1)</f>
        <v>Si</v>
      </c>
      <c r="Z751" s="26">
        <f t="shared" si="93"/>
        <v>0</v>
      </c>
      <c r="AA751" s="26">
        <f t="shared" si="94"/>
        <v>0</v>
      </c>
      <c r="AB751" s="26" t="str">
        <f t="shared" si="95"/>
        <v/>
      </c>
      <c r="AC751" s="26" t="str">
        <f>IF(MATCH(AB751,AB$300:$AB752,0),"0",1)</f>
        <v>0</v>
      </c>
    </row>
    <row r="752" spans="2:29" x14ac:dyDescent="0.35">
      <c r="B752" s="219"/>
      <c r="C752" s="216" t="s">
        <v>1238</v>
      </c>
      <c r="D752" s="216"/>
      <c r="E752" s="220"/>
      <c r="F752" s="220"/>
      <c r="G752" s="220"/>
      <c r="H752" s="220" t="str">
        <f t="shared" si="89"/>
        <v/>
      </c>
      <c r="I752" s="460"/>
      <c r="J752" s="460"/>
      <c r="K752" s="460"/>
      <c r="L752" s="460"/>
      <c r="M752" s="460"/>
      <c r="N752" s="220"/>
      <c r="O752" s="220"/>
      <c r="P752" s="220"/>
      <c r="Q752" s="220"/>
      <c r="R752" s="221"/>
      <c r="S752" s="221"/>
      <c r="T752" s="316">
        <f t="shared" si="90"/>
        <v>0</v>
      </c>
      <c r="U752" s="217">
        <f t="shared" si="91"/>
        <v>0</v>
      </c>
      <c r="X752" s="26" t="str">
        <f t="shared" si="92"/>
        <v/>
      </c>
      <c r="Y752" s="21" t="str">
        <f>IF(MATCH(X752,X$300:$X753,0),"Si",1)</f>
        <v>Si</v>
      </c>
      <c r="Z752" s="26">
        <f t="shared" si="93"/>
        <v>0</v>
      </c>
      <c r="AA752" s="26">
        <f t="shared" si="94"/>
        <v>0</v>
      </c>
      <c r="AB752" s="26" t="str">
        <f t="shared" si="95"/>
        <v/>
      </c>
      <c r="AC752" s="26" t="str">
        <f>IF(MATCH(AB752,AB$300:$AB753,0),"0",1)</f>
        <v>0</v>
      </c>
    </row>
    <row r="753" spans="2:29" x14ac:dyDescent="0.35">
      <c r="B753" s="219"/>
      <c r="C753" s="216" t="s">
        <v>1239</v>
      </c>
      <c r="D753" s="216"/>
      <c r="E753" s="220"/>
      <c r="F753" s="220"/>
      <c r="G753" s="220"/>
      <c r="H753" s="220" t="str">
        <f t="shared" si="89"/>
        <v/>
      </c>
      <c r="I753" s="460"/>
      <c r="J753" s="460"/>
      <c r="K753" s="460"/>
      <c r="L753" s="460"/>
      <c r="M753" s="460"/>
      <c r="N753" s="220"/>
      <c r="O753" s="220"/>
      <c r="P753" s="220"/>
      <c r="Q753" s="220"/>
      <c r="R753" s="221"/>
      <c r="S753" s="221"/>
      <c r="T753" s="316">
        <f t="shared" si="90"/>
        <v>0</v>
      </c>
      <c r="U753" s="217">
        <f t="shared" si="91"/>
        <v>0</v>
      </c>
      <c r="X753" s="26" t="str">
        <f t="shared" si="92"/>
        <v/>
      </c>
      <c r="Y753" s="21" t="str">
        <f>IF(MATCH(X753,X$300:$X754,0),"Si",1)</f>
        <v>Si</v>
      </c>
      <c r="Z753" s="26">
        <f t="shared" si="93"/>
        <v>0</v>
      </c>
      <c r="AA753" s="26">
        <f t="shared" si="94"/>
        <v>0</v>
      </c>
      <c r="AB753" s="26" t="str">
        <f t="shared" si="95"/>
        <v/>
      </c>
      <c r="AC753" s="26" t="str">
        <f>IF(MATCH(AB753,AB$300:$AB754,0),"0",1)</f>
        <v>0</v>
      </c>
    </row>
    <row r="754" spans="2:29" x14ac:dyDescent="0.35">
      <c r="B754" s="219"/>
      <c r="C754" s="216" t="s">
        <v>1240</v>
      </c>
      <c r="D754" s="216"/>
      <c r="E754" s="220"/>
      <c r="F754" s="220"/>
      <c r="G754" s="220"/>
      <c r="H754" s="220" t="str">
        <f t="shared" si="89"/>
        <v/>
      </c>
      <c r="I754" s="460"/>
      <c r="J754" s="460"/>
      <c r="K754" s="460"/>
      <c r="L754" s="460"/>
      <c r="M754" s="460"/>
      <c r="N754" s="220"/>
      <c r="O754" s="220"/>
      <c r="P754" s="220"/>
      <c r="Q754" s="220"/>
      <c r="R754" s="221"/>
      <c r="S754" s="221"/>
      <c r="T754" s="316">
        <f t="shared" si="90"/>
        <v>0</v>
      </c>
      <c r="U754" s="217">
        <f t="shared" si="91"/>
        <v>0</v>
      </c>
      <c r="X754" s="26" t="str">
        <f t="shared" si="92"/>
        <v/>
      </c>
      <c r="Y754" s="21" t="str">
        <f>IF(MATCH(X754,X$300:$X755,0),"Si",1)</f>
        <v>Si</v>
      </c>
      <c r="Z754" s="26">
        <f t="shared" si="93"/>
        <v>0</v>
      </c>
      <c r="AA754" s="26">
        <f t="shared" si="94"/>
        <v>0</v>
      </c>
      <c r="AB754" s="26" t="str">
        <f t="shared" si="95"/>
        <v/>
      </c>
      <c r="AC754" s="26" t="str">
        <f>IF(MATCH(AB754,AB$300:$AB755,0),"0",1)</f>
        <v>0</v>
      </c>
    </row>
    <row r="755" spans="2:29" x14ac:dyDescent="0.35">
      <c r="B755" s="219"/>
      <c r="C755" s="216" t="s">
        <v>1241</v>
      </c>
      <c r="D755" s="216"/>
      <c r="E755" s="220"/>
      <c r="F755" s="220"/>
      <c r="G755" s="220"/>
      <c r="H755" s="220" t="str">
        <f t="shared" si="89"/>
        <v/>
      </c>
      <c r="I755" s="460"/>
      <c r="J755" s="460"/>
      <c r="K755" s="460"/>
      <c r="L755" s="460"/>
      <c r="M755" s="460"/>
      <c r="N755" s="220"/>
      <c r="O755" s="220"/>
      <c r="P755" s="220"/>
      <c r="Q755" s="220"/>
      <c r="R755" s="221"/>
      <c r="S755" s="221"/>
      <c r="T755" s="316">
        <f t="shared" si="90"/>
        <v>0</v>
      </c>
      <c r="U755" s="217">
        <f t="shared" si="91"/>
        <v>0</v>
      </c>
      <c r="X755" s="26" t="str">
        <f t="shared" si="92"/>
        <v/>
      </c>
      <c r="Y755" s="21" t="str">
        <f>IF(MATCH(X755,X$300:$X756,0),"Si",1)</f>
        <v>Si</v>
      </c>
      <c r="Z755" s="26">
        <f t="shared" si="93"/>
        <v>0</v>
      </c>
      <c r="AA755" s="26">
        <f t="shared" si="94"/>
        <v>0</v>
      </c>
      <c r="AB755" s="26" t="str">
        <f t="shared" si="95"/>
        <v/>
      </c>
      <c r="AC755" s="26" t="str">
        <f>IF(MATCH(AB755,AB$300:$AB756,0),"0",1)</f>
        <v>0</v>
      </c>
    </row>
    <row r="756" spans="2:29" x14ac:dyDescent="0.35">
      <c r="B756" s="219"/>
      <c r="C756" s="216" t="s">
        <v>1242</v>
      </c>
      <c r="D756" s="216"/>
      <c r="E756" s="220"/>
      <c r="F756" s="220"/>
      <c r="G756" s="220"/>
      <c r="H756" s="220" t="str">
        <f t="shared" si="89"/>
        <v/>
      </c>
      <c r="I756" s="460"/>
      <c r="J756" s="460"/>
      <c r="K756" s="460"/>
      <c r="L756" s="460"/>
      <c r="M756" s="460"/>
      <c r="N756" s="220"/>
      <c r="O756" s="220"/>
      <c r="P756" s="220"/>
      <c r="Q756" s="220"/>
      <c r="R756" s="221"/>
      <c r="S756" s="221"/>
      <c r="T756" s="316">
        <f t="shared" si="90"/>
        <v>0</v>
      </c>
      <c r="U756" s="217">
        <f t="shared" si="91"/>
        <v>0</v>
      </c>
      <c r="X756" s="26" t="str">
        <f t="shared" si="92"/>
        <v/>
      </c>
      <c r="Y756" s="21" t="str">
        <f>IF(MATCH(X756,X$300:$X757,0),"Si",1)</f>
        <v>Si</v>
      </c>
      <c r="Z756" s="26">
        <f t="shared" si="93"/>
        <v>0</v>
      </c>
      <c r="AA756" s="26">
        <f t="shared" si="94"/>
        <v>0</v>
      </c>
      <c r="AB756" s="26" t="str">
        <f t="shared" si="95"/>
        <v/>
      </c>
      <c r="AC756" s="26" t="str">
        <f>IF(MATCH(AB756,AB$300:$AB757,0),"0",1)</f>
        <v>0</v>
      </c>
    </row>
    <row r="757" spans="2:29" x14ac:dyDescent="0.35">
      <c r="B757" s="219"/>
      <c r="C757" s="216" t="s">
        <v>1243</v>
      </c>
      <c r="D757" s="216"/>
      <c r="E757" s="220"/>
      <c r="F757" s="220"/>
      <c r="G757" s="220"/>
      <c r="H757" s="220" t="str">
        <f t="shared" si="89"/>
        <v/>
      </c>
      <c r="I757" s="460"/>
      <c r="J757" s="460"/>
      <c r="K757" s="460"/>
      <c r="L757" s="460"/>
      <c r="M757" s="460"/>
      <c r="N757" s="220"/>
      <c r="O757" s="220"/>
      <c r="P757" s="220"/>
      <c r="Q757" s="220"/>
      <c r="R757" s="221"/>
      <c r="S757" s="221"/>
      <c r="T757" s="316">
        <f t="shared" si="90"/>
        <v>0</v>
      </c>
      <c r="U757" s="217">
        <f t="shared" si="91"/>
        <v>0</v>
      </c>
      <c r="X757" s="26" t="str">
        <f t="shared" si="92"/>
        <v/>
      </c>
      <c r="Y757" s="21" t="str">
        <f>IF(MATCH(X757,X$300:$X758,0),"Si",1)</f>
        <v>Si</v>
      </c>
      <c r="Z757" s="26">
        <f t="shared" si="93"/>
        <v>0</v>
      </c>
      <c r="AA757" s="26">
        <f t="shared" si="94"/>
        <v>0</v>
      </c>
      <c r="AB757" s="26" t="str">
        <f t="shared" si="95"/>
        <v/>
      </c>
      <c r="AC757" s="26" t="str">
        <f>IF(MATCH(AB757,AB$300:$AB758,0),"0",1)</f>
        <v>0</v>
      </c>
    </row>
    <row r="758" spans="2:29" x14ac:dyDescent="0.35">
      <c r="B758" s="219"/>
      <c r="C758" s="216" t="s">
        <v>1244</v>
      </c>
      <c r="D758" s="216"/>
      <c r="E758" s="220"/>
      <c r="F758" s="220"/>
      <c r="G758" s="220"/>
      <c r="H758" s="220" t="str">
        <f t="shared" si="89"/>
        <v/>
      </c>
      <c r="I758" s="460"/>
      <c r="J758" s="460"/>
      <c r="K758" s="460"/>
      <c r="L758" s="460"/>
      <c r="M758" s="460"/>
      <c r="N758" s="220"/>
      <c r="O758" s="220"/>
      <c r="P758" s="220"/>
      <c r="Q758" s="220"/>
      <c r="R758" s="221"/>
      <c r="S758" s="221"/>
      <c r="T758" s="316">
        <f t="shared" si="90"/>
        <v>0</v>
      </c>
      <c r="U758" s="217">
        <f t="shared" si="91"/>
        <v>0</v>
      </c>
      <c r="X758" s="26" t="str">
        <f t="shared" si="92"/>
        <v/>
      </c>
      <c r="Y758" s="21" t="str">
        <f>IF(MATCH(X758,X$300:$X759,0),"Si",1)</f>
        <v>Si</v>
      </c>
      <c r="Z758" s="26">
        <f t="shared" si="93"/>
        <v>0</v>
      </c>
      <c r="AA758" s="26">
        <f t="shared" si="94"/>
        <v>0</v>
      </c>
      <c r="AB758" s="26" t="str">
        <f t="shared" si="95"/>
        <v/>
      </c>
      <c r="AC758" s="26" t="str">
        <f>IF(MATCH(AB758,AB$300:$AB759,0),"0",1)</f>
        <v>0</v>
      </c>
    </row>
    <row r="759" spans="2:29" x14ac:dyDescent="0.35">
      <c r="B759" s="219"/>
      <c r="C759" s="216" t="s">
        <v>1245</v>
      </c>
      <c r="D759" s="216"/>
      <c r="E759" s="220"/>
      <c r="F759" s="220"/>
      <c r="G759" s="220"/>
      <c r="H759" s="220" t="str">
        <f t="shared" si="89"/>
        <v/>
      </c>
      <c r="I759" s="460"/>
      <c r="J759" s="460"/>
      <c r="K759" s="460"/>
      <c r="L759" s="460"/>
      <c r="M759" s="460"/>
      <c r="N759" s="220"/>
      <c r="O759" s="220"/>
      <c r="P759" s="220"/>
      <c r="Q759" s="220"/>
      <c r="R759" s="221"/>
      <c r="S759" s="221"/>
      <c r="T759" s="316">
        <f t="shared" si="90"/>
        <v>0</v>
      </c>
      <c r="U759" s="217">
        <f t="shared" si="91"/>
        <v>0</v>
      </c>
      <c r="X759" s="26" t="str">
        <f t="shared" si="92"/>
        <v/>
      </c>
      <c r="Y759" s="21" t="str">
        <f>IF(MATCH(X759,X$300:$X760,0),"Si",1)</f>
        <v>Si</v>
      </c>
      <c r="Z759" s="26">
        <f t="shared" si="93"/>
        <v>0</v>
      </c>
      <c r="AA759" s="26">
        <f t="shared" si="94"/>
        <v>0</v>
      </c>
      <c r="AB759" s="26" t="str">
        <f t="shared" si="95"/>
        <v/>
      </c>
      <c r="AC759" s="26" t="str">
        <f>IF(MATCH(AB759,AB$300:$AB760,0),"0",1)</f>
        <v>0</v>
      </c>
    </row>
    <row r="760" spans="2:29" x14ac:dyDescent="0.35">
      <c r="B760" s="219"/>
      <c r="C760" s="216" t="s">
        <v>1246</v>
      </c>
      <c r="D760" s="216"/>
      <c r="E760" s="220"/>
      <c r="F760" s="220"/>
      <c r="G760" s="220"/>
      <c r="H760" s="220" t="str">
        <f t="shared" si="89"/>
        <v/>
      </c>
      <c r="I760" s="460"/>
      <c r="J760" s="460"/>
      <c r="K760" s="460"/>
      <c r="L760" s="460"/>
      <c r="M760" s="460"/>
      <c r="N760" s="220"/>
      <c r="O760" s="220"/>
      <c r="P760" s="220"/>
      <c r="Q760" s="220"/>
      <c r="R760" s="221"/>
      <c r="S760" s="221"/>
      <c r="T760" s="316">
        <f t="shared" si="90"/>
        <v>0</v>
      </c>
      <c r="U760" s="217">
        <f t="shared" si="91"/>
        <v>0</v>
      </c>
      <c r="X760" s="26" t="str">
        <f t="shared" si="92"/>
        <v/>
      </c>
      <c r="Y760" s="21" t="str">
        <f>IF(MATCH(X760,X$300:$X761,0),"Si",1)</f>
        <v>Si</v>
      </c>
      <c r="Z760" s="26">
        <f t="shared" si="93"/>
        <v>0</v>
      </c>
      <c r="AA760" s="26">
        <f t="shared" si="94"/>
        <v>0</v>
      </c>
      <c r="AB760" s="26" t="str">
        <f t="shared" si="95"/>
        <v/>
      </c>
      <c r="AC760" s="26" t="str">
        <f>IF(MATCH(AB760,AB$300:$AB761,0),"0",1)</f>
        <v>0</v>
      </c>
    </row>
    <row r="761" spans="2:29" x14ac:dyDescent="0.35">
      <c r="B761" s="219"/>
      <c r="C761" s="216" t="s">
        <v>1247</v>
      </c>
      <c r="D761" s="216"/>
      <c r="E761" s="220"/>
      <c r="F761" s="220"/>
      <c r="G761" s="220"/>
      <c r="H761" s="220" t="str">
        <f t="shared" si="89"/>
        <v/>
      </c>
      <c r="I761" s="460"/>
      <c r="J761" s="460"/>
      <c r="K761" s="460"/>
      <c r="L761" s="460"/>
      <c r="M761" s="460"/>
      <c r="N761" s="220"/>
      <c r="O761" s="220"/>
      <c r="P761" s="220"/>
      <c r="Q761" s="220"/>
      <c r="R761" s="221"/>
      <c r="S761" s="221"/>
      <c r="T761" s="316">
        <f t="shared" si="90"/>
        <v>0</v>
      </c>
      <c r="U761" s="217">
        <f t="shared" si="91"/>
        <v>0</v>
      </c>
      <c r="X761" s="26" t="str">
        <f t="shared" si="92"/>
        <v/>
      </c>
      <c r="Y761" s="21" t="str">
        <f>IF(MATCH(X761,X$300:$X762,0),"Si",1)</f>
        <v>Si</v>
      </c>
      <c r="Z761" s="26">
        <f t="shared" si="93"/>
        <v>0</v>
      </c>
      <c r="AA761" s="26">
        <f t="shared" si="94"/>
        <v>0</v>
      </c>
      <c r="AB761" s="26" t="str">
        <f t="shared" si="95"/>
        <v/>
      </c>
      <c r="AC761" s="26" t="str">
        <f>IF(MATCH(AB761,AB$300:$AB762,0),"0",1)</f>
        <v>0</v>
      </c>
    </row>
    <row r="762" spans="2:29" x14ac:dyDescent="0.35">
      <c r="B762" s="219"/>
      <c r="C762" s="216" t="s">
        <v>1248</v>
      </c>
      <c r="D762" s="216"/>
      <c r="E762" s="220"/>
      <c r="F762" s="220"/>
      <c r="G762" s="220"/>
      <c r="H762" s="220" t="str">
        <f t="shared" si="89"/>
        <v/>
      </c>
      <c r="I762" s="460"/>
      <c r="J762" s="460"/>
      <c r="K762" s="460"/>
      <c r="L762" s="460"/>
      <c r="M762" s="460"/>
      <c r="N762" s="220"/>
      <c r="O762" s="220"/>
      <c r="P762" s="220"/>
      <c r="Q762" s="220"/>
      <c r="R762" s="221"/>
      <c r="S762" s="221"/>
      <c r="T762" s="316">
        <f t="shared" si="90"/>
        <v>0</v>
      </c>
      <c r="U762" s="217">
        <f t="shared" si="91"/>
        <v>0</v>
      </c>
      <c r="X762" s="26" t="str">
        <f t="shared" si="92"/>
        <v/>
      </c>
      <c r="Y762" s="21" t="str">
        <f>IF(MATCH(X762,X$300:$X763,0),"Si",1)</f>
        <v>Si</v>
      </c>
      <c r="Z762" s="26">
        <f t="shared" si="93"/>
        <v>0</v>
      </c>
      <c r="AA762" s="26">
        <f t="shared" si="94"/>
        <v>0</v>
      </c>
      <c r="AB762" s="26" t="str">
        <f t="shared" si="95"/>
        <v/>
      </c>
      <c r="AC762" s="26" t="str">
        <f>IF(MATCH(AB762,AB$300:$AB763,0),"0",1)</f>
        <v>0</v>
      </c>
    </row>
    <row r="763" spans="2:29" x14ac:dyDescent="0.35">
      <c r="B763" s="219"/>
      <c r="C763" s="216" t="s">
        <v>1249</v>
      </c>
      <c r="D763" s="216"/>
      <c r="E763" s="220"/>
      <c r="F763" s="220"/>
      <c r="G763" s="220"/>
      <c r="H763" s="220" t="str">
        <f t="shared" si="89"/>
        <v/>
      </c>
      <c r="I763" s="460"/>
      <c r="J763" s="460"/>
      <c r="K763" s="460"/>
      <c r="L763" s="460"/>
      <c r="M763" s="460"/>
      <c r="N763" s="220"/>
      <c r="O763" s="220"/>
      <c r="P763" s="220"/>
      <c r="Q763" s="220"/>
      <c r="R763" s="221"/>
      <c r="S763" s="221"/>
      <c r="T763" s="316">
        <f t="shared" si="90"/>
        <v>0</v>
      </c>
      <c r="U763" s="217">
        <f t="shared" si="91"/>
        <v>0</v>
      </c>
      <c r="X763" s="26" t="str">
        <f t="shared" si="92"/>
        <v/>
      </c>
      <c r="Y763" s="21" t="str">
        <f>IF(MATCH(X763,X$300:$X764,0),"Si",1)</f>
        <v>Si</v>
      </c>
      <c r="Z763" s="26">
        <f t="shared" si="93"/>
        <v>0</v>
      </c>
      <c r="AA763" s="26">
        <f t="shared" si="94"/>
        <v>0</v>
      </c>
      <c r="AB763" s="26" t="str">
        <f t="shared" si="95"/>
        <v/>
      </c>
      <c r="AC763" s="26" t="str">
        <f>IF(MATCH(AB763,AB$300:$AB764,0),"0",1)</f>
        <v>0</v>
      </c>
    </row>
    <row r="764" spans="2:29" x14ac:dyDescent="0.35">
      <c r="B764" s="219"/>
      <c r="C764" s="216" t="s">
        <v>1250</v>
      </c>
      <c r="D764" s="216"/>
      <c r="E764" s="220"/>
      <c r="F764" s="220"/>
      <c r="G764" s="220"/>
      <c r="H764" s="220" t="str">
        <f t="shared" si="89"/>
        <v/>
      </c>
      <c r="I764" s="460"/>
      <c r="J764" s="460"/>
      <c r="K764" s="460"/>
      <c r="L764" s="460"/>
      <c r="M764" s="460"/>
      <c r="N764" s="220"/>
      <c r="O764" s="220"/>
      <c r="P764" s="220"/>
      <c r="Q764" s="220"/>
      <c r="R764" s="221"/>
      <c r="S764" s="221"/>
      <c r="T764" s="316">
        <f t="shared" si="90"/>
        <v>0</v>
      </c>
      <c r="U764" s="217">
        <f t="shared" si="91"/>
        <v>0</v>
      </c>
      <c r="X764" s="26" t="str">
        <f t="shared" si="92"/>
        <v/>
      </c>
      <c r="Y764" s="21" t="str">
        <f>IF(MATCH(X764,X$300:$X765,0),"Si",1)</f>
        <v>Si</v>
      </c>
      <c r="Z764" s="26">
        <f t="shared" si="93"/>
        <v>0</v>
      </c>
      <c r="AA764" s="26">
        <f t="shared" si="94"/>
        <v>0</v>
      </c>
      <c r="AB764" s="26" t="str">
        <f t="shared" si="95"/>
        <v/>
      </c>
      <c r="AC764" s="26" t="str">
        <f>IF(MATCH(AB764,AB$300:$AB765,0),"0",1)</f>
        <v>0</v>
      </c>
    </row>
    <row r="765" spans="2:29" x14ac:dyDescent="0.35">
      <c r="B765" s="219"/>
      <c r="C765" s="216" t="s">
        <v>1251</v>
      </c>
      <c r="D765" s="216"/>
      <c r="E765" s="220"/>
      <c r="F765" s="220"/>
      <c r="G765" s="220"/>
      <c r="H765" s="220" t="str">
        <f t="shared" si="89"/>
        <v/>
      </c>
      <c r="I765" s="460"/>
      <c r="J765" s="460"/>
      <c r="K765" s="460"/>
      <c r="L765" s="460"/>
      <c r="M765" s="460"/>
      <c r="N765" s="220"/>
      <c r="O765" s="220"/>
      <c r="P765" s="220"/>
      <c r="Q765" s="220"/>
      <c r="R765" s="221"/>
      <c r="S765" s="221"/>
      <c r="T765" s="316">
        <f t="shared" si="90"/>
        <v>0</v>
      </c>
      <c r="U765" s="217">
        <f t="shared" si="91"/>
        <v>0</v>
      </c>
      <c r="X765" s="26" t="str">
        <f t="shared" si="92"/>
        <v/>
      </c>
      <c r="Y765" s="21" t="str">
        <f>IF(MATCH(X765,X$300:$X766,0),"Si",1)</f>
        <v>Si</v>
      </c>
      <c r="Z765" s="26">
        <f t="shared" si="93"/>
        <v>0</v>
      </c>
      <c r="AA765" s="26">
        <f t="shared" si="94"/>
        <v>0</v>
      </c>
      <c r="AB765" s="26" t="str">
        <f t="shared" si="95"/>
        <v/>
      </c>
      <c r="AC765" s="26" t="str">
        <f>IF(MATCH(AB765,AB$300:$AB766,0),"0",1)</f>
        <v>0</v>
      </c>
    </row>
    <row r="766" spans="2:29" x14ac:dyDescent="0.35">
      <c r="B766" s="219"/>
      <c r="C766" s="216" t="s">
        <v>1252</v>
      </c>
      <c r="D766" s="216"/>
      <c r="E766" s="220"/>
      <c r="F766" s="220"/>
      <c r="G766" s="220"/>
      <c r="H766" s="220" t="str">
        <f t="shared" si="89"/>
        <v/>
      </c>
      <c r="I766" s="460"/>
      <c r="J766" s="460"/>
      <c r="K766" s="460"/>
      <c r="L766" s="460"/>
      <c r="M766" s="460"/>
      <c r="N766" s="220"/>
      <c r="O766" s="220"/>
      <c r="P766" s="220"/>
      <c r="Q766" s="220"/>
      <c r="R766" s="221"/>
      <c r="S766" s="221"/>
      <c r="T766" s="316">
        <f t="shared" si="90"/>
        <v>0</v>
      </c>
      <c r="U766" s="217">
        <f t="shared" si="91"/>
        <v>0</v>
      </c>
      <c r="X766" s="26" t="str">
        <f t="shared" si="92"/>
        <v/>
      </c>
      <c r="Y766" s="21" t="str">
        <f>IF(MATCH(X766,X$300:$X767,0),"Si",1)</f>
        <v>Si</v>
      </c>
      <c r="Z766" s="26">
        <f t="shared" si="93"/>
        <v>0</v>
      </c>
      <c r="AA766" s="26">
        <f t="shared" si="94"/>
        <v>0</v>
      </c>
      <c r="AB766" s="26" t="str">
        <f t="shared" si="95"/>
        <v/>
      </c>
      <c r="AC766" s="26" t="str">
        <f>IF(MATCH(AB766,AB$300:$AB767,0),"0",1)</f>
        <v>0</v>
      </c>
    </row>
    <row r="767" spans="2:29" x14ac:dyDescent="0.35">
      <c r="B767" s="219"/>
      <c r="C767" s="216" t="s">
        <v>1253</v>
      </c>
      <c r="D767" s="216"/>
      <c r="E767" s="220"/>
      <c r="F767" s="220"/>
      <c r="G767" s="220"/>
      <c r="H767" s="220" t="str">
        <f t="shared" si="89"/>
        <v/>
      </c>
      <c r="I767" s="460"/>
      <c r="J767" s="460"/>
      <c r="K767" s="460"/>
      <c r="L767" s="460"/>
      <c r="M767" s="460"/>
      <c r="N767" s="220"/>
      <c r="O767" s="220"/>
      <c r="P767" s="220"/>
      <c r="Q767" s="220"/>
      <c r="R767" s="221"/>
      <c r="S767" s="221"/>
      <c r="T767" s="316">
        <f t="shared" si="90"/>
        <v>0</v>
      </c>
      <c r="U767" s="217">
        <f t="shared" si="91"/>
        <v>0</v>
      </c>
      <c r="X767" s="26" t="str">
        <f t="shared" si="92"/>
        <v/>
      </c>
      <c r="Y767" s="21" t="str">
        <f>IF(MATCH(X767,X$300:$X768,0),"Si",1)</f>
        <v>Si</v>
      </c>
      <c r="Z767" s="26">
        <f t="shared" si="93"/>
        <v>0</v>
      </c>
      <c r="AA767" s="26">
        <f t="shared" si="94"/>
        <v>0</v>
      </c>
      <c r="AB767" s="26" t="str">
        <f t="shared" si="95"/>
        <v/>
      </c>
      <c r="AC767" s="26" t="str">
        <f>IF(MATCH(AB767,AB$300:$AB768,0),"0",1)</f>
        <v>0</v>
      </c>
    </row>
    <row r="768" spans="2:29" x14ac:dyDescent="0.35">
      <c r="B768" s="219"/>
      <c r="C768" s="216" t="s">
        <v>1254</v>
      </c>
      <c r="D768" s="216"/>
      <c r="E768" s="220"/>
      <c r="F768" s="220"/>
      <c r="G768" s="220"/>
      <c r="H768" s="220" t="str">
        <f t="shared" si="89"/>
        <v/>
      </c>
      <c r="I768" s="460"/>
      <c r="J768" s="460"/>
      <c r="K768" s="460"/>
      <c r="L768" s="460"/>
      <c r="M768" s="460"/>
      <c r="N768" s="220"/>
      <c r="O768" s="220"/>
      <c r="P768" s="220"/>
      <c r="Q768" s="220"/>
      <c r="R768" s="221"/>
      <c r="S768" s="221"/>
      <c r="T768" s="316">
        <f t="shared" si="90"/>
        <v>0</v>
      </c>
      <c r="U768" s="217">
        <f t="shared" si="91"/>
        <v>0</v>
      </c>
      <c r="X768" s="26" t="str">
        <f t="shared" si="92"/>
        <v/>
      </c>
      <c r="Y768" s="21" t="str">
        <f>IF(MATCH(X768,X$300:$X769,0),"Si",1)</f>
        <v>Si</v>
      </c>
      <c r="Z768" s="26">
        <f t="shared" si="93"/>
        <v>0</v>
      </c>
      <c r="AA768" s="26">
        <f t="shared" si="94"/>
        <v>0</v>
      </c>
      <c r="AB768" s="26" t="str">
        <f t="shared" si="95"/>
        <v/>
      </c>
      <c r="AC768" s="26" t="str">
        <f>IF(MATCH(AB768,AB$300:$AB769,0),"0",1)</f>
        <v>0</v>
      </c>
    </row>
    <row r="769" spans="2:29" x14ac:dyDescent="0.35">
      <c r="B769" s="219"/>
      <c r="C769" s="216" t="s">
        <v>1255</v>
      </c>
      <c r="D769" s="216"/>
      <c r="E769" s="220"/>
      <c r="F769" s="220"/>
      <c r="G769" s="220"/>
      <c r="H769" s="220" t="str">
        <f t="shared" si="89"/>
        <v/>
      </c>
      <c r="I769" s="460"/>
      <c r="J769" s="460"/>
      <c r="K769" s="460"/>
      <c r="L769" s="460"/>
      <c r="M769" s="460"/>
      <c r="N769" s="220"/>
      <c r="O769" s="220"/>
      <c r="P769" s="220"/>
      <c r="Q769" s="220"/>
      <c r="R769" s="221"/>
      <c r="S769" s="221"/>
      <c r="T769" s="316">
        <f t="shared" si="90"/>
        <v>0</v>
      </c>
      <c r="U769" s="217">
        <f t="shared" si="91"/>
        <v>0</v>
      </c>
      <c r="X769" s="26" t="str">
        <f t="shared" si="92"/>
        <v/>
      </c>
      <c r="Y769" s="21" t="str">
        <f>IF(MATCH(X769,X$300:$X770,0),"Si",1)</f>
        <v>Si</v>
      </c>
      <c r="Z769" s="26">
        <f t="shared" si="93"/>
        <v>0</v>
      </c>
      <c r="AA769" s="26">
        <f t="shared" si="94"/>
        <v>0</v>
      </c>
      <c r="AB769" s="26" t="str">
        <f t="shared" si="95"/>
        <v/>
      </c>
      <c r="AC769" s="26" t="str">
        <f>IF(MATCH(AB769,AB$300:$AB770,0),"0",1)</f>
        <v>0</v>
      </c>
    </row>
    <row r="770" spans="2:29" x14ac:dyDescent="0.35">
      <c r="B770" s="219"/>
      <c r="C770" s="216" t="s">
        <v>1256</v>
      </c>
      <c r="D770" s="216"/>
      <c r="E770" s="220"/>
      <c r="F770" s="220"/>
      <c r="G770" s="220"/>
      <c r="H770" s="220" t="str">
        <f t="shared" si="89"/>
        <v/>
      </c>
      <c r="I770" s="460"/>
      <c r="J770" s="460"/>
      <c r="K770" s="460"/>
      <c r="L770" s="460"/>
      <c r="M770" s="460"/>
      <c r="N770" s="220"/>
      <c r="O770" s="220"/>
      <c r="P770" s="220"/>
      <c r="Q770" s="220"/>
      <c r="R770" s="221"/>
      <c r="S770" s="221"/>
      <c r="T770" s="316">
        <f t="shared" si="90"/>
        <v>0</v>
      </c>
      <c r="U770" s="217">
        <f t="shared" si="91"/>
        <v>0</v>
      </c>
      <c r="X770" s="26" t="str">
        <f t="shared" si="92"/>
        <v/>
      </c>
      <c r="Y770" s="21" t="str">
        <f>IF(MATCH(X770,X$300:$X771,0),"Si",1)</f>
        <v>Si</v>
      </c>
      <c r="Z770" s="26">
        <f t="shared" si="93"/>
        <v>0</v>
      </c>
      <c r="AA770" s="26">
        <f t="shared" si="94"/>
        <v>0</v>
      </c>
      <c r="AB770" s="26" t="str">
        <f t="shared" si="95"/>
        <v/>
      </c>
      <c r="AC770" s="26" t="str">
        <f>IF(MATCH(AB770,AB$300:$AB771,0),"0",1)</f>
        <v>0</v>
      </c>
    </row>
    <row r="771" spans="2:29" x14ac:dyDescent="0.35">
      <c r="B771" s="219"/>
      <c r="C771" s="216" t="s">
        <v>1257</v>
      </c>
      <c r="D771" s="216"/>
      <c r="E771" s="220"/>
      <c r="F771" s="220"/>
      <c r="G771" s="220"/>
      <c r="H771" s="220" t="str">
        <f t="shared" si="89"/>
        <v/>
      </c>
      <c r="I771" s="460"/>
      <c r="J771" s="460"/>
      <c r="K771" s="460"/>
      <c r="L771" s="460"/>
      <c r="M771" s="460"/>
      <c r="N771" s="220"/>
      <c r="O771" s="220"/>
      <c r="P771" s="220"/>
      <c r="Q771" s="220"/>
      <c r="R771" s="221"/>
      <c r="S771" s="221"/>
      <c r="T771" s="316">
        <f t="shared" si="90"/>
        <v>0</v>
      </c>
      <c r="U771" s="217">
        <f t="shared" si="91"/>
        <v>0</v>
      </c>
      <c r="X771" s="26" t="str">
        <f t="shared" si="92"/>
        <v/>
      </c>
      <c r="Y771" s="21" t="str">
        <f>IF(MATCH(X771,X$300:$X772,0),"Si",1)</f>
        <v>Si</v>
      </c>
      <c r="Z771" s="26">
        <f t="shared" si="93"/>
        <v>0</v>
      </c>
      <c r="AA771" s="26">
        <f t="shared" si="94"/>
        <v>0</v>
      </c>
      <c r="AB771" s="26" t="str">
        <f t="shared" si="95"/>
        <v/>
      </c>
      <c r="AC771" s="26" t="str">
        <f>IF(MATCH(AB771,AB$300:$AB772,0),"0",1)</f>
        <v>0</v>
      </c>
    </row>
    <row r="772" spans="2:29" x14ac:dyDescent="0.35">
      <c r="B772" s="219"/>
      <c r="C772" s="216" t="s">
        <v>1258</v>
      </c>
      <c r="D772" s="216"/>
      <c r="E772" s="220"/>
      <c r="F772" s="220"/>
      <c r="G772" s="220"/>
      <c r="H772" s="220" t="str">
        <f t="shared" si="89"/>
        <v/>
      </c>
      <c r="I772" s="460"/>
      <c r="J772" s="460"/>
      <c r="K772" s="460"/>
      <c r="L772" s="460"/>
      <c r="M772" s="460"/>
      <c r="N772" s="220"/>
      <c r="O772" s="220"/>
      <c r="P772" s="220"/>
      <c r="Q772" s="220"/>
      <c r="R772" s="221"/>
      <c r="S772" s="221"/>
      <c r="T772" s="316">
        <f t="shared" si="90"/>
        <v>0</v>
      </c>
      <c r="U772" s="217">
        <f t="shared" si="91"/>
        <v>0</v>
      </c>
      <c r="X772" s="26" t="str">
        <f t="shared" si="92"/>
        <v/>
      </c>
      <c r="Y772" s="21" t="str">
        <f>IF(MATCH(X772,X$300:$X773,0),"Si",1)</f>
        <v>Si</v>
      </c>
      <c r="Z772" s="26">
        <f t="shared" si="93"/>
        <v>0</v>
      </c>
      <c r="AA772" s="26">
        <f t="shared" si="94"/>
        <v>0</v>
      </c>
      <c r="AB772" s="26" t="str">
        <f t="shared" si="95"/>
        <v/>
      </c>
      <c r="AC772" s="26" t="str">
        <f>IF(MATCH(AB772,AB$300:$AB773,0),"0",1)</f>
        <v>0</v>
      </c>
    </row>
    <row r="773" spans="2:29" x14ac:dyDescent="0.35">
      <c r="B773" s="219"/>
      <c r="C773" s="216" t="s">
        <v>1259</v>
      </c>
      <c r="D773" s="216"/>
      <c r="E773" s="220"/>
      <c r="F773" s="220"/>
      <c r="G773" s="220"/>
      <c r="H773" s="220" t="str">
        <f t="shared" si="89"/>
        <v/>
      </c>
      <c r="I773" s="460"/>
      <c r="J773" s="460"/>
      <c r="K773" s="460"/>
      <c r="L773" s="460"/>
      <c r="M773" s="460"/>
      <c r="N773" s="220"/>
      <c r="O773" s="220"/>
      <c r="P773" s="220"/>
      <c r="Q773" s="220"/>
      <c r="R773" s="221"/>
      <c r="S773" s="221"/>
      <c r="T773" s="316">
        <f t="shared" si="90"/>
        <v>0</v>
      </c>
      <c r="U773" s="217">
        <f t="shared" si="91"/>
        <v>0</v>
      </c>
      <c r="X773" s="26" t="str">
        <f t="shared" si="92"/>
        <v/>
      </c>
      <c r="Y773" s="21" t="str">
        <f>IF(MATCH(X773,X$300:$X774,0),"Si",1)</f>
        <v>Si</v>
      </c>
      <c r="Z773" s="26">
        <f t="shared" si="93"/>
        <v>0</v>
      </c>
      <c r="AA773" s="26">
        <f t="shared" si="94"/>
        <v>0</v>
      </c>
      <c r="AB773" s="26" t="str">
        <f t="shared" si="95"/>
        <v/>
      </c>
      <c r="AC773" s="26" t="str">
        <f>IF(MATCH(AB773,AB$300:$AB774,0),"0",1)</f>
        <v>0</v>
      </c>
    </row>
    <row r="774" spans="2:29" x14ac:dyDescent="0.35">
      <c r="B774" s="219"/>
      <c r="C774" s="216" t="s">
        <v>1260</v>
      </c>
      <c r="D774" s="216"/>
      <c r="E774" s="220"/>
      <c r="F774" s="220"/>
      <c r="G774" s="220"/>
      <c r="H774" s="220" t="str">
        <f t="shared" si="89"/>
        <v/>
      </c>
      <c r="I774" s="460"/>
      <c r="J774" s="460"/>
      <c r="K774" s="460"/>
      <c r="L774" s="460"/>
      <c r="M774" s="460"/>
      <c r="N774" s="220"/>
      <c r="O774" s="220"/>
      <c r="P774" s="220"/>
      <c r="Q774" s="220"/>
      <c r="R774" s="221"/>
      <c r="S774" s="221"/>
      <c r="T774" s="316">
        <f t="shared" si="90"/>
        <v>0</v>
      </c>
      <c r="U774" s="217">
        <f t="shared" si="91"/>
        <v>0</v>
      </c>
      <c r="X774" s="26" t="str">
        <f t="shared" si="92"/>
        <v/>
      </c>
      <c r="Y774" s="21" t="str">
        <f>IF(MATCH(X774,X$300:$X775,0),"Si",1)</f>
        <v>Si</v>
      </c>
      <c r="Z774" s="26">
        <f t="shared" si="93"/>
        <v>0</v>
      </c>
      <c r="AA774" s="26">
        <f t="shared" si="94"/>
        <v>0</v>
      </c>
      <c r="AB774" s="26" t="str">
        <f t="shared" si="95"/>
        <v/>
      </c>
      <c r="AC774" s="26" t="str">
        <f>IF(MATCH(AB774,AB$300:$AB775,0),"0",1)</f>
        <v>0</v>
      </c>
    </row>
    <row r="775" spans="2:29" x14ac:dyDescent="0.35">
      <c r="B775" s="219"/>
      <c r="C775" s="216" t="s">
        <v>1261</v>
      </c>
      <c r="D775" s="216"/>
      <c r="E775" s="220"/>
      <c r="F775" s="220"/>
      <c r="G775" s="220"/>
      <c r="H775" s="220" t="str">
        <f t="shared" si="89"/>
        <v/>
      </c>
      <c r="I775" s="460"/>
      <c r="J775" s="460"/>
      <c r="K775" s="460"/>
      <c r="L775" s="460"/>
      <c r="M775" s="460"/>
      <c r="N775" s="220"/>
      <c r="O775" s="220"/>
      <c r="P775" s="220"/>
      <c r="Q775" s="220"/>
      <c r="R775" s="221"/>
      <c r="S775" s="221"/>
      <c r="T775" s="316">
        <f t="shared" si="90"/>
        <v>0</v>
      </c>
      <c r="U775" s="217">
        <f t="shared" si="91"/>
        <v>0</v>
      </c>
      <c r="X775" s="26" t="str">
        <f t="shared" si="92"/>
        <v/>
      </c>
      <c r="Y775" s="21" t="str">
        <f>IF(MATCH(X775,X$300:$X776,0),"Si",1)</f>
        <v>Si</v>
      </c>
      <c r="Z775" s="26">
        <f t="shared" si="93"/>
        <v>0</v>
      </c>
      <c r="AA775" s="26">
        <f t="shared" si="94"/>
        <v>0</v>
      </c>
      <c r="AB775" s="26" t="str">
        <f t="shared" si="95"/>
        <v/>
      </c>
      <c r="AC775" s="26" t="str">
        <f>IF(MATCH(AB775,AB$300:$AB776,0),"0",1)</f>
        <v>0</v>
      </c>
    </row>
    <row r="776" spans="2:29" x14ac:dyDescent="0.35">
      <c r="B776" s="219"/>
      <c r="C776" s="216" t="s">
        <v>1262</v>
      </c>
      <c r="D776" s="216"/>
      <c r="E776" s="220"/>
      <c r="F776" s="220"/>
      <c r="G776" s="220"/>
      <c r="H776" s="220" t="str">
        <f t="shared" si="89"/>
        <v/>
      </c>
      <c r="I776" s="460"/>
      <c r="J776" s="460"/>
      <c r="K776" s="460"/>
      <c r="L776" s="460"/>
      <c r="M776" s="460"/>
      <c r="N776" s="220"/>
      <c r="O776" s="220"/>
      <c r="P776" s="220"/>
      <c r="Q776" s="220"/>
      <c r="R776" s="221"/>
      <c r="S776" s="221"/>
      <c r="T776" s="316">
        <f t="shared" si="90"/>
        <v>0</v>
      </c>
      <c r="U776" s="217">
        <f t="shared" si="91"/>
        <v>0</v>
      </c>
      <c r="X776" s="26" t="str">
        <f t="shared" si="92"/>
        <v/>
      </c>
      <c r="Y776" s="21" t="str">
        <f>IF(MATCH(X776,X$300:$X777,0),"Si",1)</f>
        <v>Si</v>
      </c>
      <c r="Z776" s="26">
        <f t="shared" si="93"/>
        <v>0</v>
      </c>
      <c r="AA776" s="26">
        <f t="shared" si="94"/>
        <v>0</v>
      </c>
      <c r="AB776" s="26" t="str">
        <f t="shared" si="95"/>
        <v/>
      </c>
      <c r="AC776" s="26" t="str">
        <f>IF(MATCH(AB776,AB$300:$AB777,0),"0",1)</f>
        <v>0</v>
      </c>
    </row>
    <row r="777" spans="2:29" x14ac:dyDescent="0.35">
      <c r="B777" s="219"/>
      <c r="C777" s="216" t="s">
        <v>1263</v>
      </c>
      <c r="D777" s="216"/>
      <c r="E777" s="220"/>
      <c r="F777" s="220"/>
      <c r="G777" s="220"/>
      <c r="H777" s="220" t="str">
        <f t="shared" si="89"/>
        <v/>
      </c>
      <c r="I777" s="460"/>
      <c r="J777" s="460"/>
      <c r="K777" s="460"/>
      <c r="L777" s="460"/>
      <c r="M777" s="460"/>
      <c r="N777" s="220"/>
      <c r="O777" s="220"/>
      <c r="P777" s="220"/>
      <c r="Q777" s="220"/>
      <c r="R777" s="221"/>
      <c r="S777" s="221"/>
      <c r="T777" s="316">
        <f t="shared" si="90"/>
        <v>0</v>
      </c>
      <c r="U777" s="217">
        <f t="shared" si="91"/>
        <v>0</v>
      </c>
      <c r="X777" s="26" t="str">
        <f t="shared" si="92"/>
        <v/>
      </c>
      <c r="Y777" s="21" t="str">
        <f>IF(MATCH(X777,X$300:$X778,0),"Si",1)</f>
        <v>Si</v>
      </c>
      <c r="Z777" s="26">
        <f t="shared" si="93"/>
        <v>0</v>
      </c>
      <c r="AA777" s="26">
        <f t="shared" si="94"/>
        <v>0</v>
      </c>
      <c r="AB777" s="26" t="str">
        <f t="shared" si="95"/>
        <v/>
      </c>
      <c r="AC777" s="26" t="str">
        <f>IF(MATCH(AB777,AB$300:$AB778,0),"0",1)</f>
        <v>0</v>
      </c>
    </row>
    <row r="778" spans="2:29" x14ac:dyDescent="0.35">
      <c r="B778" s="219"/>
      <c r="C778" s="216" t="s">
        <v>1264</v>
      </c>
      <c r="D778" s="216"/>
      <c r="E778" s="220"/>
      <c r="F778" s="220"/>
      <c r="G778" s="220"/>
      <c r="H778" s="220" t="str">
        <f t="shared" si="89"/>
        <v/>
      </c>
      <c r="I778" s="460"/>
      <c r="J778" s="460"/>
      <c r="K778" s="460"/>
      <c r="L778" s="460"/>
      <c r="M778" s="460"/>
      <c r="N778" s="220"/>
      <c r="O778" s="220"/>
      <c r="P778" s="220"/>
      <c r="Q778" s="220"/>
      <c r="R778" s="221"/>
      <c r="S778" s="221"/>
      <c r="T778" s="316">
        <f t="shared" si="90"/>
        <v>0</v>
      </c>
      <c r="U778" s="217">
        <f t="shared" si="91"/>
        <v>0</v>
      </c>
      <c r="X778" s="26" t="str">
        <f t="shared" si="92"/>
        <v/>
      </c>
      <c r="Y778" s="21" t="str">
        <f>IF(MATCH(X778,X$300:$X779,0),"Si",1)</f>
        <v>Si</v>
      </c>
      <c r="Z778" s="26">
        <f t="shared" si="93"/>
        <v>0</v>
      </c>
      <c r="AA778" s="26">
        <f t="shared" si="94"/>
        <v>0</v>
      </c>
      <c r="AB778" s="26" t="str">
        <f t="shared" si="95"/>
        <v/>
      </c>
      <c r="AC778" s="26" t="str">
        <f>IF(MATCH(AB778,AB$300:$AB779,0),"0",1)</f>
        <v>0</v>
      </c>
    </row>
    <row r="779" spans="2:29" x14ac:dyDescent="0.35">
      <c r="B779" s="219"/>
      <c r="C779" s="216" t="s">
        <v>1265</v>
      </c>
      <c r="D779" s="216"/>
      <c r="E779" s="220"/>
      <c r="F779" s="220"/>
      <c r="G779" s="220"/>
      <c r="H779" s="220" t="str">
        <f t="shared" si="89"/>
        <v/>
      </c>
      <c r="I779" s="460"/>
      <c r="J779" s="460"/>
      <c r="K779" s="460"/>
      <c r="L779" s="460"/>
      <c r="M779" s="460"/>
      <c r="N779" s="220"/>
      <c r="O779" s="220"/>
      <c r="P779" s="220"/>
      <c r="Q779" s="220"/>
      <c r="R779" s="221"/>
      <c r="S779" s="221"/>
      <c r="T779" s="316">
        <f t="shared" si="90"/>
        <v>0</v>
      </c>
      <c r="U779" s="217">
        <f t="shared" si="91"/>
        <v>0</v>
      </c>
      <c r="X779" s="26" t="str">
        <f t="shared" si="92"/>
        <v/>
      </c>
      <c r="Y779" s="21" t="str">
        <f>IF(MATCH(X779,X$300:$X780,0),"Si",1)</f>
        <v>Si</v>
      </c>
      <c r="Z779" s="26">
        <f t="shared" si="93"/>
        <v>0</v>
      </c>
      <c r="AA779" s="26">
        <f t="shared" si="94"/>
        <v>0</v>
      </c>
      <c r="AB779" s="26" t="str">
        <f t="shared" si="95"/>
        <v/>
      </c>
      <c r="AC779" s="26" t="str">
        <f>IF(MATCH(AB779,AB$300:$AB780,0),"0",1)</f>
        <v>0</v>
      </c>
    </row>
    <row r="780" spans="2:29" x14ac:dyDescent="0.35">
      <c r="B780" s="219"/>
      <c r="C780" s="216" t="s">
        <v>1266</v>
      </c>
      <c r="D780" s="216"/>
      <c r="E780" s="220"/>
      <c r="F780" s="220"/>
      <c r="G780" s="220"/>
      <c r="H780" s="220" t="str">
        <f t="shared" si="89"/>
        <v/>
      </c>
      <c r="I780" s="460"/>
      <c r="J780" s="460"/>
      <c r="K780" s="460"/>
      <c r="L780" s="460"/>
      <c r="M780" s="460"/>
      <c r="N780" s="220"/>
      <c r="O780" s="220"/>
      <c r="P780" s="220"/>
      <c r="Q780" s="220"/>
      <c r="R780" s="221"/>
      <c r="S780" s="221"/>
      <c r="T780" s="316">
        <f t="shared" si="90"/>
        <v>0</v>
      </c>
      <c r="U780" s="217">
        <f t="shared" si="91"/>
        <v>0</v>
      </c>
      <c r="X780" s="26" t="str">
        <f t="shared" si="92"/>
        <v/>
      </c>
      <c r="Y780" s="21" t="str">
        <f>IF(MATCH(X780,X$300:$X781,0),"Si",1)</f>
        <v>Si</v>
      </c>
      <c r="Z780" s="26">
        <f t="shared" si="93"/>
        <v>0</v>
      </c>
      <c r="AA780" s="26">
        <f t="shared" si="94"/>
        <v>0</v>
      </c>
      <c r="AB780" s="26" t="str">
        <f t="shared" si="95"/>
        <v/>
      </c>
      <c r="AC780" s="26" t="str">
        <f>IF(MATCH(AB780,AB$300:$AB781,0),"0",1)</f>
        <v>0</v>
      </c>
    </row>
    <row r="781" spans="2:29" x14ac:dyDescent="0.35">
      <c r="B781" s="219"/>
      <c r="C781" s="216" t="s">
        <v>1267</v>
      </c>
      <c r="D781" s="216"/>
      <c r="E781" s="220"/>
      <c r="F781" s="220"/>
      <c r="G781" s="220"/>
      <c r="H781" s="220" t="str">
        <f t="shared" si="89"/>
        <v/>
      </c>
      <c r="I781" s="460"/>
      <c r="J781" s="460"/>
      <c r="K781" s="460"/>
      <c r="L781" s="460"/>
      <c r="M781" s="460"/>
      <c r="N781" s="220"/>
      <c r="O781" s="220"/>
      <c r="P781" s="220"/>
      <c r="Q781" s="220"/>
      <c r="R781" s="221"/>
      <c r="S781" s="221"/>
      <c r="T781" s="316">
        <f t="shared" si="90"/>
        <v>0</v>
      </c>
      <c r="U781" s="217">
        <f t="shared" si="91"/>
        <v>0</v>
      </c>
      <c r="X781" s="26" t="str">
        <f t="shared" si="92"/>
        <v/>
      </c>
      <c r="Y781" s="21" t="str">
        <f>IF(MATCH(X781,X$300:$X782,0),"Si",1)</f>
        <v>Si</v>
      </c>
      <c r="Z781" s="26">
        <f t="shared" si="93"/>
        <v>0</v>
      </c>
      <c r="AA781" s="26">
        <f t="shared" si="94"/>
        <v>0</v>
      </c>
      <c r="AB781" s="26" t="str">
        <f t="shared" si="95"/>
        <v/>
      </c>
      <c r="AC781" s="26" t="str">
        <f>IF(MATCH(AB781,AB$300:$AB782,0),"0",1)</f>
        <v>0</v>
      </c>
    </row>
    <row r="782" spans="2:29" x14ac:dyDescent="0.35">
      <c r="B782" s="219"/>
      <c r="C782" s="216" t="s">
        <v>1268</v>
      </c>
      <c r="D782" s="216"/>
      <c r="E782" s="220"/>
      <c r="F782" s="220"/>
      <c r="G782" s="220"/>
      <c r="H782" s="220" t="str">
        <f t="shared" si="89"/>
        <v/>
      </c>
      <c r="I782" s="460"/>
      <c r="J782" s="460"/>
      <c r="K782" s="460"/>
      <c r="L782" s="460"/>
      <c r="M782" s="460"/>
      <c r="N782" s="220"/>
      <c r="O782" s="220"/>
      <c r="P782" s="220"/>
      <c r="Q782" s="220"/>
      <c r="R782" s="221"/>
      <c r="S782" s="221"/>
      <c r="T782" s="316">
        <f t="shared" si="90"/>
        <v>0</v>
      </c>
      <c r="U782" s="217">
        <f t="shared" si="91"/>
        <v>0</v>
      </c>
      <c r="X782" s="26" t="str">
        <f t="shared" si="92"/>
        <v/>
      </c>
      <c r="Y782" s="21" t="str">
        <f>IF(MATCH(X782,X$300:$X783,0),"Si",1)</f>
        <v>Si</v>
      </c>
      <c r="Z782" s="26">
        <f t="shared" si="93"/>
        <v>0</v>
      </c>
      <c r="AA782" s="26">
        <f t="shared" si="94"/>
        <v>0</v>
      </c>
      <c r="AB782" s="26" t="str">
        <f t="shared" si="95"/>
        <v/>
      </c>
      <c r="AC782" s="26" t="str">
        <f>IF(MATCH(AB782,AB$300:$AB783,0),"0",1)</f>
        <v>0</v>
      </c>
    </row>
    <row r="783" spans="2:29" x14ac:dyDescent="0.35">
      <c r="B783" s="219"/>
      <c r="C783" s="216" t="s">
        <v>1269</v>
      </c>
      <c r="D783" s="216"/>
      <c r="E783" s="220"/>
      <c r="F783" s="220"/>
      <c r="G783" s="220"/>
      <c r="H783" s="220" t="str">
        <f t="shared" si="89"/>
        <v/>
      </c>
      <c r="I783" s="460"/>
      <c r="J783" s="460"/>
      <c r="K783" s="460"/>
      <c r="L783" s="460"/>
      <c r="M783" s="460"/>
      <c r="N783" s="220"/>
      <c r="O783" s="220"/>
      <c r="P783" s="220"/>
      <c r="Q783" s="220"/>
      <c r="R783" s="221"/>
      <c r="S783" s="221"/>
      <c r="T783" s="316">
        <f t="shared" si="90"/>
        <v>0</v>
      </c>
      <c r="U783" s="217">
        <f t="shared" si="91"/>
        <v>0</v>
      </c>
      <c r="X783" s="26" t="str">
        <f t="shared" si="92"/>
        <v/>
      </c>
      <c r="Y783" s="21" t="str">
        <f>IF(MATCH(X783,X$300:$X784,0),"Si",1)</f>
        <v>Si</v>
      </c>
      <c r="Z783" s="26">
        <f t="shared" si="93"/>
        <v>0</v>
      </c>
      <c r="AA783" s="26">
        <f t="shared" si="94"/>
        <v>0</v>
      </c>
      <c r="AB783" s="26" t="str">
        <f t="shared" si="95"/>
        <v/>
      </c>
      <c r="AC783" s="26" t="str">
        <f>IF(MATCH(AB783,AB$300:$AB784,0),"0",1)</f>
        <v>0</v>
      </c>
    </row>
    <row r="784" spans="2:29" x14ac:dyDescent="0.35">
      <c r="B784" s="219"/>
      <c r="C784" s="216" t="s">
        <v>1270</v>
      </c>
      <c r="D784" s="216"/>
      <c r="E784" s="220"/>
      <c r="F784" s="220"/>
      <c r="G784" s="220"/>
      <c r="H784" s="220" t="str">
        <f t="shared" si="89"/>
        <v/>
      </c>
      <c r="I784" s="460"/>
      <c r="J784" s="460"/>
      <c r="K784" s="460"/>
      <c r="L784" s="460"/>
      <c r="M784" s="460"/>
      <c r="N784" s="220"/>
      <c r="O784" s="220"/>
      <c r="P784" s="220"/>
      <c r="Q784" s="220"/>
      <c r="R784" s="221"/>
      <c r="S784" s="221"/>
      <c r="T784" s="316">
        <f t="shared" si="90"/>
        <v>0</v>
      </c>
      <c r="U784" s="217">
        <f t="shared" si="91"/>
        <v>0</v>
      </c>
      <c r="X784" s="26" t="str">
        <f t="shared" si="92"/>
        <v/>
      </c>
      <c r="Y784" s="21" t="str">
        <f>IF(MATCH(X784,X$300:$X785,0),"Si",1)</f>
        <v>Si</v>
      </c>
      <c r="Z784" s="26">
        <f t="shared" si="93"/>
        <v>0</v>
      </c>
      <c r="AA784" s="26">
        <f t="shared" si="94"/>
        <v>0</v>
      </c>
      <c r="AB784" s="26" t="str">
        <f t="shared" si="95"/>
        <v/>
      </c>
      <c r="AC784" s="26" t="str">
        <f>IF(MATCH(AB784,AB$300:$AB785,0),"0",1)</f>
        <v>0</v>
      </c>
    </row>
    <row r="785" spans="2:29" x14ac:dyDescent="0.35">
      <c r="B785" s="219"/>
      <c r="C785" s="216" t="s">
        <v>1271</v>
      </c>
      <c r="D785" s="216"/>
      <c r="E785" s="220"/>
      <c r="F785" s="220"/>
      <c r="G785" s="220"/>
      <c r="H785" s="220" t="str">
        <f t="shared" si="89"/>
        <v/>
      </c>
      <c r="I785" s="460"/>
      <c r="J785" s="460"/>
      <c r="K785" s="460"/>
      <c r="L785" s="460"/>
      <c r="M785" s="460"/>
      <c r="N785" s="220"/>
      <c r="O785" s="220"/>
      <c r="P785" s="220"/>
      <c r="Q785" s="220"/>
      <c r="R785" s="221"/>
      <c r="S785" s="221"/>
      <c r="T785" s="316">
        <f t="shared" si="90"/>
        <v>0</v>
      </c>
      <c r="U785" s="217">
        <f t="shared" si="91"/>
        <v>0</v>
      </c>
      <c r="X785" s="26" t="str">
        <f t="shared" si="92"/>
        <v/>
      </c>
      <c r="Y785" s="21" t="str">
        <f>IF(MATCH(X785,X$300:$X786,0),"Si",1)</f>
        <v>Si</v>
      </c>
      <c r="Z785" s="26">
        <f t="shared" si="93"/>
        <v>0</v>
      </c>
      <c r="AA785" s="26">
        <f t="shared" si="94"/>
        <v>0</v>
      </c>
      <c r="AB785" s="26" t="str">
        <f t="shared" si="95"/>
        <v/>
      </c>
      <c r="AC785" s="26" t="str">
        <f>IF(MATCH(AB785,AB$300:$AB786,0),"0",1)</f>
        <v>0</v>
      </c>
    </row>
    <row r="786" spans="2:29" x14ac:dyDescent="0.35">
      <c r="B786" s="219"/>
      <c r="C786" s="216" t="s">
        <v>1272</v>
      </c>
      <c r="D786" s="216"/>
      <c r="E786" s="220"/>
      <c r="F786" s="220"/>
      <c r="G786" s="220"/>
      <c r="H786" s="220" t="str">
        <f t="shared" ref="H786:H849" si="96">IF(G786=0,"",IF(G786&lt;&gt;"Error","No",""))</f>
        <v/>
      </c>
      <c r="I786" s="460"/>
      <c r="J786" s="460"/>
      <c r="K786" s="460"/>
      <c r="L786" s="460"/>
      <c r="M786" s="460"/>
      <c r="N786" s="220"/>
      <c r="O786" s="220"/>
      <c r="P786" s="220"/>
      <c r="Q786" s="220"/>
      <c r="R786" s="221"/>
      <c r="S786" s="221"/>
      <c r="T786" s="316">
        <f t="shared" si="90"/>
        <v>0</v>
      </c>
      <c r="U786" s="217">
        <f t="shared" si="91"/>
        <v>0</v>
      </c>
      <c r="X786" s="26" t="str">
        <f t="shared" si="92"/>
        <v/>
      </c>
      <c r="Y786" s="21" t="str">
        <f>IF(MATCH(X786,X$300:$X787,0),"Si",1)</f>
        <v>Si</v>
      </c>
      <c r="Z786" s="26">
        <f t="shared" si="93"/>
        <v>0</v>
      </c>
      <c r="AA786" s="26">
        <f t="shared" si="94"/>
        <v>0</v>
      </c>
      <c r="AB786" s="26" t="str">
        <f t="shared" si="95"/>
        <v/>
      </c>
      <c r="AC786" s="26" t="str">
        <f>IF(MATCH(AB786,AB$300:$AB787,0),"0",1)</f>
        <v>0</v>
      </c>
    </row>
    <row r="787" spans="2:29" x14ac:dyDescent="0.35">
      <c r="B787" s="219"/>
      <c r="C787" s="216" t="s">
        <v>1273</v>
      </c>
      <c r="D787" s="216"/>
      <c r="E787" s="220"/>
      <c r="F787" s="220"/>
      <c r="G787" s="220"/>
      <c r="H787" s="220" t="str">
        <f t="shared" si="96"/>
        <v/>
      </c>
      <c r="I787" s="460"/>
      <c r="J787" s="460"/>
      <c r="K787" s="460"/>
      <c r="L787" s="460"/>
      <c r="M787" s="460"/>
      <c r="N787" s="220"/>
      <c r="O787" s="220"/>
      <c r="P787" s="220"/>
      <c r="Q787" s="220"/>
      <c r="R787" s="221"/>
      <c r="S787" s="221"/>
      <c r="T787" s="316">
        <f t="shared" si="90"/>
        <v>0</v>
      </c>
      <c r="U787" s="217">
        <f t="shared" si="91"/>
        <v>0</v>
      </c>
      <c r="X787" s="26" t="str">
        <f t="shared" si="92"/>
        <v/>
      </c>
      <c r="Y787" s="21" t="str">
        <f>IF(MATCH(X787,X$300:$X788,0),"Si",1)</f>
        <v>Si</v>
      </c>
      <c r="Z787" s="26">
        <f t="shared" si="93"/>
        <v>0</v>
      </c>
      <c r="AA787" s="26">
        <f t="shared" si="94"/>
        <v>0</v>
      </c>
      <c r="AB787" s="26" t="str">
        <f t="shared" si="95"/>
        <v/>
      </c>
      <c r="AC787" s="26" t="str">
        <f>IF(MATCH(AB787,AB$300:$AB788,0),"0",1)</f>
        <v>0</v>
      </c>
    </row>
    <row r="788" spans="2:29" x14ac:dyDescent="0.35">
      <c r="B788" s="219"/>
      <c r="C788" s="216" t="s">
        <v>1274</v>
      </c>
      <c r="D788" s="216"/>
      <c r="E788" s="220"/>
      <c r="F788" s="220"/>
      <c r="G788" s="220"/>
      <c r="H788" s="220" t="str">
        <f t="shared" si="96"/>
        <v/>
      </c>
      <c r="I788" s="460"/>
      <c r="J788" s="460"/>
      <c r="K788" s="460"/>
      <c r="L788" s="460"/>
      <c r="M788" s="460"/>
      <c r="N788" s="220"/>
      <c r="O788" s="220"/>
      <c r="P788" s="220"/>
      <c r="Q788" s="220"/>
      <c r="R788" s="221"/>
      <c r="S788" s="221"/>
      <c r="T788" s="316">
        <f t="shared" si="90"/>
        <v>0</v>
      </c>
      <c r="U788" s="217">
        <f t="shared" si="91"/>
        <v>0</v>
      </c>
      <c r="X788" s="26" t="str">
        <f t="shared" si="92"/>
        <v/>
      </c>
      <c r="Y788" s="21" t="str">
        <f>IF(MATCH(X788,X$300:$X789,0),"Si",1)</f>
        <v>Si</v>
      </c>
      <c r="Z788" s="26">
        <f t="shared" si="93"/>
        <v>0</v>
      </c>
      <c r="AA788" s="26">
        <f t="shared" si="94"/>
        <v>0</v>
      </c>
      <c r="AB788" s="26" t="str">
        <f t="shared" si="95"/>
        <v/>
      </c>
      <c r="AC788" s="26" t="str">
        <f>IF(MATCH(AB788,AB$300:$AB789,0),"0",1)</f>
        <v>0</v>
      </c>
    </row>
    <row r="789" spans="2:29" x14ac:dyDescent="0.35">
      <c r="B789" s="219"/>
      <c r="C789" s="216" t="s">
        <v>1275</v>
      </c>
      <c r="D789" s="216"/>
      <c r="E789" s="220"/>
      <c r="F789" s="220"/>
      <c r="G789" s="220"/>
      <c r="H789" s="220" t="str">
        <f t="shared" si="96"/>
        <v/>
      </c>
      <c r="I789" s="460"/>
      <c r="J789" s="460"/>
      <c r="K789" s="460"/>
      <c r="L789" s="460"/>
      <c r="M789" s="460"/>
      <c r="N789" s="220"/>
      <c r="O789" s="220"/>
      <c r="P789" s="220"/>
      <c r="Q789" s="220"/>
      <c r="R789" s="221"/>
      <c r="S789" s="221"/>
      <c r="T789" s="316">
        <f t="shared" si="90"/>
        <v>0</v>
      </c>
      <c r="U789" s="217">
        <f t="shared" si="91"/>
        <v>0</v>
      </c>
      <c r="X789" s="26" t="str">
        <f t="shared" si="92"/>
        <v/>
      </c>
      <c r="Y789" s="21" t="str">
        <f>IF(MATCH(X789,X$300:$X790,0),"Si",1)</f>
        <v>Si</v>
      </c>
      <c r="Z789" s="26">
        <f t="shared" si="93"/>
        <v>0</v>
      </c>
      <c r="AA789" s="26">
        <f t="shared" si="94"/>
        <v>0</v>
      </c>
      <c r="AB789" s="26" t="str">
        <f t="shared" si="95"/>
        <v/>
      </c>
      <c r="AC789" s="26" t="str">
        <f>IF(MATCH(AB789,AB$300:$AB790,0),"0",1)</f>
        <v>0</v>
      </c>
    </row>
    <row r="790" spans="2:29" x14ac:dyDescent="0.35">
      <c r="B790" s="219"/>
      <c r="C790" s="216" t="s">
        <v>1276</v>
      </c>
      <c r="D790" s="216"/>
      <c r="E790" s="220"/>
      <c r="F790" s="220"/>
      <c r="G790" s="220"/>
      <c r="H790" s="220" t="str">
        <f t="shared" si="96"/>
        <v/>
      </c>
      <c r="I790" s="460"/>
      <c r="J790" s="460"/>
      <c r="K790" s="460"/>
      <c r="L790" s="460"/>
      <c r="M790" s="460"/>
      <c r="N790" s="220"/>
      <c r="O790" s="220"/>
      <c r="P790" s="220"/>
      <c r="Q790" s="220"/>
      <c r="R790" s="221"/>
      <c r="S790" s="221"/>
      <c r="T790" s="316">
        <f t="shared" si="90"/>
        <v>0</v>
      </c>
      <c r="U790" s="217">
        <f t="shared" si="91"/>
        <v>0</v>
      </c>
      <c r="X790" s="26" t="str">
        <f t="shared" si="92"/>
        <v/>
      </c>
      <c r="Y790" s="21" t="str">
        <f>IF(MATCH(X790,X$300:$X791,0),"Si",1)</f>
        <v>Si</v>
      </c>
      <c r="Z790" s="26">
        <f t="shared" si="93"/>
        <v>0</v>
      </c>
      <c r="AA790" s="26">
        <f t="shared" si="94"/>
        <v>0</v>
      </c>
      <c r="AB790" s="26" t="str">
        <f t="shared" si="95"/>
        <v/>
      </c>
      <c r="AC790" s="26" t="str">
        <f>IF(MATCH(AB790,AB$300:$AB791,0),"0",1)</f>
        <v>0</v>
      </c>
    </row>
    <row r="791" spans="2:29" x14ac:dyDescent="0.35">
      <c r="B791" s="219"/>
      <c r="C791" s="216" t="s">
        <v>1277</v>
      </c>
      <c r="D791" s="216"/>
      <c r="E791" s="220"/>
      <c r="F791" s="220"/>
      <c r="G791" s="220"/>
      <c r="H791" s="220" t="str">
        <f t="shared" si="96"/>
        <v/>
      </c>
      <c r="I791" s="460"/>
      <c r="J791" s="460"/>
      <c r="K791" s="460"/>
      <c r="L791" s="460"/>
      <c r="M791" s="460"/>
      <c r="N791" s="220"/>
      <c r="O791" s="220"/>
      <c r="P791" s="220"/>
      <c r="Q791" s="220"/>
      <c r="R791" s="221"/>
      <c r="S791" s="221"/>
      <c r="T791" s="316">
        <f t="shared" si="90"/>
        <v>0</v>
      </c>
      <c r="U791" s="217">
        <f t="shared" si="91"/>
        <v>0</v>
      </c>
      <c r="X791" s="26" t="str">
        <f t="shared" si="92"/>
        <v/>
      </c>
      <c r="Y791" s="21" t="str">
        <f>IF(MATCH(X791,X$300:$X792,0),"Si",1)</f>
        <v>Si</v>
      </c>
      <c r="Z791" s="26">
        <f t="shared" si="93"/>
        <v>0</v>
      </c>
      <c r="AA791" s="26">
        <f t="shared" si="94"/>
        <v>0</v>
      </c>
      <c r="AB791" s="26" t="str">
        <f t="shared" si="95"/>
        <v/>
      </c>
      <c r="AC791" s="26" t="str">
        <f>IF(MATCH(AB791,AB$300:$AB792,0),"0",1)</f>
        <v>0</v>
      </c>
    </row>
    <row r="792" spans="2:29" x14ac:dyDescent="0.35">
      <c r="B792" s="219"/>
      <c r="C792" s="216" t="s">
        <v>1278</v>
      </c>
      <c r="D792" s="216"/>
      <c r="E792" s="220"/>
      <c r="F792" s="220"/>
      <c r="G792" s="220"/>
      <c r="H792" s="220" t="str">
        <f t="shared" si="96"/>
        <v/>
      </c>
      <c r="I792" s="460"/>
      <c r="J792" s="460"/>
      <c r="K792" s="460"/>
      <c r="L792" s="460"/>
      <c r="M792" s="460"/>
      <c r="N792" s="220"/>
      <c r="O792" s="220"/>
      <c r="P792" s="220"/>
      <c r="Q792" s="220"/>
      <c r="R792" s="221"/>
      <c r="S792" s="221"/>
      <c r="T792" s="316">
        <f t="shared" si="90"/>
        <v>0</v>
      </c>
      <c r="U792" s="217">
        <f t="shared" si="91"/>
        <v>0</v>
      </c>
      <c r="X792" s="26" t="str">
        <f t="shared" si="92"/>
        <v/>
      </c>
      <c r="Y792" s="21" t="str">
        <f>IF(MATCH(X792,X$300:$X793,0),"Si",1)</f>
        <v>Si</v>
      </c>
      <c r="Z792" s="26">
        <f t="shared" si="93"/>
        <v>0</v>
      </c>
      <c r="AA792" s="26">
        <f t="shared" si="94"/>
        <v>0</v>
      </c>
      <c r="AB792" s="26" t="str">
        <f t="shared" si="95"/>
        <v/>
      </c>
      <c r="AC792" s="26" t="str">
        <f>IF(MATCH(AB792,AB$300:$AB793,0),"0",1)</f>
        <v>0</v>
      </c>
    </row>
    <row r="793" spans="2:29" x14ac:dyDescent="0.35">
      <c r="B793" s="219"/>
      <c r="C793" s="216" t="s">
        <v>1279</v>
      </c>
      <c r="D793" s="216"/>
      <c r="E793" s="220"/>
      <c r="F793" s="220"/>
      <c r="G793" s="220"/>
      <c r="H793" s="220" t="str">
        <f t="shared" si="96"/>
        <v/>
      </c>
      <c r="I793" s="460"/>
      <c r="J793" s="460"/>
      <c r="K793" s="460"/>
      <c r="L793" s="460"/>
      <c r="M793" s="460"/>
      <c r="N793" s="220"/>
      <c r="O793" s="220"/>
      <c r="P793" s="220"/>
      <c r="Q793" s="220"/>
      <c r="R793" s="221"/>
      <c r="S793" s="221"/>
      <c r="T793" s="316">
        <f t="shared" si="90"/>
        <v>0</v>
      </c>
      <c r="U793" s="217">
        <f t="shared" si="91"/>
        <v>0</v>
      </c>
      <c r="X793" s="26" t="str">
        <f t="shared" si="92"/>
        <v/>
      </c>
      <c r="Y793" s="21" t="str">
        <f>IF(MATCH(X793,X$300:$X794,0),"Si",1)</f>
        <v>Si</v>
      </c>
      <c r="Z793" s="26">
        <f t="shared" si="93"/>
        <v>0</v>
      </c>
      <c r="AA793" s="26">
        <f t="shared" si="94"/>
        <v>0</v>
      </c>
      <c r="AB793" s="26" t="str">
        <f t="shared" si="95"/>
        <v/>
      </c>
      <c r="AC793" s="26" t="str">
        <f>IF(MATCH(AB793,AB$300:$AB794,0),"0",1)</f>
        <v>0</v>
      </c>
    </row>
    <row r="794" spans="2:29" x14ac:dyDescent="0.35">
      <c r="B794" s="219"/>
      <c r="C794" s="216" t="s">
        <v>1280</v>
      </c>
      <c r="D794" s="216"/>
      <c r="E794" s="220"/>
      <c r="F794" s="220"/>
      <c r="G794" s="220"/>
      <c r="H794" s="220" t="str">
        <f t="shared" si="96"/>
        <v/>
      </c>
      <c r="I794" s="460"/>
      <c r="J794" s="460"/>
      <c r="K794" s="460"/>
      <c r="L794" s="460"/>
      <c r="M794" s="460"/>
      <c r="N794" s="220"/>
      <c r="O794" s="220"/>
      <c r="P794" s="220"/>
      <c r="Q794" s="220"/>
      <c r="R794" s="221"/>
      <c r="S794" s="221"/>
      <c r="T794" s="316">
        <f t="shared" si="90"/>
        <v>0</v>
      </c>
      <c r="U794" s="217">
        <f t="shared" si="91"/>
        <v>0</v>
      </c>
      <c r="X794" s="26" t="str">
        <f t="shared" si="92"/>
        <v/>
      </c>
      <c r="Y794" s="21" t="str">
        <f>IF(MATCH(X794,X$300:$X795,0),"Si",1)</f>
        <v>Si</v>
      </c>
      <c r="Z794" s="26">
        <f t="shared" si="93"/>
        <v>0</v>
      </c>
      <c r="AA794" s="26">
        <f t="shared" si="94"/>
        <v>0</v>
      </c>
      <c r="AB794" s="26" t="str">
        <f t="shared" si="95"/>
        <v/>
      </c>
      <c r="AC794" s="26" t="str">
        <f>IF(MATCH(AB794,AB$300:$AB795,0),"0",1)</f>
        <v>0</v>
      </c>
    </row>
    <row r="795" spans="2:29" x14ac:dyDescent="0.35">
      <c r="B795" s="219"/>
      <c r="C795" s="216" t="s">
        <v>1281</v>
      </c>
      <c r="D795" s="216"/>
      <c r="E795" s="220"/>
      <c r="F795" s="220"/>
      <c r="G795" s="220"/>
      <c r="H795" s="220" t="str">
        <f t="shared" si="96"/>
        <v/>
      </c>
      <c r="I795" s="460"/>
      <c r="J795" s="460"/>
      <c r="K795" s="460"/>
      <c r="L795" s="460"/>
      <c r="M795" s="460"/>
      <c r="N795" s="220"/>
      <c r="O795" s="220"/>
      <c r="P795" s="220"/>
      <c r="Q795" s="220"/>
      <c r="R795" s="221"/>
      <c r="S795" s="221"/>
      <c r="T795" s="316">
        <f t="shared" ref="T795:T858" si="97">IF(S795=0,0,IF(S795&lt;R795,"Error en fecha solución",IFERROR(AC795,NETWORKDAYS(R795,S795)-1)))</f>
        <v>0</v>
      </c>
      <c r="U795" s="217">
        <f t="shared" ref="U795:U858" si="98">IFERROR(T795*8,"Error")</f>
        <v>0</v>
      </c>
      <c r="X795" s="26" t="str">
        <f t="shared" ref="X795:X858" si="99">CONCATENATE(H795,O795,R795,S795)</f>
        <v/>
      </c>
      <c r="Y795" s="21" t="str">
        <f>IF(MATCH(X795,X$300:$X796,0),"Si",1)</f>
        <v>Si</v>
      </c>
      <c r="Z795" s="26">
        <f t="shared" ref="Z795:Z858" si="100">IF(S795=0,0,IF(S795&lt;R795,"Error en fecha solución",IF(Y795="Si",0,IFERROR(Y795,NETWORKDAYS(R795,S795)-1))))</f>
        <v>0</v>
      </c>
      <c r="AA795" s="26">
        <f t="shared" ref="AA795:AA858" si="101">IF(S795=0,0,IF(S795&lt;R795,"Error en fecha solución",IFERROR(Z795,NETWORKDAYS(R795,S795)-1)))</f>
        <v>0</v>
      </c>
      <c r="AB795" s="26" t="str">
        <f t="shared" ref="AB795:AB858" si="102">CONCATENATE(R795,S795)</f>
        <v/>
      </c>
      <c r="AC795" s="26" t="str">
        <f>IF(MATCH(AB795,AB$300:$AB796,0),"0",1)</f>
        <v>0</v>
      </c>
    </row>
    <row r="796" spans="2:29" x14ac:dyDescent="0.35">
      <c r="B796" s="219"/>
      <c r="C796" s="216" t="s">
        <v>1282</v>
      </c>
      <c r="D796" s="216"/>
      <c r="E796" s="220"/>
      <c r="F796" s="220"/>
      <c r="G796" s="220"/>
      <c r="H796" s="220" t="str">
        <f t="shared" si="96"/>
        <v/>
      </c>
      <c r="I796" s="460"/>
      <c r="J796" s="460"/>
      <c r="K796" s="460"/>
      <c r="L796" s="460"/>
      <c r="M796" s="460"/>
      <c r="N796" s="220"/>
      <c r="O796" s="220"/>
      <c r="P796" s="220"/>
      <c r="Q796" s="220"/>
      <c r="R796" s="221"/>
      <c r="S796" s="221"/>
      <c r="T796" s="316">
        <f t="shared" si="97"/>
        <v>0</v>
      </c>
      <c r="U796" s="217">
        <f t="shared" si="98"/>
        <v>0</v>
      </c>
      <c r="X796" s="26" t="str">
        <f t="shared" si="99"/>
        <v/>
      </c>
      <c r="Y796" s="21" t="str">
        <f>IF(MATCH(X796,X$300:$X797,0),"Si",1)</f>
        <v>Si</v>
      </c>
      <c r="Z796" s="26">
        <f t="shared" si="100"/>
        <v>0</v>
      </c>
      <c r="AA796" s="26">
        <f t="shared" si="101"/>
        <v>0</v>
      </c>
      <c r="AB796" s="26" t="str">
        <f t="shared" si="102"/>
        <v/>
      </c>
      <c r="AC796" s="26" t="str">
        <f>IF(MATCH(AB796,AB$300:$AB797,0),"0",1)</f>
        <v>0</v>
      </c>
    </row>
    <row r="797" spans="2:29" x14ac:dyDescent="0.35">
      <c r="B797" s="219"/>
      <c r="C797" s="216" t="s">
        <v>1283</v>
      </c>
      <c r="D797" s="216"/>
      <c r="E797" s="220"/>
      <c r="F797" s="220"/>
      <c r="G797" s="220"/>
      <c r="H797" s="220" t="str">
        <f t="shared" si="96"/>
        <v/>
      </c>
      <c r="I797" s="460"/>
      <c r="J797" s="460"/>
      <c r="K797" s="460"/>
      <c r="L797" s="460"/>
      <c r="M797" s="460"/>
      <c r="N797" s="220"/>
      <c r="O797" s="220"/>
      <c r="P797" s="220"/>
      <c r="Q797" s="220"/>
      <c r="R797" s="221"/>
      <c r="S797" s="221"/>
      <c r="T797" s="316">
        <f t="shared" si="97"/>
        <v>0</v>
      </c>
      <c r="U797" s="217">
        <f t="shared" si="98"/>
        <v>0</v>
      </c>
      <c r="X797" s="26" t="str">
        <f t="shared" si="99"/>
        <v/>
      </c>
      <c r="Y797" s="21" t="str">
        <f>IF(MATCH(X797,X$300:$X798,0),"Si",1)</f>
        <v>Si</v>
      </c>
      <c r="Z797" s="26">
        <f t="shared" si="100"/>
        <v>0</v>
      </c>
      <c r="AA797" s="26">
        <f t="shared" si="101"/>
        <v>0</v>
      </c>
      <c r="AB797" s="26" t="str">
        <f t="shared" si="102"/>
        <v/>
      </c>
      <c r="AC797" s="26" t="str">
        <f>IF(MATCH(AB797,AB$300:$AB798,0),"0",1)</f>
        <v>0</v>
      </c>
    </row>
    <row r="798" spans="2:29" x14ac:dyDescent="0.35">
      <c r="B798" s="219"/>
      <c r="C798" s="216" t="s">
        <v>1284</v>
      </c>
      <c r="D798" s="216"/>
      <c r="E798" s="220"/>
      <c r="F798" s="220"/>
      <c r="G798" s="220"/>
      <c r="H798" s="220" t="str">
        <f t="shared" si="96"/>
        <v/>
      </c>
      <c r="I798" s="460"/>
      <c r="J798" s="460"/>
      <c r="K798" s="460"/>
      <c r="L798" s="460"/>
      <c r="M798" s="460"/>
      <c r="N798" s="220"/>
      <c r="O798" s="220"/>
      <c r="P798" s="220"/>
      <c r="Q798" s="220"/>
      <c r="R798" s="221"/>
      <c r="S798" s="221"/>
      <c r="T798" s="316">
        <f t="shared" si="97"/>
        <v>0</v>
      </c>
      <c r="U798" s="217">
        <f t="shared" si="98"/>
        <v>0</v>
      </c>
      <c r="X798" s="26" t="str">
        <f t="shared" si="99"/>
        <v/>
      </c>
      <c r="Y798" s="21" t="str">
        <f>IF(MATCH(X798,X$300:$X799,0),"Si",1)</f>
        <v>Si</v>
      </c>
      <c r="Z798" s="26">
        <f t="shared" si="100"/>
        <v>0</v>
      </c>
      <c r="AA798" s="26">
        <f t="shared" si="101"/>
        <v>0</v>
      </c>
      <c r="AB798" s="26" t="str">
        <f t="shared" si="102"/>
        <v/>
      </c>
      <c r="AC798" s="26" t="str">
        <f>IF(MATCH(AB798,AB$300:$AB799,0),"0",1)</f>
        <v>0</v>
      </c>
    </row>
    <row r="799" spans="2:29" x14ac:dyDescent="0.35">
      <c r="B799" s="219"/>
      <c r="C799" s="216" t="s">
        <v>1285</v>
      </c>
      <c r="D799" s="216"/>
      <c r="E799" s="220"/>
      <c r="F799" s="220"/>
      <c r="G799" s="220"/>
      <c r="H799" s="220" t="str">
        <f t="shared" si="96"/>
        <v/>
      </c>
      <c r="I799" s="460"/>
      <c r="J799" s="460"/>
      <c r="K799" s="460"/>
      <c r="L799" s="460"/>
      <c r="M799" s="460"/>
      <c r="N799" s="220"/>
      <c r="O799" s="220"/>
      <c r="P799" s="220"/>
      <c r="Q799" s="220"/>
      <c r="R799" s="221"/>
      <c r="S799" s="221"/>
      <c r="T799" s="316">
        <f t="shared" si="97"/>
        <v>0</v>
      </c>
      <c r="U799" s="217">
        <f t="shared" si="98"/>
        <v>0</v>
      </c>
      <c r="X799" s="26" t="str">
        <f t="shared" si="99"/>
        <v/>
      </c>
      <c r="Y799" s="21" t="str">
        <f>IF(MATCH(X799,X$300:$X800,0),"Si",1)</f>
        <v>Si</v>
      </c>
      <c r="Z799" s="26">
        <f t="shared" si="100"/>
        <v>0</v>
      </c>
      <c r="AA799" s="26">
        <f t="shared" si="101"/>
        <v>0</v>
      </c>
      <c r="AB799" s="26" t="str">
        <f t="shared" si="102"/>
        <v/>
      </c>
      <c r="AC799" s="26" t="str">
        <f>IF(MATCH(AB799,AB$300:$AB800,0),"0",1)</f>
        <v>0</v>
      </c>
    </row>
    <row r="800" spans="2:29" x14ac:dyDescent="0.35">
      <c r="B800" s="219"/>
      <c r="C800" s="216" t="s">
        <v>1286</v>
      </c>
      <c r="D800" s="216"/>
      <c r="E800" s="220"/>
      <c r="F800" s="220"/>
      <c r="G800" s="220"/>
      <c r="H800" s="220" t="str">
        <f t="shared" si="96"/>
        <v/>
      </c>
      <c r="I800" s="460"/>
      <c r="J800" s="460"/>
      <c r="K800" s="460"/>
      <c r="L800" s="460"/>
      <c r="M800" s="460"/>
      <c r="N800" s="220"/>
      <c r="O800" s="220"/>
      <c r="P800" s="220"/>
      <c r="Q800" s="220"/>
      <c r="R800" s="221"/>
      <c r="S800" s="221"/>
      <c r="T800" s="316">
        <f t="shared" si="97"/>
        <v>0</v>
      </c>
      <c r="U800" s="217">
        <f t="shared" si="98"/>
        <v>0</v>
      </c>
      <c r="X800" s="26" t="str">
        <f t="shared" si="99"/>
        <v/>
      </c>
      <c r="Y800" s="21" t="str">
        <f>IF(MATCH(X800,X$300:$X801,0),"Si",1)</f>
        <v>Si</v>
      </c>
      <c r="Z800" s="26">
        <f t="shared" si="100"/>
        <v>0</v>
      </c>
      <c r="AA800" s="26">
        <f t="shared" si="101"/>
        <v>0</v>
      </c>
      <c r="AB800" s="26" t="str">
        <f t="shared" si="102"/>
        <v/>
      </c>
      <c r="AC800" s="26" t="str">
        <f>IF(MATCH(AB800,AB$300:$AB801,0),"0",1)</f>
        <v>0</v>
      </c>
    </row>
    <row r="801" spans="2:29" x14ac:dyDescent="0.35">
      <c r="B801" s="219"/>
      <c r="C801" s="216" t="s">
        <v>1287</v>
      </c>
      <c r="D801" s="216"/>
      <c r="E801" s="220"/>
      <c r="F801" s="220"/>
      <c r="G801" s="220"/>
      <c r="H801" s="220" t="str">
        <f t="shared" si="96"/>
        <v/>
      </c>
      <c r="I801" s="460"/>
      <c r="J801" s="460"/>
      <c r="K801" s="460"/>
      <c r="L801" s="460"/>
      <c r="M801" s="460"/>
      <c r="N801" s="220"/>
      <c r="O801" s="220"/>
      <c r="P801" s="220"/>
      <c r="Q801" s="220"/>
      <c r="R801" s="221"/>
      <c r="S801" s="221"/>
      <c r="T801" s="316">
        <f t="shared" si="97"/>
        <v>0</v>
      </c>
      <c r="U801" s="217">
        <f t="shared" si="98"/>
        <v>0</v>
      </c>
      <c r="X801" s="26" t="str">
        <f t="shared" si="99"/>
        <v/>
      </c>
      <c r="Y801" s="21" t="str">
        <f>IF(MATCH(X801,X$300:$X802,0),"Si",1)</f>
        <v>Si</v>
      </c>
      <c r="Z801" s="26">
        <f t="shared" si="100"/>
        <v>0</v>
      </c>
      <c r="AA801" s="26">
        <f t="shared" si="101"/>
        <v>0</v>
      </c>
      <c r="AB801" s="26" t="str">
        <f t="shared" si="102"/>
        <v/>
      </c>
      <c r="AC801" s="26" t="str">
        <f>IF(MATCH(AB801,AB$300:$AB802,0),"0",1)</f>
        <v>0</v>
      </c>
    </row>
    <row r="802" spans="2:29" x14ac:dyDescent="0.35">
      <c r="B802" s="219"/>
      <c r="C802" s="216" t="s">
        <v>1288</v>
      </c>
      <c r="D802" s="216"/>
      <c r="E802" s="220"/>
      <c r="F802" s="220"/>
      <c r="G802" s="220"/>
      <c r="H802" s="220" t="str">
        <f t="shared" si="96"/>
        <v/>
      </c>
      <c r="I802" s="460"/>
      <c r="J802" s="460"/>
      <c r="K802" s="460"/>
      <c r="L802" s="460"/>
      <c r="M802" s="460"/>
      <c r="N802" s="220"/>
      <c r="O802" s="220"/>
      <c r="P802" s="220"/>
      <c r="Q802" s="220"/>
      <c r="R802" s="221"/>
      <c r="S802" s="221"/>
      <c r="T802" s="316">
        <f t="shared" si="97"/>
        <v>0</v>
      </c>
      <c r="U802" s="217">
        <f t="shared" si="98"/>
        <v>0</v>
      </c>
      <c r="X802" s="26" t="str">
        <f t="shared" si="99"/>
        <v/>
      </c>
      <c r="Y802" s="21" t="str">
        <f>IF(MATCH(X802,X$300:$X803,0),"Si",1)</f>
        <v>Si</v>
      </c>
      <c r="Z802" s="26">
        <f t="shared" si="100"/>
        <v>0</v>
      </c>
      <c r="AA802" s="26">
        <f t="shared" si="101"/>
        <v>0</v>
      </c>
      <c r="AB802" s="26" t="str">
        <f t="shared" si="102"/>
        <v/>
      </c>
      <c r="AC802" s="26" t="str">
        <f>IF(MATCH(AB802,AB$300:$AB803,0),"0",1)</f>
        <v>0</v>
      </c>
    </row>
    <row r="803" spans="2:29" x14ac:dyDescent="0.35">
      <c r="B803" s="219"/>
      <c r="C803" s="216" t="s">
        <v>1289</v>
      </c>
      <c r="D803" s="216"/>
      <c r="E803" s="220"/>
      <c r="F803" s="220"/>
      <c r="G803" s="220"/>
      <c r="H803" s="220" t="str">
        <f t="shared" si="96"/>
        <v/>
      </c>
      <c r="I803" s="460"/>
      <c r="J803" s="460"/>
      <c r="K803" s="460"/>
      <c r="L803" s="460"/>
      <c r="M803" s="460"/>
      <c r="N803" s="220"/>
      <c r="O803" s="220"/>
      <c r="P803" s="220"/>
      <c r="Q803" s="220"/>
      <c r="R803" s="221"/>
      <c r="S803" s="221"/>
      <c r="T803" s="316">
        <f t="shared" si="97"/>
        <v>0</v>
      </c>
      <c r="U803" s="217">
        <f t="shared" si="98"/>
        <v>0</v>
      </c>
      <c r="X803" s="26" t="str">
        <f t="shared" si="99"/>
        <v/>
      </c>
      <c r="Y803" s="21" t="str">
        <f>IF(MATCH(X803,X$300:$X804,0),"Si",1)</f>
        <v>Si</v>
      </c>
      <c r="Z803" s="26">
        <f t="shared" si="100"/>
        <v>0</v>
      </c>
      <c r="AA803" s="26">
        <f t="shared" si="101"/>
        <v>0</v>
      </c>
      <c r="AB803" s="26" t="str">
        <f t="shared" si="102"/>
        <v/>
      </c>
      <c r="AC803" s="26" t="str">
        <f>IF(MATCH(AB803,AB$300:$AB804,0),"0",1)</f>
        <v>0</v>
      </c>
    </row>
    <row r="804" spans="2:29" x14ac:dyDescent="0.35">
      <c r="B804" s="219"/>
      <c r="C804" s="216" t="s">
        <v>1290</v>
      </c>
      <c r="D804" s="216"/>
      <c r="E804" s="220"/>
      <c r="F804" s="220"/>
      <c r="G804" s="220"/>
      <c r="H804" s="220" t="str">
        <f t="shared" si="96"/>
        <v/>
      </c>
      <c r="I804" s="460"/>
      <c r="J804" s="460"/>
      <c r="K804" s="460"/>
      <c r="L804" s="460"/>
      <c r="M804" s="460"/>
      <c r="N804" s="220"/>
      <c r="O804" s="220"/>
      <c r="P804" s="220"/>
      <c r="Q804" s="220"/>
      <c r="R804" s="221"/>
      <c r="S804" s="221"/>
      <c r="T804" s="316">
        <f t="shared" si="97"/>
        <v>0</v>
      </c>
      <c r="U804" s="217">
        <f t="shared" si="98"/>
        <v>0</v>
      </c>
      <c r="X804" s="26" t="str">
        <f t="shared" si="99"/>
        <v/>
      </c>
      <c r="Y804" s="21" t="str">
        <f>IF(MATCH(X804,X$300:$X805,0),"Si",1)</f>
        <v>Si</v>
      </c>
      <c r="Z804" s="26">
        <f t="shared" si="100"/>
        <v>0</v>
      </c>
      <c r="AA804" s="26">
        <f t="shared" si="101"/>
        <v>0</v>
      </c>
      <c r="AB804" s="26" t="str">
        <f t="shared" si="102"/>
        <v/>
      </c>
      <c r="AC804" s="26" t="str">
        <f>IF(MATCH(AB804,AB$300:$AB805,0),"0",1)</f>
        <v>0</v>
      </c>
    </row>
    <row r="805" spans="2:29" x14ac:dyDescent="0.35">
      <c r="B805" s="219"/>
      <c r="C805" s="216" t="s">
        <v>1291</v>
      </c>
      <c r="D805" s="216"/>
      <c r="E805" s="220"/>
      <c r="F805" s="220"/>
      <c r="G805" s="220"/>
      <c r="H805" s="220" t="str">
        <f t="shared" si="96"/>
        <v/>
      </c>
      <c r="I805" s="460"/>
      <c r="J805" s="460"/>
      <c r="K805" s="460"/>
      <c r="L805" s="460"/>
      <c r="M805" s="460"/>
      <c r="N805" s="220"/>
      <c r="O805" s="220"/>
      <c r="P805" s="220"/>
      <c r="Q805" s="220"/>
      <c r="R805" s="221"/>
      <c r="S805" s="221"/>
      <c r="T805" s="316">
        <f t="shared" si="97"/>
        <v>0</v>
      </c>
      <c r="U805" s="217">
        <f t="shared" si="98"/>
        <v>0</v>
      </c>
      <c r="X805" s="26" t="str">
        <f t="shared" si="99"/>
        <v/>
      </c>
      <c r="Y805" s="21" t="str">
        <f>IF(MATCH(X805,X$300:$X806,0),"Si",1)</f>
        <v>Si</v>
      </c>
      <c r="Z805" s="26">
        <f t="shared" si="100"/>
        <v>0</v>
      </c>
      <c r="AA805" s="26">
        <f t="shared" si="101"/>
        <v>0</v>
      </c>
      <c r="AB805" s="26" t="str">
        <f t="shared" si="102"/>
        <v/>
      </c>
      <c r="AC805" s="26" t="str">
        <f>IF(MATCH(AB805,AB$300:$AB806,0),"0",1)</f>
        <v>0</v>
      </c>
    </row>
    <row r="806" spans="2:29" x14ac:dyDescent="0.35">
      <c r="B806" s="219"/>
      <c r="C806" s="216" t="s">
        <v>1292</v>
      </c>
      <c r="D806" s="216"/>
      <c r="E806" s="220"/>
      <c r="F806" s="220"/>
      <c r="G806" s="220"/>
      <c r="H806" s="220" t="str">
        <f t="shared" si="96"/>
        <v/>
      </c>
      <c r="I806" s="460"/>
      <c r="J806" s="460"/>
      <c r="K806" s="460"/>
      <c r="L806" s="460"/>
      <c r="M806" s="460"/>
      <c r="N806" s="220"/>
      <c r="O806" s="220"/>
      <c r="P806" s="220"/>
      <c r="Q806" s="220"/>
      <c r="R806" s="221"/>
      <c r="S806" s="221"/>
      <c r="T806" s="316">
        <f t="shared" si="97"/>
        <v>0</v>
      </c>
      <c r="U806" s="217">
        <f t="shared" si="98"/>
        <v>0</v>
      </c>
      <c r="X806" s="26" t="str">
        <f t="shared" si="99"/>
        <v/>
      </c>
      <c r="Y806" s="21" t="str">
        <f>IF(MATCH(X806,X$300:$X807,0),"Si",1)</f>
        <v>Si</v>
      </c>
      <c r="Z806" s="26">
        <f t="shared" si="100"/>
        <v>0</v>
      </c>
      <c r="AA806" s="26">
        <f t="shared" si="101"/>
        <v>0</v>
      </c>
      <c r="AB806" s="26" t="str">
        <f t="shared" si="102"/>
        <v/>
      </c>
      <c r="AC806" s="26" t="str">
        <f>IF(MATCH(AB806,AB$300:$AB807,0),"0",1)</f>
        <v>0</v>
      </c>
    </row>
    <row r="807" spans="2:29" x14ac:dyDescent="0.35">
      <c r="B807" s="219"/>
      <c r="C807" s="216" t="s">
        <v>1293</v>
      </c>
      <c r="D807" s="216"/>
      <c r="E807" s="220"/>
      <c r="F807" s="220"/>
      <c r="G807" s="220"/>
      <c r="H807" s="220" t="str">
        <f t="shared" si="96"/>
        <v/>
      </c>
      <c r="I807" s="460"/>
      <c r="J807" s="460"/>
      <c r="K807" s="460"/>
      <c r="L807" s="460"/>
      <c r="M807" s="460"/>
      <c r="N807" s="220"/>
      <c r="O807" s="220"/>
      <c r="P807" s="220"/>
      <c r="Q807" s="220"/>
      <c r="R807" s="221"/>
      <c r="S807" s="221"/>
      <c r="T807" s="316">
        <f t="shared" si="97"/>
        <v>0</v>
      </c>
      <c r="U807" s="217">
        <f t="shared" si="98"/>
        <v>0</v>
      </c>
      <c r="X807" s="26" t="str">
        <f t="shared" si="99"/>
        <v/>
      </c>
      <c r="Y807" s="21" t="str">
        <f>IF(MATCH(X807,X$300:$X808,0),"Si",1)</f>
        <v>Si</v>
      </c>
      <c r="Z807" s="26">
        <f t="shared" si="100"/>
        <v>0</v>
      </c>
      <c r="AA807" s="26">
        <f t="shared" si="101"/>
        <v>0</v>
      </c>
      <c r="AB807" s="26" t="str">
        <f t="shared" si="102"/>
        <v/>
      </c>
      <c r="AC807" s="26" t="str">
        <f>IF(MATCH(AB807,AB$300:$AB808,0),"0",1)</f>
        <v>0</v>
      </c>
    </row>
    <row r="808" spans="2:29" x14ac:dyDescent="0.35">
      <c r="B808" s="219"/>
      <c r="C808" s="216" t="s">
        <v>1294</v>
      </c>
      <c r="D808" s="216"/>
      <c r="E808" s="220"/>
      <c r="F808" s="220"/>
      <c r="G808" s="220"/>
      <c r="H808" s="220" t="str">
        <f t="shared" si="96"/>
        <v/>
      </c>
      <c r="I808" s="460"/>
      <c r="J808" s="460"/>
      <c r="K808" s="460"/>
      <c r="L808" s="460"/>
      <c r="M808" s="460"/>
      <c r="N808" s="220"/>
      <c r="O808" s="220"/>
      <c r="P808" s="220"/>
      <c r="Q808" s="220"/>
      <c r="R808" s="221"/>
      <c r="S808" s="221"/>
      <c r="T808" s="316">
        <f t="shared" si="97"/>
        <v>0</v>
      </c>
      <c r="U808" s="217">
        <f t="shared" si="98"/>
        <v>0</v>
      </c>
      <c r="X808" s="26" t="str">
        <f t="shared" si="99"/>
        <v/>
      </c>
      <c r="Y808" s="21" t="str">
        <f>IF(MATCH(X808,X$300:$X809,0),"Si",1)</f>
        <v>Si</v>
      </c>
      <c r="Z808" s="26">
        <f t="shared" si="100"/>
        <v>0</v>
      </c>
      <c r="AA808" s="26">
        <f t="shared" si="101"/>
        <v>0</v>
      </c>
      <c r="AB808" s="26" t="str">
        <f t="shared" si="102"/>
        <v/>
      </c>
      <c r="AC808" s="26" t="str">
        <f>IF(MATCH(AB808,AB$300:$AB809,0),"0",1)</f>
        <v>0</v>
      </c>
    </row>
    <row r="809" spans="2:29" x14ac:dyDescent="0.35">
      <c r="B809" s="219"/>
      <c r="C809" s="216" t="s">
        <v>1295</v>
      </c>
      <c r="D809" s="216"/>
      <c r="E809" s="220"/>
      <c r="F809" s="220"/>
      <c r="G809" s="220"/>
      <c r="H809" s="220" t="str">
        <f t="shared" si="96"/>
        <v/>
      </c>
      <c r="I809" s="460"/>
      <c r="J809" s="460"/>
      <c r="K809" s="460"/>
      <c r="L809" s="460"/>
      <c r="M809" s="460"/>
      <c r="N809" s="220"/>
      <c r="O809" s="220"/>
      <c r="P809" s="220"/>
      <c r="Q809" s="220"/>
      <c r="R809" s="221"/>
      <c r="S809" s="221"/>
      <c r="T809" s="316">
        <f t="shared" si="97"/>
        <v>0</v>
      </c>
      <c r="U809" s="217">
        <f t="shared" si="98"/>
        <v>0</v>
      </c>
      <c r="X809" s="26" t="str">
        <f t="shared" si="99"/>
        <v/>
      </c>
      <c r="Y809" s="21" t="str">
        <f>IF(MATCH(X809,X$300:$X810,0),"Si",1)</f>
        <v>Si</v>
      </c>
      <c r="Z809" s="26">
        <f t="shared" si="100"/>
        <v>0</v>
      </c>
      <c r="AA809" s="26">
        <f t="shared" si="101"/>
        <v>0</v>
      </c>
      <c r="AB809" s="26" t="str">
        <f t="shared" si="102"/>
        <v/>
      </c>
      <c r="AC809" s="26" t="str">
        <f>IF(MATCH(AB809,AB$300:$AB810,0),"0",1)</f>
        <v>0</v>
      </c>
    </row>
    <row r="810" spans="2:29" x14ac:dyDescent="0.35">
      <c r="B810" s="219"/>
      <c r="C810" s="216" t="s">
        <v>1296</v>
      </c>
      <c r="D810" s="216"/>
      <c r="E810" s="220"/>
      <c r="F810" s="220"/>
      <c r="G810" s="220"/>
      <c r="H810" s="220" t="str">
        <f t="shared" si="96"/>
        <v/>
      </c>
      <c r="I810" s="460"/>
      <c r="J810" s="460"/>
      <c r="K810" s="460"/>
      <c r="L810" s="460"/>
      <c r="M810" s="460"/>
      <c r="N810" s="220"/>
      <c r="O810" s="220"/>
      <c r="P810" s="220"/>
      <c r="Q810" s="220"/>
      <c r="R810" s="221"/>
      <c r="S810" s="221"/>
      <c r="T810" s="316">
        <f t="shared" si="97"/>
        <v>0</v>
      </c>
      <c r="U810" s="217">
        <f t="shared" si="98"/>
        <v>0</v>
      </c>
      <c r="X810" s="26" t="str">
        <f t="shared" si="99"/>
        <v/>
      </c>
      <c r="Y810" s="21" t="str">
        <f>IF(MATCH(X810,X$300:$X811,0),"Si",1)</f>
        <v>Si</v>
      </c>
      <c r="Z810" s="26">
        <f t="shared" si="100"/>
        <v>0</v>
      </c>
      <c r="AA810" s="26">
        <f t="shared" si="101"/>
        <v>0</v>
      </c>
      <c r="AB810" s="26" t="str">
        <f t="shared" si="102"/>
        <v/>
      </c>
      <c r="AC810" s="26" t="str">
        <f>IF(MATCH(AB810,AB$300:$AB811,0),"0",1)</f>
        <v>0</v>
      </c>
    </row>
    <row r="811" spans="2:29" x14ac:dyDescent="0.35">
      <c r="B811" s="219"/>
      <c r="C811" s="216" t="s">
        <v>1297</v>
      </c>
      <c r="D811" s="216"/>
      <c r="E811" s="220"/>
      <c r="F811" s="220"/>
      <c r="G811" s="220"/>
      <c r="H811" s="220" t="str">
        <f t="shared" si="96"/>
        <v/>
      </c>
      <c r="I811" s="460"/>
      <c r="J811" s="460"/>
      <c r="K811" s="460"/>
      <c r="L811" s="460"/>
      <c r="M811" s="460"/>
      <c r="N811" s="220"/>
      <c r="O811" s="220"/>
      <c r="P811" s="220"/>
      <c r="Q811" s="220"/>
      <c r="R811" s="221"/>
      <c r="S811" s="221"/>
      <c r="T811" s="316">
        <f t="shared" si="97"/>
        <v>0</v>
      </c>
      <c r="U811" s="217">
        <f t="shared" si="98"/>
        <v>0</v>
      </c>
      <c r="X811" s="26" t="str">
        <f t="shared" si="99"/>
        <v/>
      </c>
      <c r="Y811" s="21" t="str">
        <f>IF(MATCH(X811,X$300:$X812,0),"Si",1)</f>
        <v>Si</v>
      </c>
      <c r="Z811" s="26">
        <f t="shared" si="100"/>
        <v>0</v>
      </c>
      <c r="AA811" s="26">
        <f t="shared" si="101"/>
        <v>0</v>
      </c>
      <c r="AB811" s="26" t="str">
        <f t="shared" si="102"/>
        <v/>
      </c>
      <c r="AC811" s="26" t="str">
        <f>IF(MATCH(AB811,AB$300:$AB812,0),"0",1)</f>
        <v>0</v>
      </c>
    </row>
    <row r="812" spans="2:29" x14ac:dyDescent="0.35">
      <c r="B812" s="219"/>
      <c r="C812" s="216" t="s">
        <v>1298</v>
      </c>
      <c r="D812" s="216"/>
      <c r="E812" s="220"/>
      <c r="F812" s="220"/>
      <c r="G812" s="220"/>
      <c r="H812" s="220" t="str">
        <f t="shared" si="96"/>
        <v/>
      </c>
      <c r="I812" s="460"/>
      <c r="J812" s="460"/>
      <c r="K812" s="460"/>
      <c r="L812" s="460"/>
      <c r="M812" s="460"/>
      <c r="N812" s="220"/>
      <c r="O812" s="220"/>
      <c r="P812" s="220"/>
      <c r="Q812" s="220"/>
      <c r="R812" s="221"/>
      <c r="S812" s="221"/>
      <c r="T812" s="316">
        <f t="shared" si="97"/>
        <v>0</v>
      </c>
      <c r="U812" s="217">
        <f t="shared" si="98"/>
        <v>0</v>
      </c>
      <c r="X812" s="26" t="str">
        <f t="shared" si="99"/>
        <v/>
      </c>
      <c r="Y812" s="21" t="str">
        <f>IF(MATCH(X812,X$300:$X813,0),"Si",1)</f>
        <v>Si</v>
      </c>
      <c r="Z812" s="26">
        <f t="shared" si="100"/>
        <v>0</v>
      </c>
      <c r="AA812" s="26">
        <f t="shared" si="101"/>
        <v>0</v>
      </c>
      <c r="AB812" s="26" t="str">
        <f t="shared" si="102"/>
        <v/>
      </c>
      <c r="AC812" s="26" t="str">
        <f>IF(MATCH(AB812,AB$300:$AB813,0),"0",1)</f>
        <v>0</v>
      </c>
    </row>
    <row r="813" spans="2:29" x14ac:dyDescent="0.35">
      <c r="B813" s="219"/>
      <c r="C813" s="216" t="s">
        <v>1299</v>
      </c>
      <c r="D813" s="216"/>
      <c r="E813" s="220"/>
      <c r="F813" s="220"/>
      <c r="G813" s="220"/>
      <c r="H813" s="220" t="str">
        <f t="shared" si="96"/>
        <v/>
      </c>
      <c r="I813" s="460"/>
      <c r="J813" s="460"/>
      <c r="K813" s="460"/>
      <c r="L813" s="460"/>
      <c r="M813" s="460"/>
      <c r="N813" s="220"/>
      <c r="O813" s="220"/>
      <c r="P813" s="220"/>
      <c r="Q813" s="220"/>
      <c r="R813" s="221"/>
      <c r="S813" s="221"/>
      <c r="T813" s="316">
        <f t="shared" si="97"/>
        <v>0</v>
      </c>
      <c r="U813" s="217">
        <f t="shared" si="98"/>
        <v>0</v>
      </c>
      <c r="X813" s="26" t="str">
        <f t="shared" si="99"/>
        <v/>
      </c>
      <c r="Y813" s="21" t="str">
        <f>IF(MATCH(X813,X$300:$X814,0),"Si",1)</f>
        <v>Si</v>
      </c>
      <c r="Z813" s="26">
        <f t="shared" si="100"/>
        <v>0</v>
      </c>
      <c r="AA813" s="26">
        <f t="shared" si="101"/>
        <v>0</v>
      </c>
      <c r="AB813" s="26" t="str">
        <f t="shared" si="102"/>
        <v/>
      </c>
      <c r="AC813" s="26" t="str">
        <f>IF(MATCH(AB813,AB$300:$AB814,0),"0",1)</f>
        <v>0</v>
      </c>
    </row>
    <row r="814" spans="2:29" x14ac:dyDescent="0.35">
      <c r="B814" s="219"/>
      <c r="C814" s="216" t="s">
        <v>1300</v>
      </c>
      <c r="D814" s="216"/>
      <c r="E814" s="220"/>
      <c r="F814" s="220"/>
      <c r="G814" s="220"/>
      <c r="H814" s="220" t="str">
        <f t="shared" si="96"/>
        <v/>
      </c>
      <c r="I814" s="460"/>
      <c r="J814" s="460"/>
      <c r="K814" s="460"/>
      <c r="L814" s="460"/>
      <c r="M814" s="460"/>
      <c r="N814" s="220"/>
      <c r="O814" s="220"/>
      <c r="P814" s="220"/>
      <c r="Q814" s="220"/>
      <c r="R814" s="221"/>
      <c r="S814" s="221"/>
      <c r="T814" s="316">
        <f t="shared" si="97"/>
        <v>0</v>
      </c>
      <c r="U814" s="217">
        <f t="shared" si="98"/>
        <v>0</v>
      </c>
      <c r="X814" s="26" t="str">
        <f t="shared" si="99"/>
        <v/>
      </c>
      <c r="Y814" s="21" t="str">
        <f>IF(MATCH(X814,X$300:$X815,0),"Si",1)</f>
        <v>Si</v>
      </c>
      <c r="Z814" s="26">
        <f t="shared" si="100"/>
        <v>0</v>
      </c>
      <c r="AA814" s="26">
        <f t="shared" si="101"/>
        <v>0</v>
      </c>
      <c r="AB814" s="26" t="str">
        <f t="shared" si="102"/>
        <v/>
      </c>
      <c r="AC814" s="26" t="str">
        <f>IF(MATCH(AB814,AB$300:$AB815,0),"0",1)</f>
        <v>0</v>
      </c>
    </row>
    <row r="815" spans="2:29" x14ac:dyDescent="0.35">
      <c r="B815" s="219"/>
      <c r="C815" s="216" t="s">
        <v>1301</v>
      </c>
      <c r="D815" s="216"/>
      <c r="E815" s="220"/>
      <c r="F815" s="220"/>
      <c r="G815" s="220"/>
      <c r="H815" s="220" t="str">
        <f t="shared" si="96"/>
        <v/>
      </c>
      <c r="I815" s="460"/>
      <c r="J815" s="460"/>
      <c r="K815" s="460"/>
      <c r="L815" s="460"/>
      <c r="M815" s="460"/>
      <c r="N815" s="220"/>
      <c r="O815" s="220"/>
      <c r="P815" s="220"/>
      <c r="Q815" s="220"/>
      <c r="R815" s="221"/>
      <c r="S815" s="221"/>
      <c r="T815" s="316">
        <f t="shared" si="97"/>
        <v>0</v>
      </c>
      <c r="U815" s="217">
        <f t="shared" si="98"/>
        <v>0</v>
      </c>
      <c r="X815" s="26" t="str">
        <f t="shared" si="99"/>
        <v/>
      </c>
      <c r="Y815" s="21" t="str">
        <f>IF(MATCH(X815,X$300:$X816,0),"Si",1)</f>
        <v>Si</v>
      </c>
      <c r="Z815" s="26">
        <f t="shared" si="100"/>
        <v>0</v>
      </c>
      <c r="AA815" s="26">
        <f t="shared" si="101"/>
        <v>0</v>
      </c>
      <c r="AB815" s="26" t="str">
        <f t="shared" si="102"/>
        <v/>
      </c>
      <c r="AC815" s="26" t="str">
        <f>IF(MATCH(AB815,AB$300:$AB816,0),"0",1)</f>
        <v>0</v>
      </c>
    </row>
    <row r="816" spans="2:29" x14ac:dyDescent="0.35">
      <c r="B816" s="219"/>
      <c r="C816" s="216" t="s">
        <v>1302</v>
      </c>
      <c r="D816" s="216"/>
      <c r="E816" s="220"/>
      <c r="F816" s="220"/>
      <c r="G816" s="220"/>
      <c r="H816" s="220" t="str">
        <f t="shared" si="96"/>
        <v/>
      </c>
      <c r="I816" s="460"/>
      <c r="J816" s="460"/>
      <c r="K816" s="460"/>
      <c r="L816" s="460"/>
      <c r="M816" s="460"/>
      <c r="N816" s="220"/>
      <c r="O816" s="220"/>
      <c r="P816" s="220"/>
      <c r="Q816" s="220"/>
      <c r="R816" s="221"/>
      <c r="S816" s="221"/>
      <c r="T816" s="316">
        <f t="shared" si="97"/>
        <v>0</v>
      </c>
      <c r="U816" s="217">
        <f t="shared" si="98"/>
        <v>0</v>
      </c>
      <c r="X816" s="26" t="str">
        <f t="shared" si="99"/>
        <v/>
      </c>
      <c r="Y816" s="21" t="str">
        <f>IF(MATCH(X816,X$300:$X817,0),"Si",1)</f>
        <v>Si</v>
      </c>
      <c r="Z816" s="26">
        <f t="shared" si="100"/>
        <v>0</v>
      </c>
      <c r="AA816" s="26">
        <f t="shared" si="101"/>
        <v>0</v>
      </c>
      <c r="AB816" s="26" t="str">
        <f t="shared" si="102"/>
        <v/>
      </c>
      <c r="AC816" s="26" t="str">
        <f>IF(MATCH(AB816,AB$300:$AB817,0),"0",1)</f>
        <v>0</v>
      </c>
    </row>
    <row r="817" spans="2:29" x14ac:dyDescent="0.35">
      <c r="B817" s="219"/>
      <c r="C817" s="216" t="s">
        <v>1303</v>
      </c>
      <c r="D817" s="216"/>
      <c r="E817" s="220"/>
      <c r="F817" s="220"/>
      <c r="G817" s="220"/>
      <c r="H817" s="220" t="str">
        <f t="shared" si="96"/>
        <v/>
      </c>
      <c r="I817" s="460"/>
      <c r="J817" s="460"/>
      <c r="K817" s="460"/>
      <c r="L817" s="460"/>
      <c r="M817" s="460"/>
      <c r="N817" s="220"/>
      <c r="O817" s="220"/>
      <c r="P817" s="220"/>
      <c r="Q817" s="220"/>
      <c r="R817" s="221"/>
      <c r="S817" s="221"/>
      <c r="T817" s="316">
        <f t="shared" si="97"/>
        <v>0</v>
      </c>
      <c r="U817" s="217">
        <f t="shared" si="98"/>
        <v>0</v>
      </c>
      <c r="X817" s="26" t="str">
        <f t="shared" si="99"/>
        <v/>
      </c>
      <c r="Y817" s="21" t="str">
        <f>IF(MATCH(X817,X$300:$X818,0),"Si",1)</f>
        <v>Si</v>
      </c>
      <c r="Z817" s="26">
        <f t="shared" si="100"/>
        <v>0</v>
      </c>
      <c r="AA817" s="26">
        <f t="shared" si="101"/>
        <v>0</v>
      </c>
      <c r="AB817" s="26" t="str">
        <f t="shared" si="102"/>
        <v/>
      </c>
      <c r="AC817" s="26" t="str">
        <f>IF(MATCH(AB817,AB$300:$AB818,0),"0",1)</f>
        <v>0</v>
      </c>
    </row>
    <row r="818" spans="2:29" x14ac:dyDescent="0.35">
      <c r="B818" s="219"/>
      <c r="C818" s="216" t="s">
        <v>1304</v>
      </c>
      <c r="D818" s="216"/>
      <c r="E818" s="220"/>
      <c r="F818" s="220"/>
      <c r="G818" s="220"/>
      <c r="H818" s="220" t="str">
        <f t="shared" si="96"/>
        <v/>
      </c>
      <c r="I818" s="460"/>
      <c r="J818" s="460"/>
      <c r="K818" s="460"/>
      <c r="L818" s="460"/>
      <c r="M818" s="460"/>
      <c r="N818" s="220"/>
      <c r="O818" s="220"/>
      <c r="P818" s="220"/>
      <c r="Q818" s="220"/>
      <c r="R818" s="221"/>
      <c r="S818" s="221"/>
      <c r="T818" s="316">
        <f t="shared" si="97"/>
        <v>0</v>
      </c>
      <c r="U818" s="217">
        <f t="shared" si="98"/>
        <v>0</v>
      </c>
      <c r="X818" s="26" t="str">
        <f t="shared" si="99"/>
        <v/>
      </c>
      <c r="Y818" s="21" t="str">
        <f>IF(MATCH(X818,X$300:$X819,0),"Si",1)</f>
        <v>Si</v>
      </c>
      <c r="Z818" s="26">
        <f t="shared" si="100"/>
        <v>0</v>
      </c>
      <c r="AA818" s="26">
        <f t="shared" si="101"/>
        <v>0</v>
      </c>
      <c r="AB818" s="26" t="str">
        <f t="shared" si="102"/>
        <v/>
      </c>
      <c r="AC818" s="26" t="str">
        <f>IF(MATCH(AB818,AB$300:$AB819,0),"0",1)</f>
        <v>0</v>
      </c>
    </row>
    <row r="819" spans="2:29" x14ac:dyDescent="0.35">
      <c r="B819" s="219"/>
      <c r="C819" s="216" t="s">
        <v>1305</v>
      </c>
      <c r="D819" s="216"/>
      <c r="E819" s="220"/>
      <c r="F819" s="220"/>
      <c r="G819" s="220"/>
      <c r="H819" s="220" t="str">
        <f t="shared" si="96"/>
        <v/>
      </c>
      <c r="I819" s="460"/>
      <c r="J819" s="460"/>
      <c r="K819" s="460"/>
      <c r="L819" s="460"/>
      <c r="M819" s="460"/>
      <c r="N819" s="220"/>
      <c r="O819" s="220"/>
      <c r="P819" s="220"/>
      <c r="Q819" s="220"/>
      <c r="R819" s="221"/>
      <c r="S819" s="221"/>
      <c r="T819" s="316">
        <f t="shared" si="97"/>
        <v>0</v>
      </c>
      <c r="U819" s="217">
        <f t="shared" si="98"/>
        <v>0</v>
      </c>
      <c r="X819" s="26" t="str">
        <f t="shared" si="99"/>
        <v/>
      </c>
      <c r="Y819" s="21" t="str">
        <f>IF(MATCH(X819,X$300:$X820,0),"Si",1)</f>
        <v>Si</v>
      </c>
      <c r="Z819" s="26">
        <f t="shared" si="100"/>
        <v>0</v>
      </c>
      <c r="AA819" s="26">
        <f t="shared" si="101"/>
        <v>0</v>
      </c>
      <c r="AB819" s="26" t="str">
        <f t="shared" si="102"/>
        <v/>
      </c>
      <c r="AC819" s="26" t="str">
        <f>IF(MATCH(AB819,AB$300:$AB820,0),"0",1)</f>
        <v>0</v>
      </c>
    </row>
    <row r="820" spans="2:29" x14ac:dyDescent="0.35">
      <c r="B820" s="219"/>
      <c r="C820" s="216" t="s">
        <v>1306</v>
      </c>
      <c r="D820" s="216"/>
      <c r="E820" s="220"/>
      <c r="F820" s="220"/>
      <c r="G820" s="220"/>
      <c r="H820" s="220" t="str">
        <f t="shared" si="96"/>
        <v/>
      </c>
      <c r="I820" s="460"/>
      <c r="J820" s="460"/>
      <c r="K820" s="460"/>
      <c r="L820" s="460"/>
      <c r="M820" s="460"/>
      <c r="N820" s="220"/>
      <c r="O820" s="220"/>
      <c r="P820" s="220"/>
      <c r="Q820" s="220"/>
      <c r="R820" s="221"/>
      <c r="S820" s="221"/>
      <c r="T820" s="316">
        <f t="shared" si="97"/>
        <v>0</v>
      </c>
      <c r="U820" s="217">
        <f t="shared" si="98"/>
        <v>0</v>
      </c>
      <c r="X820" s="26" t="str">
        <f t="shared" si="99"/>
        <v/>
      </c>
      <c r="Y820" s="21" t="str">
        <f>IF(MATCH(X820,X$300:$X821,0),"Si",1)</f>
        <v>Si</v>
      </c>
      <c r="Z820" s="26">
        <f t="shared" si="100"/>
        <v>0</v>
      </c>
      <c r="AA820" s="26">
        <f t="shared" si="101"/>
        <v>0</v>
      </c>
      <c r="AB820" s="26" t="str">
        <f t="shared" si="102"/>
        <v/>
      </c>
      <c r="AC820" s="26" t="str">
        <f>IF(MATCH(AB820,AB$300:$AB821,0),"0",1)</f>
        <v>0</v>
      </c>
    </row>
    <row r="821" spans="2:29" x14ac:dyDescent="0.35">
      <c r="B821" s="219"/>
      <c r="C821" s="216" t="s">
        <v>1307</v>
      </c>
      <c r="D821" s="216"/>
      <c r="E821" s="220"/>
      <c r="F821" s="220"/>
      <c r="G821" s="220"/>
      <c r="H821" s="220" t="str">
        <f t="shared" si="96"/>
        <v/>
      </c>
      <c r="I821" s="460"/>
      <c r="J821" s="460"/>
      <c r="K821" s="460"/>
      <c r="L821" s="460"/>
      <c r="M821" s="460"/>
      <c r="N821" s="220"/>
      <c r="O821" s="220"/>
      <c r="P821" s="220"/>
      <c r="Q821" s="220"/>
      <c r="R821" s="221"/>
      <c r="S821" s="221"/>
      <c r="T821" s="316">
        <f t="shared" si="97"/>
        <v>0</v>
      </c>
      <c r="U821" s="217">
        <f t="shared" si="98"/>
        <v>0</v>
      </c>
      <c r="X821" s="26" t="str">
        <f t="shared" si="99"/>
        <v/>
      </c>
      <c r="Y821" s="21" t="str">
        <f>IF(MATCH(X821,X$300:$X822,0),"Si",1)</f>
        <v>Si</v>
      </c>
      <c r="Z821" s="26">
        <f t="shared" si="100"/>
        <v>0</v>
      </c>
      <c r="AA821" s="26">
        <f t="shared" si="101"/>
        <v>0</v>
      </c>
      <c r="AB821" s="26" t="str">
        <f t="shared" si="102"/>
        <v/>
      </c>
      <c r="AC821" s="26" t="str">
        <f>IF(MATCH(AB821,AB$300:$AB822,0),"0",1)</f>
        <v>0</v>
      </c>
    </row>
    <row r="822" spans="2:29" x14ac:dyDescent="0.35">
      <c r="B822" s="219"/>
      <c r="C822" s="216" t="s">
        <v>1308</v>
      </c>
      <c r="D822" s="216"/>
      <c r="E822" s="220"/>
      <c r="F822" s="220"/>
      <c r="G822" s="220"/>
      <c r="H822" s="220" t="str">
        <f t="shared" si="96"/>
        <v/>
      </c>
      <c r="I822" s="460"/>
      <c r="J822" s="460"/>
      <c r="K822" s="460"/>
      <c r="L822" s="460"/>
      <c r="M822" s="460"/>
      <c r="N822" s="220"/>
      <c r="O822" s="220"/>
      <c r="P822" s="220"/>
      <c r="Q822" s="220"/>
      <c r="R822" s="221"/>
      <c r="S822" s="221"/>
      <c r="T822" s="316">
        <f t="shared" si="97"/>
        <v>0</v>
      </c>
      <c r="U822" s="217">
        <f t="shared" si="98"/>
        <v>0</v>
      </c>
      <c r="X822" s="26" t="str">
        <f t="shared" si="99"/>
        <v/>
      </c>
      <c r="Y822" s="21" t="str">
        <f>IF(MATCH(X822,X$300:$X823,0),"Si",1)</f>
        <v>Si</v>
      </c>
      <c r="Z822" s="26">
        <f t="shared" si="100"/>
        <v>0</v>
      </c>
      <c r="AA822" s="26">
        <f t="shared" si="101"/>
        <v>0</v>
      </c>
      <c r="AB822" s="26" t="str">
        <f t="shared" si="102"/>
        <v/>
      </c>
      <c r="AC822" s="26" t="str">
        <f>IF(MATCH(AB822,AB$300:$AB823,0),"0",1)</f>
        <v>0</v>
      </c>
    </row>
    <row r="823" spans="2:29" x14ac:dyDescent="0.35">
      <c r="B823" s="219"/>
      <c r="C823" s="216" t="s">
        <v>1309</v>
      </c>
      <c r="D823" s="216"/>
      <c r="E823" s="220"/>
      <c r="F823" s="220"/>
      <c r="G823" s="220"/>
      <c r="H823" s="220" t="str">
        <f t="shared" si="96"/>
        <v/>
      </c>
      <c r="I823" s="460"/>
      <c r="J823" s="460"/>
      <c r="K823" s="460"/>
      <c r="L823" s="460"/>
      <c r="M823" s="460"/>
      <c r="N823" s="220"/>
      <c r="O823" s="220"/>
      <c r="P823" s="220"/>
      <c r="Q823" s="220"/>
      <c r="R823" s="221"/>
      <c r="S823" s="221"/>
      <c r="T823" s="316">
        <f t="shared" si="97"/>
        <v>0</v>
      </c>
      <c r="U823" s="217">
        <f t="shared" si="98"/>
        <v>0</v>
      </c>
      <c r="X823" s="26" t="str">
        <f t="shared" si="99"/>
        <v/>
      </c>
      <c r="Y823" s="21" t="str">
        <f>IF(MATCH(X823,X$300:$X824,0),"Si",1)</f>
        <v>Si</v>
      </c>
      <c r="Z823" s="26">
        <f t="shared" si="100"/>
        <v>0</v>
      </c>
      <c r="AA823" s="26">
        <f t="shared" si="101"/>
        <v>0</v>
      </c>
      <c r="AB823" s="26" t="str">
        <f t="shared" si="102"/>
        <v/>
      </c>
      <c r="AC823" s="26" t="str">
        <f>IF(MATCH(AB823,AB$300:$AB824,0),"0",1)</f>
        <v>0</v>
      </c>
    </row>
    <row r="824" spans="2:29" x14ac:dyDescent="0.35">
      <c r="B824" s="219"/>
      <c r="C824" s="216" t="s">
        <v>1310</v>
      </c>
      <c r="D824" s="216"/>
      <c r="E824" s="220"/>
      <c r="F824" s="220"/>
      <c r="G824" s="220"/>
      <c r="H824" s="220" t="str">
        <f t="shared" si="96"/>
        <v/>
      </c>
      <c r="I824" s="460"/>
      <c r="J824" s="460"/>
      <c r="K824" s="460"/>
      <c r="L824" s="460"/>
      <c r="M824" s="460"/>
      <c r="N824" s="220"/>
      <c r="O824" s="220"/>
      <c r="P824" s="220"/>
      <c r="Q824" s="220"/>
      <c r="R824" s="221"/>
      <c r="S824" s="221"/>
      <c r="T824" s="316">
        <f t="shared" si="97"/>
        <v>0</v>
      </c>
      <c r="U824" s="217">
        <f t="shared" si="98"/>
        <v>0</v>
      </c>
      <c r="X824" s="26" t="str">
        <f t="shared" si="99"/>
        <v/>
      </c>
      <c r="Y824" s="21" t="str">
        <f>IF(MATCH(X824,X$300:$X825,0),"Si",1)</f>
        <v>Si</v>
      </c>
      <c r="Z824" s="26">
        <f t="shared" si="100"/>
        <v>0</v>
      </c>
      <c r="AA824" s="26">
        <f t="shared" si="101"/>
        <v>0</v>
      </c>
      <c r="AB824" s="26" t="str">
        <f t="shared" si="102"/>
        <v/>
      </c>
      <c r="AC824" s="26" t="str">
        <f>IF(MATCH(AB824,AB$300:$AB825,0),"0",1)</f>
        <v>0</v>
      </c>
    </row>
    <row r="825" spans="2:29" x14ac:dyDescent="0.35">
      <c r="B825" s="219"/>
      <c r="C825" s="216" t="s">
        <v>1311</v>
      </c>
      <c r="D825" s="216"/>
      <c r="E825" s="220"/>
      <c r="F825" s="220"/>
      <c r="G825" s="220"/>
      <c r="H825" s="220" t="str">
        <f t="shared" si="96"/>
        <v/>
      </c>
      <c r="I825" s="460"/>
      <c r="J825" s="460"/>
      <c r="K825" s="460"/>
      <c r="L825" s="460"/>
      <c r="M825" s="460"/>
      <c r="N825" s="220"/>
      <c r="O825" s="220"/>
      <c r="P825" s="220"/>
      <c r="Q825" s="220"/>
      <c r="R825" s="221"/>
      <c r="S825" s="221"/>
      <c r="T825" s="316">
        <f t="shared" si="97"/>
        <v>0</v>
      </c>
      <c r="U825" s="217">
        <f t="shared" si="98"/>
        <v>0</v>
      </c>
      <c r="X825" s="26" t="str">
        <f t="shared" si="99"/>
        <v/>
      </c>
      <c r="Y825" s="21" t="str">
        <f>IF(MATCH(X825,X$300:$X826,0),"Si",1)</f>
        <v>Si</v>
      </c>
      <c r="Z825" s="26">
        <f t="shared" si="100"/>
        <v>0</v>
      </c>
      <c r="AA825" s="26">
        <f t="shared" si="101"/>
        <v>0</v>
      </c>
      <c r="AB825" s="26" t="str">
        <f t="shared" si="102"/>
        <v/>
      </c>
      <c r="AC825" s="26" t="str">
        <f>IF(MATCH(AB825,AB$300:$AB826,0),"0",1)</f>
        <v>0</v>
      </c>
    </row>
    <row r="826" spans="2:29" x14ac:dyDescent="0.35">
      <c r="B826" s="219"/>
      <c r="C826" s="216" t="s">
        <v>1312</v>
      </c>
      <c r="D826" s="216"/>
      <c r="E826" s="220"/>
      <c r="F826" s="220"/>
      <c r="G826" s="220"/>
      <c r="H826" s="220" t="str">
        <f t="shared" si="96"/>
        <v/>
      </c>
      <c r="I826" s="460"/>
      <c r="J826" s="460"/>
      <c r="K826" s="460"/>
      <c r="L826" s="460"/>
      <c r="M826" s="460"/>
      <c r="N826" s="220"/>
      <c r="O826" s="220"/>
      <c r="P826" s="220"/>
      <c r="Q826" s="220"/>
      <c r="R826" s="221"/>
      <c r="S826" s="221"/>
      <c r="T826" s="316">
        <f t="shared" si="97"/>
        <v>0</v>
      </c>
      <c r="U826" s="217">
        <f t="shared" si="98"/>
        <v>0</v>
      </c>
      <c r="X826" s="26" t="str">
        <f t="shared" si="99"/>
        <v/>
      </c>
      <c r="Y826" s="21" t="str">
        <f>IF(MATCH(X826,X$300:$X827,0),"Si",1)</f>
        <v>Si</v>
      </c>
      <c r="Z826" s="26">
        <f t="shared" si="100"/>
        <v>0</v>
      </c>
      <c r="AA826" s="26">
        <f t="shared" si="101"/>
        <v>0</v>
      </c>
      <c r="AB826" s="26" t="str">
        <f t="shared" si="102"/>
        <v/>
      </c>
      <c r="AC826" s="26" t="str">
        <f>IF(MATCH(AB826,AB$300:$AB827,0),"0",1)</f>
        <v>0</v>
      </c>
    </row>
    <row r="827" spans="2:29" x14ac:dyDescent="0.35">
      <c r="B827" s="219"/>
      <c r="C827" s="216" t="s">
        <v>1313</v>
      </c>
      <c r="D827" s="216"/>
      <c r="E827" s="220"/>
      <c r="F827" s="220"/>
      <c r="G827" s="220"/>
      <c r="H827" s="220" t="str">
        <f t="shared" si="96"/>
        <v/>
      </c>
      <c r="I827" s="460"/>
      <c r="J827" s="460"/>
      <c r="K827" s="460"/>
      <c r="L827" s="460"/>
      <c r="M827" s="460"/>
      <c r="N827" s="220"/>
      <c r="O827" s="220"/>
      <c r="P827" s="220"/>
      <c r="Q827" s="220"/>
      <c r="R827" s="221"/>
      <c r="S827" s="221"/>
      <c r="T827" s="316">
        <f t="shared" si="97"/>
        <v>0</v>
      </c>
      <c r="U827" s="217">
        <f t="shared" si="98"/>
        <v>0</v>
      </c>
      <c r="X827" s="26" t="str">
        <f t="shared" si="99"/>
        <v/>
      </c>
      <c r="Y827" s="21" t="str">
        <f>IF(MATCH(X827,X$300:$X828,0),"Si",1)</f>
        <v>Si</v>
      </c>
      <c r="Z827" s="26">
        <f t="shared" si="100"/>
        <v>0</v>
      </c>
      <c r="AA827" s="26">
        <f t="shared" si="101"/>
        <v>0</v>
      </c>
      <c r="AB827" s="26" t="str">
        <f t="shared" si="102"/>
        <v/>
      </c>
      <c r="AC827" s="26" t="str">
        <f>IF(MATCH(AB827,AB$300:$AB828,0),"0",1)</f>
        <v>0</v>
      </c>
    </row>
    <row r="828" spans="2:29" x14ac:dyDescent="0.35">
      <c r="B828" s="219"/>
      <c r="C828" s="216" t="s">
        <v>1314</v>
      </c>
      <c r="D828" s="216"/>
      <c r="E828" s="220"/>
      <c r="F828" s="220"/>
      <c r="G828" s="220"/>
      <c r="H828" s="220" t="str">
        <f t="shared" si="96"/>
        <v/>
      </c>
      <c r="I828" s="460"/>
      <c r="J828" s="460"/>
      <c r="K828" s="460"/>
      <c r="L828" s="460"/>
      <c r="M828" s="460"/>
      <c r="N828" s="220"/>
      <c r="O828" s="220"/>
      <c r="P828" s="220"/>
      <c r="Q828" s="220"/>
      <c r="R828" s="221"/>
      <c r="S828" s="221"/>
      <c r="T828" s="316">
        <f t="shared" si="97"/>
        <v>0</v>
      </c>
      <c r="U828" s="217">
        <f t="shared" si="98"/>
        <v>0</v>
      </c>
      <c r="X828" s="26" t="str">
        <f t="shared" si="99"/>
        <v/>
      </c>
      <c r="Y828" s="21" t="str">
        <f>IF(MATCH(X828,X$300:$X829,0),"Si",1)</f>
        <v>Si</v>
      </c>
      <c r="Z828" s="26">
        <f t="shared" si="100"/>
        <v>0</v>
      </c>
      <c r="AA828" s="26">
        <f t="shared" si="101"/>
        <v>0</v>
      </c>
      <c r="AB828" s="26" t="str">
        <f t="shared" si="102"/>
        <v/>
      </c>
      <c r="AC828" s="26" t="str">
        <f>IF(MATCH(AB828,AB$300:$AB829,0),"0",1)</f>
        <v>0</v>
      </c>
    </row>
    <row r="829" spans="2:29" x14ac:dyDescent="0.35">
      <c r="B829" s="219"/>
      <c r="C829" s="216" t="s">
        <v>1315</v>
      </c>
      <c r="D829" s="216"/>
      <c r="E829" s="220"/>
      <c r="F829" s="220"/>
      <c r="G829" s="220"/>
      <c r="H829" s="220" t="str">
        <f t="shared" si="96"/>
        <v/>
      </c>
      <c r="I829" s="460"/>
      <c r="J829" s="460"/>
      <c r="K829" s="460"/>
      <c r="L829" s="460"/>
      <c r="M829" s="460"/>
      <c r="N829" s="220"/>
      <c r="O829" s="220"/>
      <c r="P829" s="220"/>
      <c r="Q829" s="220"/>
      <c r="R829" s="221"/>
      <c r="S829" s="221"/>
      <c r="T829" s="316">
        <f t="shared" si="97"/>
        <v>0</v>
      </c>
      <c r="U829" s="217">
        <f t="shared" si="98"/>
        <v>0</v>
      </c>
      <c r="X829" s="26" t="str">
        <f t="shared" si="99"/>
        <v/>
      </c>
      <c r="Y829" s="21" t="str">
        <f>IF(MATCH(X829,X$300:$X830,0),"Si",1)</f>
        <v>Si</v>
      </c>
      <c r="Z829" s="26">
        <f t="shared" si="100"/>
        <v>0</v>
      </c>
      <c r="AA829" s="26">
        <f t="shared" si="101"/>
        <v>0</v>
      </c>
      <c r="AB829" s="26" t="str">
        <f t="shared" si="102"/>
        <v/>
      </c>
      <c r="AC829" s="26" t="str">
        <f>IF(MATCH(AB829,AB$300:$AB830,0),"0",1)</f>
        <v>0</v>
      </c>
    </row>
    <row r="830" spans="2:29" x14ac:dyDescent="0.35">
      <c r="B830" s="219"/>
      <c r="C830" s="216" t="s">
        <v>1316</v>
      </c>
      <c r="D830" s="216"/>
      <c r="E830" s="220"/>
      <c r="F830" s="220"/>
      <c r="G830" s="220"/>
      <c r="H830" s="220" t="str">
        <f t="shared" si="96"/>
        <v/>
      </c>
      <c r="I830" s="460"/>
      <c r="J830" s="460"/>
      <c r="K830" s="460"/>
      <c r="L830" s="460"/>
      <c r="M830" s="460"/>
      <c r="N830" s="220"/>
      <c r="O830" s="220"/>
      <c r="P830" s="220"/>
      <c r="Q830" s="220"/>
      <c r="R830" s="221"/>
      <c r="S830" s="221"/>
      <c r="T830" s="316">
        <f t="shared" si="97"/>
        <v>0</v>
      </c>
      <c r="U830" s="217">
        <f t="shared" si="98"/>
        <v>0</v>
      </c>
      <c r="X830" s="26" t="str">
        <f t="shared" si="99"/>
        <v/>
      </c>
      <c r="Y830" s="21" t="str">
        <f>IF(MATCH(X830,X$300:$X831,0),"Si",1)</f>
        <v>Si</v>
      </c>
      <c r="Z830" s="26">
        <f t="shared" si="100"/>
        <v>0</v>
      </c>
      <c r="AA830" s="26">
        <f t="shared" si="101"/>
        <v>0</v>
      </c>
      <c r="AB830" s="26" t="str">
        <f t="shared" si="102"/>
        <v/>
      </c>
      <c r="AC830" s="26" t="str">
        <f>IF(MATCH(AB830,AB$300:$AB831,0),"0",1)</f>
        <v>0</v>
      </c>
    </row>
    <row r="831" spans="2:29" x14ac:dyDescent="0.35">
      <c r="B831" s="219"/>
      <c r="C831" s="216" t="s">
        <v>1317</v>
      </c>
      <c r="D831" s="216"/>
      <c r="E831" s="220"/>
      <c r="F831" s="220"/>
      <c r="G831" s="220"/>
      <c r="H831" s="220" t="str">
        <f t="shared" si="96"/>
        <v/>
      </c>
      <c r="I831" s="460"/>
      <c r="J831" s="460"/>
      <c r="K831" s="460"/>
      <c r="L831" s="460"/>
      <c r="M831" s="460"/>
      <c r="N831" s="220"/>
      <c r="O831" s="220"/>
      <c r="P831" s="220"/>
      <c r="Q831" s="220"/>
      <c r="R831" s="221"/>
      <c r="S831" s="221"/>
      <c r="T831" s="316">
        <f t="shared" si="97"/>
        <v>0</v>
      </c>
      <c r="U831" s="217">
        <f t="shared" si="98"/>
        <v>0</v>
      </c>
      <c r="X831" s="26" t="str">
        <f t="shared" si="99"/>
        <v/>
      </c>
      <c r="Y831" s="21" t="str">
        <f>IF(MATCH(X831,X$300:$X832,0),"Si",1)</f>
        <v>Si</v>
      </c>
      <c r="Z831" s="26">
        <f t="shared" si="100"/>
        <v>0</v>
      </c>
      <c r="AA831" s="26">
        <f t="shared" si="101"/>
        <v>0</v>
      </c>
      <c r="AB831" s="26" t="str">
        <f t="shared" si="102"/>
        <v/>
      </c>
      <c r="AC831" s="26" t="str">
        <f>IF(MATCH(AB831,AB$300:$AB832,0),"0",1)</f>
        <v>0</v>
      </c>
    </row>
    <row r="832" spans="2:29" x14ac:dyDescent="0.35">
      <c r="B832" s="219"/>
      <c r="C832" s="216" t="s">
        <v>1318</v>
      </c>
      <c r="D832" s="216"/>
      <c r="E832" s="220"/>
      <c r="F832" s="220"/>
      <c r="G832" s="220"/>
      <c r="H832" s="220" t="str">
        <f t="shared" si="96"/>
        <v/>
      </c>
      <c r="I832" s="460"/>
      <c r="J832" s="460"/>
      <c r="K832" s="460"/>
      <c r="L832" s="460"/>
      <c r="M832" s="460"/>
      <c r="N832" s="220"/>
      <c r="O832" s="220"/>
      <c r="P832" s="220"/>
      <c r="Q832" s="220"/>
      <c r="R832" s="221"/>
      <c r="S832" s="221"/>
      <c r="T832" s="316">
        <f t="shared" si="97"/>
        <v>0</v>
      </c>
      <c r="U832" s="217">
        <f t="shared" si="98"/>
        <v>0</v>
      </c>
      <c r="X832" s="26" t="str">
        <f t="shared" si="99"/>
        <v/>
      </c>
      <c r="Y832" s="21" t="str">
        <f>IF(MATCH(X832,X$300:$X833,0),"Si",1)</f>
        <v>Si</v>
      </c>
      <c r="Z832" s="26">
        <f t="shared" si="100"/>
        <v>0</v>
      </c>
      <c r="AA832" s="26">
        <f t="shared" si="101"/>
        <v>0</v>
      </c>
      <c r="AB832" s="26" t="str">
        <f t="shared" si="102"/>
        <v/>
      </c>
      <c r="AC832" s="26" t="str">
        <f>IF(MATCH(AB832,AB$300:$AB833,0),"0",1)</f>
        <v>0</v>
      </c>
    </row>
    <row r="833" spans="2:29" x14ac:dyDescent="0.35">
      <c r="B833" s="219"/>
      <c r="C833" s="216" t="s">
        <v>1319</v>
      </c>
      <c r="D833" s="216"/>
      <c r="E833" s="220"/>
      <c r="F833" s="220"/>
      <c r="G833" s="220"/>
      <c r="H833" s="220" t="str">
        <f t="shared" si="96"/>
        <v/>
      </c>
      <c r="I833" s="460"/>
      <c r="J833" s="460"/>
      <c r="K833" s="460"/>
      <c r="L833" s="460"/>
      <c r="M833" s="460"/>
      <c r="N833" s="220"/>
      <c r="O833" s="220"/>
      <c r="P833" s="220"/>
      <c r="Q833" s="220"/>
      <c r="R833" s="221"/>
      <c r="S833" s="221"/>
      <c r="T833" s="316">
        <f t="shared" si="97"/>
        <v>0</v>
      </c>
      <c r="U833" s="217">
        <f t="shared" si="98"/>
        <v>0</v>
      </c>
      <c r="X833" s="26" t="str">
        <f t="shared" si="99"/>
        <v/>
      </c>
      <c r="Y833" s="21" t="str">
        <f>IF(MATCH(X833,X$300:$X834,0),"Si",1)</f>
        <v>Si</v>
      </c>
      <c r="Z833" s="26">
        <f t="shared" si="100"/>
        <v>0</v>
      </c>
      <c r="AA833" s="26">
        <f t="shared" si="101"/>
        <v>0</v>
      </c>
      <c r="AB833" s="26" t="str">
        <f t="shared" si="102"/>
        <v/>
      </c>
      <c r="AC833" s="26" t="str">
        <f>IF(MATCH(AB833,AB$300:$AB834,0),"0",1)</f>
        <v>0</v>
      </c>
    </row>
    <row r="834" spans="2:29" x14ac:dyDescent="0.35">
      <c r="B834" s="219"/>
      <c r="C834" s="216" t="s">
        <v>1320</v>
      </c>
      <c r="D834" s="216"/>
      <c r="E834" s="220"/>
      <c r="F834" s="220"/>
      <c r="G834" s="220"/>
      <c r="H834" s="220" t="str">
        <f t="shared" si="96"/>
        <v/>
      </c>
      <c r="I834" s="460"/>
      <c r="J834" s="460"/>
      <c r="K834" s="460"/>
      <c r="L834" s="460"/>
      <c r="M834" s="460"/>
      <c r="N834" s="220"/>
      <c r="O834" s="220"/>
      <c r="P834" s="220"/>
      <c r="Q834" s="220"/>
      <c r="R834" s="221"/>
      <c r="S834" s="221"/>
      <c r="T834" s="316">
        <f t="shared" si="97"/>
        <v>0</v>
      </c>
      <c r="U834" s="217">
        <f t="shared" si="98"/>
        <v>0</v>
      </c>
      <c r="X834" s="26" t="str">
        <f t="shared" si="99"/>
        <v/>
      </c>
      <c r="Y834" s="21" t="str">
        <f>IF(MATCH(X834,X$300:$X835,0),"Si",1)</f>
        <v>Si</v>
      </c>
      <c r="Z834" s="26">
        <f t="shared" si="100"/>
        <v>0</v>
      </c>
      <c r="AA834" s="26">
        <f t="shared" si="101"/>
        <v>0</v>
      </c>
      <c r="AB834" s="26" t="str">
        <f t="shared" si="102"/>
        <v/>
      </c>
      <c r="AC834" s="26" t="str">
        <f>IF(MATCH(AB834,AB$300:$AB835,0),"0",1)</f>
        <v>0</v>
      </c>
    </row>
    <row r="835" spans="2:29" x14ac:dyDescent="0.35">
      <c r="B835" s="219"/>
      <c r="C835" s="216" t="s">
        <v>1321</v>
      </c>
      <c r="D835" s="216"/>
      <c r="E835" s="220"/>
      <c r="F835" s="220"/>
      <c r="G835" s="220"/>
      <c r="H835" s="220" t="str">
        <f t="shared" si="96"/>
        <v/>
      </c>
      <c r="I835" s="460"/>
      <c r="J835" s="460"/>
      <c r="K835" s="460"/>
      <c r="L835" s="460"/>
      <c r="M835" s="460"/>
      <c r="N835" s="220"/>
      <c r="O835" s="220"/>
      <c r="P835" s="220"/>
      <c r="Q835" s="220"/>
      <c r="R835" s="221"/>
      <c r="S835" s="221"/>
      <c r="T835" s="316">
        <f t="shared" si="97"/>
        <v>0</v>
      </c>
      <c r="U835" s="217">
        <f t="shared" si="98"/>
        <v>0</v>
      </c>
      <c r="X835" s="26" t="str">
        <f t="shared" si="99"/>
        <v/>
      </c>
      <c r="Y835" s="21" t="str">
        <f>IF(MATCH(X835,X$300:$X836,0),"Si",1)</f>
        <v>Si</v>
      </c>
      <c r="Z835" s="26">
        <f t="shared" si="100"/>
        <v>0</v>
      </c>
      <c r="AA835" s="26">
        <f t="shared" si="101"/>
        <v>0</v>
      </c>
      <c r="AB835" s="26" t="str">
        <f t="shared" si="102"/>
        <v/>
      </c>
      <c r="AC835" s="26" t="str">
        <f>IF(MATCH(AB835,AB$300:$AB836,0),"0",1)</f>
        <v>0</v>
      </c>
    </row>
    <row r="836" spans="2:29" x14ac:dyDescent="0.35">
      <c r="B836" s="219"/>
      <c r="C836" s="216" t="s">
        <v>1322</v>
      </c>
      <c r="D836" s="216"/>
      <c r="E836" s="220"/>
      <c r="F836" s="220"/>
      <c r="G836" s="220"/>
      <c r="H836" s="220" t="str">
        <f t="shared" si="96"/>
        <v/>
      </c>
      <c r="I836" s="460"/>
      <c r="J836" s="460"/>
      <c r="K836" s="460"/>
      <c r="L836" s="460"/>
      <c r="M836" s="460"/>
      <c r="N836" s="220"/>
      <c r="O836" s="220"/>
      <c r="P836" s="220"/>
      <c r="Q836" s="220"/>
      <c r="R836" s="221"/>
      <c r="S836" s="221"/>
      <c r="T836" s="316">
        <f t="shared" si="97"/>
        <v>0</v>
      </c>
      <c r="U836" s="217">
        <f t="shared" si="98"/>
        <v>0</v>
      </c>
      <c r="X836" s="26" t="str">
        <f t="shared" si="99"/>
        <v/>
      </c>
      <c r="Y836" s="21" t="str">
        <f>IF(MATCH(X836,X$300:$X837,0),"Si",1)</f>
        <v>Si</v>
      </c>
      <c r="Z836" s="26">
        <f t="shared" si="100"/>
        <v>0</v>
      </c>
      <c r="AA836" s="26">
        <f t="shared" si="101"/>
        <v>0</v>
      </c>
      <c r="AB836" s="26" t="str">
        <f t="shared" si="102"/>
        <v/>
      </c>
      <c r="AC836" s="26" t="str">
        <f>IF(MATCH(AB836,AB$300:$AB837,0),"0",1)</f>
        <v>0</v>
      </c>
    </row>
    <row r="837" spans="2:29" x14ac:dyDescent="0.35">
      <c r="B837" s="219"/>
      <c r="C837" s="216" t="s">
        <v>1323</v>
      </c>
      <c r="D837" s="216"/>
      <c r="E837" s="220"/>
      <c r="F837" s="220"/>
      <c r="G837" s="220"/>
      <c r="H837" s="220" t="str">
        <f t="shared" si="96"/>
        <v/>
      </c>
      <c r="I837" s="460"/>
      <c r="J837" s="460"/>
      <c r="K837" s="460"/>
      <c r="L837" s="460"/>
      <c r="M837" s="460"/>
      <c r="N837" s="220"/>
      <c r="O837" s="220"/>
      <c r="P837" s="220"/>
      <c r="Q837" s="220"/>
      <c r="R837" s="221"/>
      <c r="S837" s="221"/>
      <c r="T837" s="316">
        <f t="shared" si="97"/>
        <v>0</v>
      </c>
      <c r="U837" s="217">
        <f t="shared" si="98"/>
        <v>0</v>
      </c>
      <c r="X837" s="26" t="str">
        <f t="shared" si="99"/>
        <v/>
      </c>
      <c r="Y837" s="21" t="str">
        <f>IF(MATCH(X837,X$300:$X838,0),"Si",1)</f>
        <v>Si</v>
      </c>
      <c r="Z837" s="26">
        <f t="shared" si="100"/>
        <v>0</v>
      </c>
      <c r="AA837" s="26">
        <f t="shared" si="101"/>
        <v>0</v>
      </c>
      <c r="AB837" s="26" t="str">
        <f t="shared" si="102"/>
        <v/>
      </c>
      <c r="AC837" s="26" t="str">
        <f>IF(MATCH(AB837,AB$300:$AB838,0),"0",1)</f>
        <v>0</v>
      </c>
    </row>
    <row r="838" spans="2:29" x14ac:dyDescent="0.35">
      <c r="B838" s="219"/>
      <c r="C838" s="216" t="s">
        <v>1324</v>
      </c>
      <c r="D838" s="216"/>
      <c r="E838" s="220"/>
      <c r="F838" s="220"/>
      <c r="G838" s="220"/>
      <c r="H838" s="220" t="str">
        <f t="shared" si="96"/>
        <v/>
      </c>
      <c r="I838" s="460"/>
      <c r="J838" s="460"/>
      <c r="K838" s="460"/>
      <c r="L838" s="460"/>
      <c r="M838" s="460"/>
      <c r="N838" s="220"/>
      <c r="O838" s="220"/>
      <c r="P838" s="220"/>
      <c r="Q838" s="220"/>
      <c r="R838" s="221"/>
      <c r="S838" s="221"/>
      <c r="T838" s="316">
        <f t="shared" si="97"/>
        <v>0</v>
      </c>
      <c r="U838" s="217">
        <f t="shared" si="98"/>
        <v>0</v>
      </c>
      <c r="X838" s="26" t="str">
        <f t="shared" si="99"/>
        <v/>
      </c>
      <c r="Y838" s="21" t="str">
        <f>IF(MATCH(X838,X$300:$X839,0),"Si",1)</f>
        <v>Si</v>
      </c>
      <c r="Z838" s="26">
        <f t="shared" si="100"/>
        <v>0</v>
      </c>
      <c r="AA838" s="26">
        <f t="shared" si="101"/>
        <v>0</v>
      </c>
      <c r="AB838" s="26" t="str">
        <f t="shared" si="102"/>
        <v/>
      </c>
      <c r="AC838" s="26" t="str">
        <f>IF(MATCH(AB838,AB$300:$AB839,0),"0",1)</f>
        <v>0</v>
      </c>
    </row>
    <row r="839" spans="2:29" x14ac:dyDescent="0.35">
      <c r="B839" s="219"/>
      <c r="C839" s="216" t="s">
        <v>1325</v>
      </c>
      <c r="D839" s="216"/>
      <c r="E839" s="220"/>
      <c r="F839" s="220"/>
      <c r="G839" s="220"/>
      <c r="H839" s="220" t="str">
        <f t="shared" si="96"/>
        <v/>
      </c>
      <c r="I839" s="460"/>
      <c r="J839" s="460"/>
      <c r="K839" s="460"/>
      <c r="L839" s="460"/>
      <c r="M839" s="460"/>
      <c r="N839" s="220"/>
      <c r="O839" s="220"/>
      <c r="P839" s="220"/>
      <c r="Q839" s="220"/>
      <c r="R839" s="221"/>
      <c r="S839" s="221"/>
      <c r="T839" s="316">
        <f t="shared" si="97"/>
        <v>0</v>
      </c>
      <c r="U839" s="217">
        <f t="shared" si="98"/>
        <v>0</v>
      </c>
      <c r="X839" s="26" t="str">
        <f t="shared" si="99"/>
        <v/>
      </c>
      <c r="Y839" s="21" t="str">
        <f>IF(MATCH(X839,X$300:$X840,0),"Si",1)</f>
        <v>Si</v>
      </c>
      <c r="Z839" s="26">
        <f t="shared" si="100"/>
        <v>0</v>
      </c>
      <c r="AA839" s="26">
        <f t="shared" si="101"/>
        <v>0</v>
      </c>
      <c r="AB839" s="26" t="str">
        <f t="shared" si="102"/>
        <v/>
      </c>
      <c r="AC839" s="26" t="str">
        <f>IF(MATCH(AB839,AB$300:$AB840,0),"0",1)</f>
        <v>0</v>
      </c>
    </row>
    <row r="840" spans="2:29" x14ac:dyDescent="0.35">
      <c r="B840" s="219"/>
      <c r="C840" s="216" t="s">
        <v>1326</v>
      </c>
      <c r="D840" s="216"/>
      <c r="E840" s="220"/>
      <c r="F840" s="220"/>
      <c r="G840" s="220"/>
      <c r="H840" s="220" t="str">
        <f t="shared" si="96"/>
        <v/>
      </c>
      <c r="I840" s="460"/>
      <c r="J840" s="460"/>
      <c r="K840" s="460"/>
      <c r="L840" s="460"/>
      <c r="M840" s="460"/>
      <c r="N840" s="220"/>
      <c r="O840" s="220"/>
      <c r="P840" s="220"/>
      <c r="Q840" s="220"/>
      <c r="R840" s="221"/>
      <c r="S840" s="221"/>
      <c r="T840" s="316">
        <f t="shared" si="97"/>
        <v>0</v>
      </c>
      <c r="U840" s="217">
        <f t="shared" si="98"/>
        <v>0</v>
      </c>
      <c r="X840" s="26" t="str">
        <f t="shared" si="99"/>
        <v/>
      </c>
      <c r="Y840" s="21" t="str">
        <f>IF(MATCH(X840,X$300:$X841,0),"Si",1)</f>
        <v>Si</v>
      </c>
      <c r="Z840" s="26">
        <f t="shared" si="100"/>
        <v>0</v>
      </c>
      <c r="AA840" s="26">
        <f t="shared" si="101"/>
        <v>0</v>
      </c>
      <c r="AB840" s="26" t="str">
        <f t="shared" si="102"/>
        <v/>
      </c>
      <c r="AC840" s="26" t="str">
        <f>IF(MATCH(AB840,AB$300:$AB841,0),"0",1)</f>
        <v>0</v>
      </c>
    </row>
    <row r="841" spans="2:29" x14ac:dyDescent="0.35">
      <c r="B841" s="219"/>
      <c r="C841" s="216" t="s">
        <v>1327</v>
      </c>
      <c r="D841" s="216"/>
      <c r="E841" s="220"/>
      <c r="F841" s="220"/>
      <c r="G841" s="220"/>
      <c r="H841" s="220" t="str">
        <f t="shared" si="96"/>
        <v/>
      </c>
      <c r="I841" s="460"/>
      <c r="J841" s="460"/>
      <c r="K841" s="460"/>
      <c r="L841" s="460"/>
      <c r="M841" s="460"/>
      <c r="N841" s="220"/>
      <c r="O841" s="220"/>
      <c r="P841" s="220"/>
      <c r="Q841" s="220"/>
      <c r="R841" s="221"/>
      <c r="S841" s="221"/>
      <c r="T841" s="316">
        <f t="shared" si="97"/>
        <v>0</v>
      </c>
      <c r="U841" s="217">
        <f t="shared" si="98"/>
        <v>0</v>
      </c>
      <c r="X841" s="26" t="str">
        <f t="shared" si="99"/>
        <v/>
      </c>
      <c r="Y841" s="21" t="str">
        <f>IF(MATCH(X841,X$300:$X842,0),"Si",1)</f>
        <v>Si</v>
      </c>
      <c r="Z841" s="26">
        <f t="shared" si="100"/>
        <v>0</v>
      </c>
      <c r="AA841" s="26">
        <f t="shared" si="101"/>
        <v>0</v>
      </c>
      <c r="AB841" s="26" t="str">
        <f t="shared" si="102"/>
        <v/>
      </c>
      <c r="AC841" s="26" t="str">
        <f>IF(MATCH(AB841,AB$300:$AB842,0),"0",1)</f>
        <v>0</v>
      </c>
    </row>
    <row r="842" spans="2:29" x14ac:dyDescent="0.35">
      <c r="B842" s="219"/>
      <c r="C842" s="216" t="s">
        <v>1328</v>
      </c>
      <c r="D842" s="216"/>
      <c r="E842" s="220"/>
      <c r="F842" s="220"/>
      <c r="G842" s="220"/>
      <c r="H842" s="220" t="str">
        <f t="shared" si="96"/>
        <v/>
      </c>
      <c r="I842" s="460"/>
      <c r="J842" s="460"/>
      <c r="K842" s="460"/>
      <c r="L842" s="460"/>
      <c r="M842" s="460"/>
      <c r="N842" s="220"/>
      <c r="O842" s="220"/>
      <c r="P842" s="220"/>
      <c r="Q842" s="220"/>
      <c r="R842" s="221"/>
      <c r="S842" s="221"/>
      <c r="T842" s="316">
        <f t="shared" si="97"/>
        <v>0</v>
      </c>
      <c r="U842" s="217">
        <f t="shared" si="98"/>
        <v>0</v>
      </c>
      <c r="X842" s="26" t="str">
        <f t="shared" si="99"/>
        <v/>
      </c>
      <c r="Y842" s="21" t="str">
        <f>IF(MATCH(X842,X$300:$X843,0),"Si",1)</f>
        <v>Si</v>
      </c>
      <c r="Z842" s="26">
        <f t="shared" si="100"/>
        <v>0</v>
      </c>
      <c r="AA842" s="26">
        <f t="shared" si="101"/>
        <v>0</v>
      </c>
      <c r="AB842" s="26" t="str">
        <f t="shared" si="102"/>
        <v/>
      </c>
      <c r="AC842" s="26" t="str">
        <f>IF(MATCH(AB842,AB$300:$AB843,0),"0",1)</f>
        <v>0</v>
      </c>
    </row>
    <row r="843" spans="2:29" x14ac:dyDescent="0.35">
      <c r="B843" s="219"/>
      <c r="C843" s="216" t="s">
        <v>1329</v>
      </c>
      <c r="D843" s="216"/>
      <c r="E843" s="220"/>
      <c r="F843" s="220"/>
      <c r="G843" s="220"/>
      <c r="H843" s="220" t="str">
        <f t="shared" si="96"/>
        <v/>
      </c>
      <c r="I843" s="460"/>
      <c r="J843" s="460"/>
      <c r="K843" s="460"/>
      <c r="L843" s="460"/>
      <c r="M843" s="460"/>
      <c r="N843" s="220"/>
      <c r="O843" s="220"/>
      <c r="P843" s="220"/>
      <c r="Q843" s="220"/>
      <c r="R843" s="221"/>
      <c r="S843" s="221"/>
      <c r="T843" s="316">
        <f t="shared" si="97"/>
        <v>0</v>
      </c>
      <c r="U843" s="217">
        <f t="shared" si="98"/>
        <v>0</v>
      </c>
      <c r="X843" s="26" t="str">
        <f t="shared" si="99"/>
        <v/>
      </c>
      <c r="Y843" s="21" t="str">
        <f>IF(MATCH(X843,X$300:$X844,0),"Si",1)</f>
        <v>Si</v>
      </c>
      <c r="Z843" s="26">
        <f t="shared" si="100"/>
        <v>0</v>
      </c>
      <c r="AA843" s="26">
        <f t="shared" si="101"/>
        <v>0</v>
      </c>
      <c r="AB843" s="26" t="str">
        <f t="shared" si="102"/>
        <v/>
      </c>
      <c r="AC843" s="26" t="str">
        <f>IF(MATCH(AB843,AB$300:$AB844,0),"0",1)</f>
        <v>0</v>
      </c>
    </row>
    <row r="844" spans="2:29" x14ac:dyDescent="0.35">
      <c r="B844" s="219"/>
      <c r="C844" s="216" t="s">
        <v>1330</v>
      </c>
      <c r="D844" s="216"/>
      <c r="E844" s="220"/>
      <c r="F844" s="220"/>
      <c r="G844" s="220"/>
      <c r="H844" s="220" t="str">
        <f t="shared" si="96"/>
        <v/>
      </c>
      <c r="I844" s="460"/>
      <c r="J844" s="460"/>
      <c r="K844" s="460"/>
      <c r="L844" s="460"/>
      <c r="M844" s="460"/>
      <c r="N844" s="220"/>
      <c r="O844" s="220"/>
      <c r="P844" s="220"/>
      <c r="Q844" s="220"/>
      <c r="R844" s="221"/>
      <c r="S844" s="221"/>
      <c r="T844" s="316">
        <f t="shared" si="97"/>
        <v>0</v>
      </c>
      <c r="U844" s="217">
        <f t="shared" si="98"/>
        <v>0</v>
      </c>
      <c r="X844" s="26" t="str">
        <f t="shared" si="99"/>
        <v/>
      </c>
      <c r="Y844" s="21" t="str">
        <f>IF(MATCH(X844,X$300:$X845,0),"Si",1)</f>
        <v>Si</v>
      </c>
      <c r="Z844" s="26">
        <f t="shared" si="100"/>
        <v>0</v>
      </c>
      <c r="AA844" s="26">
        <f t="shared" si="101"/>
        <v>0</v>
      </c>
      <c r="AB844" s="26" t="str">
        <f t="shared" si="102"/>
        <v/>
      </c>
      <c r="AC844" s="26" t="str">
        <f>IF(MATCH(AB844,AB$300:$AB845,0),"0",1)</f>
        <v>0</v>
      </c>
    </row>
    <row r="845" spans="2:29" x14ac:dyDescent="0.35">
      <c r="B845" s="219"/>
      <c r="C845" s="216" t="s">
        <v>1331</v>
      </c>
      <c r="D845" s="216"/>
      <c r="E845" s="220"/>
      <c r="F845" s="220"/>
      <c r="G845" s="220"/>
      <c r="H845" s="220" t="str">
        <f t="shared" si="96"/>
        <v/>
      </c>
      <c r="I845" s="460"/>
      <c r="J845" s="460"/>
      <c r="K845" s="460"/>
      <c r="L845" s="460"/>
      <c r="M845" s="460"/>
      <c r="N845" s="220"/>
      <c r="O845" s="220"/>
      <c r="P845" s="220"/>
      <c r="Q845" s="220"/>
      <c r="R845" s="221"/>
      <c r="S845" s="221"/>
      <c r="T845" s="316">
        <f t="shared" si="97"/>
        <v>0</v>
      </c>
      <c r="U845" s="217">
        <f t="shared" si="98"/>
        <v>0</v>
      </c>
      <c r="X845" s="26" t="str">
        <f t="shared" si="99"/>
        <v/>
      </c>
      <c r="Y845" s="21" t="str">
        <f>IF(MATCH(X845,X$300:$X846,0),"Si",1)</f>
        <v>Si</v>
      </c>
      <c r="Z845" s="26">
        <f t="shared" si="100"/>
        <v>0</v>
      </c>
      <c r="AA845" s="26">
        <f t="shared" si="101"/>
        <v>0</v>
      </c>
      <c r="AB845" s="26" t="str">
        <f t="shared" si="102"/>
        <v/>
      </c>
      <c r="AC845" s="26" t="str">
        <f>IF(MATCH(AB845,AB$300:$AB846,0),"0",1)</f>
        <v>0</v>
      </c>
    </row>
    <row r="846" spans="2:29" x14ac:dyDescent="0.35">
      <c r="B846" s="219"/>
      <c r="C846" s="216" t="s">
        <v>1332</v>
      </c>
      <c r="D846" s="216"/>
      <c r="E846" s="220"/>
      <c r="F846" s="220"/>
      <c r="G846" s="220"/>
      <c r="H846" s="220" t="str">
        <f t="shared" si="96"/>
        <v/>
      </c>
      <c r="I846" s="460"/>
      <c r="J846" s="460"/>
      <c r="K846" s="460"/>
      <c r="L846" s="460"/>
      <c r="M846" s="460"/>
      <c r="N846" s="220"/>
      <c r="O846" s="220"/>
      <c r="P846" s="220"/>
      <c r="Q846" s="220"/>
      <c r="R846" s="221"/>
      <c r="S846" s="221"/>
      <c r="T846" s="316">
        <f t="shared" si="97"/>
        <v>0</v>
      </c>
      <c r="U846" s="217">
        <f t="shared" si="98"/>
        <v>0</v>
      </c>
      <c r="X846" s="26" t="str">
        <f t="shared" si="99"/>
        <v/>
      </c>
      <c r="Y846" s="21" t="str">
        <f>IF(MATCH(X846,X$300:$X847,0),"Si",1)</f>
        <v>Si</v>
      </c>
      <c r="Z846" s="26">
        <f t="shared" si="100"/>
        <v>0</v>
      </c>
      <c r="AA846" s="26">
        <f t="shared" si="101"/>
        <v>0</v>
      </c>
      <c r="AB846" s="26" t="str">
        <f t="shared" si="102"/>
        <v/>
      </c>
      <c r="AC846" s="26" t="str">
        <f>IF(MATCH(AB846,AB$300:$AB847,0),"0",1)</f>
        <v>0</v>
      </c>
    </row>
    <row r="847" spans="2:29" x14ac:dyDescent="0.35">
      <c r="B847" s="219"/>
      <c r="C847" s="216" t="s">
        <v>1333</v>
      </c>
      <c r="D847" s="216"/>
      <c r="E847" s="220"/>
      <c r="F847" s="220"/>
      <c r="G847" s="220"/>
      <c r="H847" s="220" t="str">
        <f t="shared" si="96"/>
        <v/>
      </c>
      <c r="I847" s="460"/>
      <c r="J847" s="460"/>
      <c r="K847" s="460"/>
      <c r="L847" s="460"/>
      <c r="M847" s="460"/>
      <c r="N847" s="220"/>
      <c r="O847" s="220"/>
      <c r="P847" s="220"/>
      <c r="Q847" s="220"/>
      <c r="R847" s="221"/>
      <c r="S847" s="221"/>
      <c r="T847" s="316">
        <f t="shared" si="97"/>
        <v>0</v>
      </c>
      <c r="U847" s="217">
        <f t="shared" si="98"/>
        <v>0</v>
      </c>
      <c r="X847" s="26" t="str">
        <f t="shared" si="99"/>
        <v/>
      </c>
      <c r="Y847" s="21" t="str">
        <f>IF(MATCH(X847,X$300:$X848,0),"Si",1)</f>
        <v>Si</v>
      </c>
      <c r="Z847" s="26">
        <f t="shared" si="100"/>
        <v>0</v>
      </c>
      <c r="AA847" s="26">
        <f t="shared" si="101"/>
        <v>0</v>
      </c>
      <c r="AB847" s="26" t="str">
        <f t="shared" si="102"/>
        <v/>
      </c>
      <c r="AC847" s="26" t="str">
        <f>IF(MATCH(AB847,AB$300:$AB848,0),"0",1)</f>
        <v>0</v>
      </c>
    </row>
    <row r="848" spans="2:29" x14ac:dyDescent="0.35">
      <c r="B848" s="219"/>
      <c r="C848" s="216" t="s">
        <v>1334</v>
      </c>
      <c r="D848" s="216"/>
      <c r="E848" s="220"/>
      <c r="F848" s="220"/>
      <c r="G848" s="220"/>
      <c r="H848" s="220" t="str">
        <f t="shared" si="96"/>
        <v/>
      </c>
      <c r="I848" s="460"/>
      <c r="J848" s="460"/>
      <c r="K848" s="460"/>
      <c r="L848" s="460"/>
      <c r="M848" s="460"/>
      <c r="N848" s="220"/>
      <c r="O848" s="220"/>
      <c r="P848" s="220"/>
      <c r="Q848" s="220"/>
      <c r="R848" s="221"/>
      <c r="S848" s="221"/>
      <c r="T848" s="316">
        <f t="shared" si="97"/>
        <v>0</v>
      </c>
      <c r="U848" s="217">
        <f t="shared" si="98"/>
        <v>0</v>
      </c>
      <c r="X848" s="26" t="str">
        <f t="shared" si="99"/>
        <v/>
      </c>
      <c r="Y848" s="21" t="str">
        <f>IF(MATCH(X848,X$300:$X849,0),"Si",1)</f>
        <v>Si</v>
      </c>
      <c r="Z848" s="26">
        <f t="shared" si="100"/>
        <v>0</v>
      </c>
      <c r="AA848" s="26">
        <f t="shared" si="101"/>
        <v>0</v>
      </c>
      <c r="AB848" s="26" t="str">
        <f t="shared" si="102"/>
        <v/>
      </c>
      <c r="AC848" s="26" t="str">
        <f>IF(MATCH(AB848,AB$300:$AB849,0),"0",1)</f>
        <v>0</v>
      </c>
    </row>
    <row r="849" spans="2:29" x14ac:dyDescent="0.35">
      <c r="B849" s="219"/>
      <c r="C849" s="216" t="s">
        <v>1335</v>
      </c>
      <c r="D849" s="216"/>
      <c r="E849" s="220"/>
      <c r="F849" s="220"/>
      <c r="G849" s="220"/>
      <c r="H849" s="220" t="str">
        <f t="shared" si="96"/>
        <v/>
      </c>
      <c r="I849" s="460"/>
      <c r="J849" s="460"/>
      <c r="K849" s="460"/>
      <c r="L849" s="460"/>
      <c r="M849" s="460"/>
      <c r="N849" s="220"/>
      <c r="O849" s="220"/>
      <c r="P849" s="220"/>
      <c r="Q849" s="220"/>
      <c r="R849" s="221"/>
      <c r="S849" s="221"/>
      <c r="T849" s="316">
        <f t="shared" si="97"/>
        <v>0</v>
      </c>
      <c r="U849" s="217">
        <f t="shared" si="98"/>
        <v>0</v>
      </c>
      <c r="X849" s="26" t="str">
        <f t="shared" si="99"/>
        <v/>
      </c>
      <c r="Y849" s="21" t="str">
        <f>IF(MATCH(X849,X$300:$X850,0),"Si",1)</f>
        <v>Si</v>
      </c>
      <c r="Z849" s="26">
        <f t="shared" si="100"/>
        <v>0</v>
      </c>
      <c r="AA849" s="26">
        <f t="shared" si="101"/>
        <v>0</v>
      </c>
      <c r="AB849" s="26" t="str">
        <f t="shared" si="102"/>
        <v/>
      </c>
      <c r="AC849" s="26" t="str">
        <f>IF(MATCH(AB849,AB$300:$AB850,0),"0",1)</f>
        <v>0</v>
      </c>
    </row>
    <row r="850" spans="2:29" x14ac:dyDescent="0.35">
      <c r="B850" s="219"/>
      <c r="C850" s="216" t="s">
        <v>1336</v>
      </c>
      <c r="D850" s="216"/>
      <c r="E850" s="220"/>
      <c r="F850" s="220"/>
      <c r="G850" s="220"/>
      <c r="H850" s="220" t="str">
        <f t="shared" ref="H850:H913" si="103">IF(G850=0,"",IF(G850&lt;&gt;"Error","No",""))</f>
        <v/>
      </c>
      <c r="I850" s="460"/>
      <c r="J850" s="460"/>
      <c r="K850" s="460"/>
      <c r="L850" s="460"/>
      <c r="M850" s="460"/>
      <c r="N850" s="220"/>
      <c r="O850" s="220"/>
      <c r="P850" s="220"/>
      <c r="Q850" s="220"/>
      <c r="R850" s="221"/>
      <c r="S850" s="221"/>
      <c r="T850" s="316">
        <f t="shared" si="97"/>
        <v>0</v>
      </c>
      <c r="U850" s="217">
        <f t="shared" si="98"/>
        <v>0</v>
      </c>
      <c r="X850" s="26" t="str">
        <f t="shared" si="99"/>
        <v/>
      </c>
      <c r="Y850" s="21" t="str">
        <f>IF(MATCH(X850,X$300:$X851,0),"Si",1)</f>
        <v>Si</v>
      </c>
      <c r="Z850" s="26">
        <f t="shared" si="100"/>
        <v>0</v>
      </c>
      <c r="AA850" s="26">
        <f t="shared" si="101"/>
        <v>0</v>
      </c>
      <c r="AB850" s="26" t="str">
        <f t="shared" si="102"/>
        <v/>
      </c>
      <c r="AC850" s="26" t="str">
        <f>IF(MATCH(AB850,AB$300:$AB851,0),"0",1)</f>
        <v>0</v>
      </c>
    </row>
    <row r="851" spans="2:29" x14ac:dyDescent="0.35">
      <c r="B851" s="219"/>
      <c r="C851" s="216" t="s">
        <v>1337</v>
      </c>
      <c r="D851" s="216"/>
      <c r="E851" s="220"/>
      <c r="F851" s="220"/>
      <c r="G851" s="220"/>
      <c r="H851" s="220" t="str">
        <f t="shared" si="103"/>
        <v/>
      </c>
      <c r="I851" s="460"/>
      <c r="J851" s="460"/>
      <c r="K851" s="460"/>
      <c r="L851" s="460"/>
      <c r="M851" s="460"/>
      <c r="N851" s="220"/>
      <c r="O851" s="220"/>
      <c r="P851" s="220"/>
      <c r="Q851" s="220"/>
      <c r="R851" s="221"/>
      <c r="S851" s="221"/>
      <c r="T851" s="316">
        <f t="shared" si="97"/>
        <v>0</v>
      </c>
      <c r="U851" s="217">
        <f t="shared" si="98"/>
        <v>0</v>
      </c>
      <c r="X851" s="26" t="str">
        <f t="shared" si="99"/>
        <v/>
      </c>
      <c r="Y851" s="21" t="str">
        <f>IF(MATCH(X851,X$300:$X852,0),"Si",1)</f>
        <v>Si</v>
      </c>
      <c r="Z851" s="26">
        <f t="shared" si="100"/>
        <v>0</v>
      </c>
      <c r="AA851" s="26">
        <f t="shared" si="101"/>
        <v>0</v>
      </c>
      <c r="AB851" s="26" t="str">
        <f t="shared" si="102"/>
        <v/>
      </c>
      <c r="AC851" s="26" t="str">
        <f>IF(MATCH(AB851,AB$300:$AB852,0),"0",1)</f>
        <v>0</v>
      </c>
    </row>
    <row r="852" spans="2:29" x14ac:dyDescent="0.35">
      <c r="B852" s="219"/>
      <c r="C852" s="216" t="s">
        <v>1338</v>
      </c>
      <c r="D852" s="216"/>
      <c r="E852" s="220"/>
      <c r="F852" s="220"/>
      <c r="G852" s="220"/>
      <c r="H852" s="220" t="str">
        <f t="shared" si="103"/>
        <v/>
      </c>
      <c r="I852" s="460"/>
      <c r="J852" s="460"/>
      <c r="K852" s="460"/>
      <c r="L852" s="460"/>
      <c r="M852" s="460"/>
      <c r="N852" s="220"/>
      <c r="O852" s="220"/>
      <c r="P852" s="220"/>
      <c r="Q852" s="220"/>
      <c r="R852" s="221"/>
      <c r="S852" s="221"/>
      <c r="T852" s="316">
        <f t="shared" si="97"/>
        <v>0</v>
      </c>
      <c r="U852" s="217">
        <f t="shared" si="98"/>
        <v>0</v>
      </c>
      <c r="X852" s="26" t="str">
        <f t="shared" si="99"/>
        <v/>
      </c>
      <c r="Y852" s="21" t="str">
        <f>IF(MATCH(X852,X$300:$X853,0),"Si",1)</f>
        <v>Si</v>
      </c>
      <c r="Z852" s="26">
        <f t="shared" si="100"/>
        <v>0</v>
      </c>
      <c r="AA852" s="26">
        <f t="shared" si="101"/>
        <v>0</v>
      </c>
      <c r="AB852" s="26" t="str">
        <f t="shared" si="102"/>
        <v/>
      </c>
      <c r="AC852" s="26" t="str">
        <f>IF(MATCH(AB852,AB$300:$AB853,0),"0",1)</f>
        <v>0</v>
      </c>
    </row>
    <row r="853" spans="2:29" x14ac:dyDescent="0.35">
      <c r="B853" s="219"/>
      <c r="C853" s="216" t="s">
        <v>1339</v>
      </c>
      <c r="D853" s="216"/>
      <c r="E853" s="220"/>
      <c r="F853" s="220"/>
      <c r="G853" s="220"/>
      <c r="H853" s="220" t="str">
        <f t="shared" si="103"/>
        <v/>
      </c>
      <c r="I853" s="460"/>
      <c r="J853" s="460"/>
      <c r="K853" s="460"/>
      <c r="L853" s="460"/>
      <c r="M853" s="460"/>
      <c r="N853" s="220"/>
      <c r="O853" s="220"/>
      <c r="P853" s="220"/>
      <c r="Q853" s="220"/>
      <c r="R853" s="221"/>
      <c r="S853" s="221"/>
      <c r="T853" s="316">
        <f t="shared" si="97"/>
        <v>0</v>
      </c>
      <c r="U853" s="217">
        <f t="shared" si="98"/>
        <v>0</v>
      </c>
      <c r="X853" s="26" t="str">
        <f t="shared" si="99"/>
        <v/>
      </c>
      <c r="Y853" s="21" t="str">
        <f>IF(MATCH(X853,X$300:$X854,0),"Si",1)</f>
        <v>Si</v>
      </c>
      <c r="Z853" s="26">
        <f t="shared" si="100"/>
        <v>0</v>
      </c>
      <c r="AA853" s="26">
        <f t="shared" si="101"/>
        <v>0</v>
      </c>
      <c r="AB853" s="26" t="str">
        <f t="shared" si="102"/>
        <v/>
      </c>
      <c r="AC853" s="26" t="str">
        <f>IF(MATCH(AB853,AB$300:$AB854,0),"0",1)</f>
        <v>0</v>
      </c>
    </row>
    <row r="854" spans="2:29" x14ac:dyDescent="0.35">
      <c r="B854" s="219"/>
      <c r="C854" s="216" t="s">
        <v>1340</v>
      </c>
      <c r="D854" s="216"/>
      <c r="E854" s="220"/>
      <c r="F854" s="220"/>
      <c r="G854" s="220"/>
      <c r="H854" s="220" t="str">
        <f t="shared" si="103"/>
        <v/>
      </c>
      <c r="I854" s="460"/>
      <c r="J854" s="460"/>
      <c r="K854" s="460"/>
      <c r="L854" s="460"/>
      <c r="M854" s="460"/>
      <c r="N854" s="220"/>
      <c r="O854" s="220"/>
      <c r="P854" s="220"/>
      <c r="Q854" s="220"/>
      <c r="R854" s="221"/>
      <c r="S854" s="221"/>
      <c r="T854" s="316">
        <f t="shared" si="97"/>
        <v>0</v>
      </c>
      <c r="U854" s="217">
        <f t="shared" si="98"/>
        <v>0</v>
      </c>
      <c r="X854" s="26" t="str">
        <f t="shared" si="99"/>
        <v/>
      </c>
      <c r="Y854" s="21" t="str">
        <f>IF(MATCH(X854,X$300:$X855,0),"Si",1)</f>
        <v>Si</v>
      </c>
      <c r="Z854" s="26">
        <f t="shared" si="100"/>
        <v>0</v>
      </c>
      <c r="AA854" s="26">
        <f t="shared" si="101"/>
        <v>0</v>
      </c>
      <c r="AB854" s="26" t="str">
        <f t="shared" si="102"/>
        <v/>
      </c>
      <c r="AC854" s="26" t="str">
        <f>IF(MATCH(AB854,AB$300:$AB855,0),"0",1)</f>
        <v>0</v>
      </c>
    </row>
    <row r="855" spans="2:29" x14ac:dyDescent="0.35">
      <c r="B855" s="219"/>
      <c r="C855" s="216" t="s">
        <v>1341</v>
      </c>
      <c r="D855" s="216"/>
      <c r="E855" s="220"/>
      <c r="F855" s="220"/>
      <c r="G855" s="220"/>
      <c r="H855" s="220" t="str">
        <f t="shared" si="103"/>
        <v/>
      </c>
      <c r="I855" s="460"/>
      <c r="J855" s="460"/>
      <c r="K855" s="460"/>
      <c r="L855" s="460"/>
      <c r="M855" s="460"/>
      <c r="N855" s="220"/>
      <c r="O855" s="220"/>
      <c r="P855" s="220"/>
      <c r="Q855" s="220"/>
      <c r="R855" s="221"/>
      <c r="S855" s="221"/>
      <c r="T855" s="316">
        <f t="shared" si="97"/>
        <v>0</v>
      </c>
      <c r="U855" s="217">
        <f t="shared" si="98"/>
        <v>0</v>
      </c>
      <c r="X855" s="26" t="str">
        <f t="shared" si="99"/>
        <v/>
      </c>
      <c r="Y855" s="21" t="str">
        <f>IF(MATCH(X855,X$300:$X856,0),"Si",1)</f>
        <v>Si</v>
      </c>
      <c r="Z855" s="26">
        <f t="shared" si="100"/>
        <v>0</v>
      </c>
      <c r="AA855" s="26">
        <f t="shared" si="101"/>
        <v>0</v>
      </c>
      <c r="AB855" s="26" t="str">
        <f t="shared" si="102"/>
        <v/>
      </c>
      <c r="AC855" s="26" t="str">
        <f>IF(MATCH(AB855,AB$300:$AB856,0),"0",1)</f>
        <v>0</v>
      </c>
    </row>
    <row r="856" spans="2:29" x14ac:dyDescent="0.35">
      <c r="B856" s="219"/>
      <c r="C856" s="216" t="s">
        <v>1342</v>
      </c>
      <c r="D856" s="216"/>
      <c r="E856" s="220"/>
      <c r="F856" s="220"/>
      <c r="G856" s="220"/>
      <c r="H856" s="220" t="str">
        <f t="shared" si="103"/>
        <v/>
      </c>
      <c r="I856" s="460"/>
      <c r="J856" s="460"/>
      <c r="K856" s="460"/>
      <c r="L856" s="460"/>
      <c r="M856" s="460"/>
      <c r="N856" s="220"/>
      <c r="O856" s="220"/>
      <c r="P856" s="220"/>
      <c r="Q856" s="220"/>
      <c r="R856" s="221"/>
      <c r="S856" s="221"/>
      <c r="T856" s="316">
        <f t="shared" si="97"/>
        <v>0</v>
      </c>
      <c r="U856" s="217">
        <f t="shared" si="98"/>
        <v>0</v>
      </c>
      <c r="X856" s="26" t="str">
        <f t="shared" si="99"/>
        <v/>
      </c>
      <c r="Y856" s="21" t="str">
        <f>IF(MATCH(X856,X$300:$X857,0),"Si",1)</f>
        <v>Si</v>
      </c>
      <c r="Z856" s="26">
        <f t="shared" si="100"/>
        <v>0</v>
      </c>
      <c r="AA856" s="26">
        <f t="shared" si="101"/>
        <v>0</v>
      </c>
      <c r="AB856" s="26" t="str">
        <f t="shared" si="102"/>
        <v/>
      </c>
      <c r="AC856" s="26" t="str">
        <f>IF(MATCH(AB856,AB$300:$AB857,0),"0",1)</f>
        <v>0</v>
      </c>
    </row>
    <row r="857" spans="2:29" x14ac:dyDescent="0.35">
      <c r="B857" s="219"/>
      <c r="C857" s="216" t="s">
        <v>1343</v>
      </c>
      <c r="D857" s="216"/>
      <c r="E857" s="220"/>
      <c r="F857" s="220"/>
      <c r="G857" s="220"/>
      <c r="H857" s="220" t="str">
        <f t="shared" si="103"/>
        <v/>
      </c>
      <c r="I857" s="460"/>
      <c r="J857" s="460"/>
      <c r="K857" s="460"/>
      <c r="L857" s="460"/>
      <c r="M857" s="460"/>
      <c r="N857" s="220"/>
      <c r="O857" s="220"/>
      <c r="P857" s="220"/>
      <c r="Q857" s="220"/>
      <c r="R857" s="221"/>
      <c r="S857" s="221"/>
      <c r="T857" s="316">
        <f t="shared" si="97"/>
        <v>0</v>
      </c>
      <c r="U857" s="217">
        <f t="shared" si="98"/>
        <v>0</v>
      </c>
      <c r="X857" s="26" t="str">
        <f t="shared" si="99"/>
        <v/>
      </c>
      <c r="Y857" s="21" t="str">
        <f>IF(MATCH(X857,X$300:$X858,0),"Si",1)</f>
        <v>Si</v>
      </c>
      <c r="Z857" s="26">
        <f t="shared" si="100"/>
        <v>0</v>
      </c>
      <c r="AA857" s="26">
        <f t="shared" si="101"/>
        <v>0</v>
      </c>
      <c r="AB857" s="26" t="str">
        <f t="shared" si="102"/>
        <v/>
      </c>
      <c r="AC857" s="26" t="str">
        <f>IF(MATCH(AB857,AB$300:$AB858,0),"0",1)</f>
        <v>0</v>
      </c>
    </row>
    <row r="858" spans="2:29" x14ac:dyDescent="0.35">
      <c r="B858" s="219"/>
      <c r="C858" s="216" t="s">
        <v>1344</v>
      </c>
      <c r="D858" s="216"/>
      <c r="E858" s="220"/>
      <c r="F858" s="220"/>
      <c r="G858" s="220"/>
      <c r="H858" s="220" t="str">
        <f t="shared" si="103"/>
        <v/>
      </c>
      <c r="I858" s="460"/>
      <c r="J858" s="460"/>
      <c r="K858" s="460"/>
      <c r="L858" s="460"/>
      <c r="M858" s="460"/>
      <c r="N858" s="220"/>
      <c r="O858" s="220"/>
      <c r="P858" s="220"/>
      <c r="Q858" s="220"/>
      <c r="R858" s="221"/>
      <c r="S858" s="221"/>
      <c r="T858" s="316">
        <f t="shared" si="97"/>
        <v>0</v>
      </c>
      <c r="U858" s="217">
        <f t="shared" si="98"/>
        <v>0</v>
      </c>
      <c r="X858" s="26" t="str">
        <f t="shared" si="99"/>
        <v/>
      </c>
      <c r="Y858" s="21" t="str">
        <f>IF(MATCH(X858,X$300:$X859,0),"Si",1)</f>
        <v>Si</v>
      </c>
      <c r="Z858" s="26">
        <f t="shared" si="100"/>
        <v>0</v>
      </c>
      <c r="AA858" s="26">
        <f t="shared" si="101"/>
        <v>0</v>
      </c>
      <c r="AB858" s="26" t="str">
        <f t="shared" si="102"/>
        <v/>
      </c>
      <c r="AC858" s="26" t="str">
        <f>IF(MATCH(AB858,AB$300:$AB859,0),"0",1)</f>
        <v>0</v>
      </c>
    </row>
    <row r="859" spans="2:29" x14ac:dyDescent="0.35">
      <c r="B859" s="219"/>
      <c r="C859" s="216" t="s">
        <v>1345</v>
      </c>
      <c r="D859" s="216"/>
      <c r="E859" s="220"/>
      <c r="F859" s="220"/>
      <c r="G859" s="220"/>
      <c r="H859" s="220" t="str">
        <f t="shared" si="103"/>
        <v/>
      </c>
      <c r="I859" s="460"/>
      <c r="J859" s="460"/>
      <c r="K859" s="460"/>
      <c r="L859" s="460"/>
      <c r="M859" s="460"/>
      <c r="N859" s="220"/>
      <c r="O859" s="220"/>
      <c r="P859" s="220"/>
      <c r="Q859" s="220"/>
      <c r="R859" s="221"/>
      <c r="S859" s="221"/>
      <c r="T859" s="316">
        <f t="shared" ref="T859:T922" si="104">IF(S859=0,0,IF(S859&lt;R859,"Error en fecha solución",IFERROR(AC859,NETWORKDAYS(R859,S859)-1)))</f>
        <v>0</v>
      </c>
      <c r="U859" s="217">
        <f t="shared" ref="U859:U922" si="105">IFERROR(T859*8,"Error")</f>
        <v>0</v>
      </c>
      <c r="X859" s="26" t="str">
        <f t="shared" ref="X859:X922" si="106">CONCATENATE(H859,O859,R859,S859)</f>
        <v/>
      </c>
      <c r="Y859" s="21" t="str">
        <f>IF(MATCH(X859,X$300:$X860,0),"Si",1)</f>
        <v>Si</v>
      </c>
      <c r="Z859" s="26">
        <f t="shared" ref="Z859:Z922" si="107">IF(S859=0,0,IF(S859&lt;R859,"Error en fecha solución",IF(Y859="Si",0,IFERROR(Y859,NETWORKDAYS(R859,S859)-1))))</f>
        <v>0</v>
      </c>
      <c r="AA859" s="26">
        <f t="shared" ref="AA859:AA922" si="108">IF(S859=0,0,IF(S859&lt;R859,"Error en fecha solución",IFERROR(Z859,NETWORKDAYS(R859,S859)-1)))</f>
        <v>0</v>
      </c>
      <c r="AB859" s="26" t="str">
        <f t="shared" ref="AB859:AB922" si="109">CONCATENATE(R859,S859)</f>
        <v/>
      </c>
      <c r="AC859" s="26" t="str">
        <f>IF(MATCH(AB859,AB$300:$AB860,0),"0",1)</f>
        <v>0</v>
      </c>
    </row>
    <row r="860" spans="2:29" x14ac:dyDescent="0.35">
      <c r="B860" s="219"/>
      <c r="C860" s="216" t="s">
        <v>1346</v>
      </c>
      <c r="D860" s="216"/>
      <c r="E860" s="220"/>
      <c r="F860" s="220"/>
      <c r="G860" s="220"/>
      <c r="H860" s="220" t="str">
        <f t="shared" si="103"/>
        <v/>
      </c>
      <c r="I860" s="460"/>
      <c r="J860" s="460"/>
      <c r="K860" s="460"/>
      <c r="L860" s="460"/>
      <c r="M860" s="460"/>
      <c r="N860" s="220"/>
      <c r="O860" s="220"/>
      <c r="P860" s="220"/>
      <c r="Q860" s="220"/>
      <c r="R860" s="221"/>
      <c r="S860" s="221"/>
      <c r="T860" s="316">
        <f t="shared" si="104"/>
        <v>0</v>
      </c>
      <c r="U860" s="217">
        <f t="shared" si="105"/>
        <v>0</v>
      </c>
      <c r="X860" s="26" t="str">
        <f t="shared" si="106"/>
        <v/>
      </c>
      <c r="Y860" s="21" t="str">
        <f>IF(MATCH(X860,X$300:$X861,0),"Si",1)</f>
        <v>Si</v>
      </c>
      <c r="Z860" s="26">
        <f t="shared" si="107"/>
        <v>0</v>
      </c>
      <c r="AA860" s="26">
        <f t="shared" si="108"/>
        <v>0</v>
      </c>
      <c r="AB860" s="26" t="str">
        <f t="shared" si="109"/>
        <v/>
      </c>
      <c r="AC860" s="26" t="str">
        <f>IF(MATCH(AB860,AB$300:$AB861,0),"0",1)</f>
        <v>0</v>
      </c>
    </row>
    <row r="861" spans="2:29" x14ac:dyDescent="0.35">
      <c r="B861" s="219"/>
      <c r="C861" s="216" t="s">
        <v>1347</v>
      </c>
      <c r="D861" s="216"/>
      <c r="E861" s="220"/>
      <c r="F861" s="220"/>
      <c r="G861" s="220"/>
      <c r="H861" s="220" t="str">
        <f t="shared" si="103"/>
        <v/>
      </c>
      <c r="I861" s="460"/>
      <c r="J861" s="460"/>
      <c r="K861" s="460"/>
      <c r="L861" s="460"/>
      <c r="M861" s="460"/>
      <c r="N861" s="220"/>
      <c r="O861" s="220"/>
      <c r="P861" s="220"/>
      <c r="Q861" s="220"/>
      <c r="R861" s="221"/>
      <c r="S861" s="221"/>
      <c r="T861" s="316">
        <f t="shared" si="104"/>
        <v>0</v>
      </c>
      <c r="U861" s="217">
        <f t="shared" si="105"/>
        <v>0</v>
      </c>
      <c r="X861" s="26" t="str">
        <f t="shared" si="106"/>
        <v/>
      </c>
      <c r="Y861" s="21" t="str">
        <f>IF(MATCH(X861,X$300:$X862,0),"Si",1)</f>
        <v>Si</v>
      </c>
      <c r="Z861" s="26">
        <f t="shared" si="107"/>
        <v>0</v>
      </c>
      <c r="AA861" s="26">
        <f t="shared" si="108"/>
        <v>0</v>
      </c>
      <c r="AB861" s="26" t="str">
        <f t="shared" si="109"/>
        <v/>
      </c>
      <c r="AC861" s="26" t="str">
        <f>IF(MATCH(AB861,AB$300:$AB862,0),"0",1)</f>
        <v>0</v>
      </c>
    </row>
    <row r="862" spans="2:29" x14ac:dyDescent="0.35">
      <c r="B862" s="219"/>
      <c r="C862" s="216" t="s">
        <v>1348</v>
      </c>
      <c r="D862" s="216"/>
      <c r="E862" s="220"/>
      <c r="F862" s="220"/>
      <c r="G862" s="220"/>
      <c r="H862" s="220" t="str">
        <f t="shared" si="103"/>
        <v/>
      </c>
      <c r="I862" s="460"/>
      <c r="J862" s="460"/>
      <c r="K862" s="460"/>
      <c r="L862" s="460"/>
      <c r="M862" s="460"/>
      <c r="N862" s="220"/>
      <c r="O862" s="220"/>
      <c r="P862" s="220"/>
      <c r="Q862" s="220"/>
      <c r="R862" s="221"/>
      <c r="S862" s="221"/>
      <c r="T862" s="316">
        <f t="shared" si="104"/>
        <v>0</v>
      </c>
      <c r="U862" s="217">
        <f t="shared" si="105"/>
        <v>0</v>
      </c>
      <c r="X862" s="26" t="str">
        <f t="shared" si="106"/>
        <v/>
      </c>
      <c r="Y862" s="21" t="str">
        <f>IF(MATCH(X862,X$300:$X863,0),"Si",1)</f>
        <v>Si</v>
      </c>
      <c r="Z862" s="26">
        <f t="shared" si="107"/>
        <v>0</v>
      </c>
      <c r="AA862" s="26">
        <f t="shared" si="108"/>
        <v>0</v>
      </c>
      <c r="AB862" s="26" t="str">
        <f t="shared" si="109"/>
        <v/>
      </c>
      <c r="AC862" s="26" t="str">
        <f>IF(MATCH(AB862,AB$300:$AB863,0),"0",1)</f>
        <v>0</v>
      </c>
    </row>
    <row r="863" spans="2:29" x14ac:dyDescent="0.35">
      <c r="B863" s="219"/>
      <c r="C863" s="216" t="s">
        <v>1349</v>
      </c>
      <c r="D863" s="216"/>
      <c r="E863" s="220"/>
      <c r="F863" s="220"/>
      <c r="G863" s="220"/>
      <c r="H863" s="220" t="str">
        <f t="shared" si="103"/>
        <v/>
      </c>
      <c r="I863" s="460"/>
      <c r="J863" s="460"/>
      <c r="K863" s="460"/>
      <c r="L863" s="460"/>
      <c r="M863" s="460"/>
      <c r="N863" s="220"/>
      <c r="O863" s="220"/>
      <c r="P863" s="220"/>
      <c r="Q863" s="220"/>
      <c r="R863" s="221"/>
      <c r="S863" s="221"/>
      <c r="T863" s="316">
        <f t="shared" si="104"/>
        <v>0</v>
      </c>
      <c r="U863" s="217">
        <f t="shared" si="105"/>
        <v>0</v>
      </c>
      <c r="X863" s="26" t="str">
        <f t="shared" si="106"/>
        <v/>
      </c>
      <c r="Y863" s="21" t="str">
        <f>IF(MATCH(X863,X$300:$X864,0),"Si",1)</f>
        <v>Si</v>
      </c>
      <c r="Z863" s="26">
        <f t="shared" si="107"/>
        <v>0</v>
      </c>
      <c r="AA863" s="26">
        <f t="shared" si="108"/>
        <v>0</v>
      </c>
      <c r="AB863" s="26" t="str">
        <f t="shared" si="109"/>
        <v/>
      </c>
      <c r="AC863" s="26" t="str">
        <f>IF(MATCH(AB863,AB$300:$AB864,0),"0",1)</f>
        <v>0</v>
      </c>
    </row>
    <row r="864" spans="2:29" x14ac:dyDescent="0.35">
      <c r="B864" s="219"/>
      <c r="C864" s="216" t="s">
        <v>1350</v>
      </c>
      <c r="D864" s="216"/>
      <c r="E864" s="220"/>
      <c r="F864" s="220"/>
      <c r="G864" s="220"/>
      <c r="H864" s="220" t="str">
        <f t="shared" si="103"/>
        <v/>
      </c>
      <c r="I864" s="460"/>
      <c r="J864" s="460"/>
      <c r="K864" s="460"/>
      <c r="L864" s="460"/>
      <c r="M864" s="460"/>
      <c r="N864" s="220"/>
      <c r="O864" s="220"/>
      <c r="P864" s="220"/>
      <c r="Q864" s="220"/>
      <c r="R864" s="221"/>
      <c r="S864" s="221"/>
      <c r="T864" s="316">
        <f t="shared" si="104"/>
        <v>0</v>
      </c>
      <c r="U864" s="217">
        <f t="shared" si="105"/>
        <v>0</v>
      </c>
      <c r="X864" s="26" t="str">
        <f t="shared" si="106"/>
        <v/>
      </c>
      <c r="Y864" s="21" t="str">
        <f>IF(MATCH(X864,X$300:$X865,0),"Si",1)</f>
        <v>Si</v>
      </c>
      <c r="Z864" s="26">
        <f t="shared" si="107"/>
        <v>0</v>
      </c>
      <c r="AA864" s="26">
        <f t="shared" si="108"/>
        <v>0</v>
      </c>
      <c r="AB864" s="26" t="str">
        <f t="shared" si="109"/>
        <v/>
      </c>
      <c r="AC864" s="26" t="str">
        <f>IF(MATCH(AB864,AB$300:$AB865,0),"0",1)</f>
        <v>0</v>
      </c>
    </row>
    <row r="865" spans="2:29" x14ac:dyDescent="0.35">
      <c r="B865" s="219"/>
      <c r="C865" s="216" t="s">
        <v>1351</v>
      </c>
      <c r="D865" s="216"/>
      <c r="E865" s="220"/>
      <c r="F865" s="220"/>
      <c r="G865" s="220"/>
      <c r="H865" s="220" t="str">
        <f t="shared" si="103"/>
        <v/>
      </c>
      <c r="I865" s="460"/>
      <c r="J865" s="460"/>
      <c r="K865" s="460"/>
      <c r="L865" s="460"/>
      <c r="M865" s="460"/>
      <c r="N865" s="220"/>
      <c r="O865" s="220"/>
      <c r="P865" s="220"/>
      <c r="Q865" s="220"/>
      <c r="R865" s="221"/>
      <c r="S865" s="221"/>
      <c r="T865" s="316">
        <f t="shared" si="104"/>
        <v>0</v>
      </c>
      <c r="U865" s="217">
        <f t="shared" si="105"/>
        <v>0</v>
      </c>
      <c r="X865" s="26" t="str">
        <f t="shared" si="106"/>
        <v/>
      </c>
      <c r="Y865" s="21" t="str">
        <f>IF(MATCH(X865,X$300:$X866,0),"Si",1)</f>
        <v>Si</v>
      </c>
      <c r="Z865" s="26">
        <f t="shared" si="107"/>
        <v>0</v>
      </c>
      <c r="AA865" s="26">
        <f t="shared" si="108"/>
        <v>0</v>
      </c>
      <c r="AB865" s="26" t="str">
        <f t="shared" si="109"/>
        <v/>
      </c>
      <c r="AC865" s="26" t="str">
        <f>IF(MATCH(AB865,AB$300:$AB866,0),"0",1)</f>
        <v>0</v>
      </c>
    </row>
    <row r="866" spans="2:29" x14ac:dyDescent="0.35">
      <c r="B866" s="219"/>
      <c r="C866" s="216" t="s">
        <v>1352</v>
      </c>
      <c r="D866" s="216"/>
      <c r="E866" s="220"/>
      <c r="F866" s="220"/>
      <c r="G866" s="220"/>
      <c r="H866" s="220" t="str">
        <f t="shared" si="103"/>
        <v/>
      </c>
      <c r="I866" s="460"/>
      <c r="J866" s="460"/>
      <c r="K866" s="460"/>
      <c r="L866" s="460"/>
      <c r="M866" s="460"/>
      <c r="N866" s="220"/>
      <c r="O866" s="220"/>
      <c r="P866" s="220"/>
      <c r="Q866" s="220"/>
      <c r="R866" s="221"/>
      <c r="S866" s="221"/>
      <c r="T866" s="316">
        <f t="shared" si="104"/>
        <v>0</v>
      </c>
      <c r="U866" s="217">
        <f t="shared" si="105"/>
        <v>0</v>
      </c>
      <c r="X866" s="26" t="str">
        <f t="shared" si="106"/>
        <v/>
      </c>
      <c r="Y866" s="21" t="str">
        <f>IF(MATCH(X866,X$300:$X867,0),"Si",1)</f>
        <v>Si</v>
      </c>
      <c r="Z866" s="26">
        <f t="shared" si="107"/>
        <v>0</v>
      </c>
      <c r="AA866" s="26">
        <f t="shared" si="108"/>
        <v>0</v>
      </c>
      <c r="AB866" s="26" t="str">
        <f t="shared" si="109"/>
        <v/>
      </c>
      <c r="AC866" s="26" t="str">
        <f>IF(MATCH(AB866,AB$300:$AB867,0),"0",1)</f>
        <v>0</v>
      </c>
    </row>
    <row r="867" spans="2:29" x14ac:dyDescent="0.35">
      <c r="B867" s="219"/>
      <c r="C867" s="216" t="s">
        <v>1353</v>
      </c>
      <c r="D867" s="216"/>
      <c r="E867" s="220"/>
      <c r="F867" s="220"/>
      <c r="G867" s="220"/>
      <c r="H867" s="220" t="str">
        <f t="shared" si="103"/>
        <v/>
      </c>
      <c r="I867" s="460"/>
      <c r="J867" s="460"/>
      <c r="K867" s="460"/>
      <c r="L867" s="460"/>
      <c r="M867" s="460"/>
      <c r="N867" s="220"/>
      <c r="O867" s="220"/>
      <c r="P867" s="220"/>
      <c r="Q867" s="220"/>
      <c r="R867" s="221"/>
      <c r="S867" s="221"/>
      <c r="T867" s="316">
        <f t="shared" si="104"/>
        <v>0</v>
      </c>
      <c r="U867" s="217">
        <f t="shared" si="105"/>
        <v>0</v>
      </c>
      <c r="X867" s="26" t="str">
        <f t="shared" si="106"/>
        <v/>
      </c>
      <c r="Y867" s="21" t="str">
        <f>IF(MATCH(X867,X$300:$X868,0),"Si",1)</f>
        <v>Si</v>
      </c>
      <c r="Z867" s="26">
        <f t="shared" si="107"/>
        <v>0</v>
      </c>
      <c r="AA867" s="26">
        <f t="shared" si="108"/>
        <v>0</v>
      </c>
      <c r="AB867" s="26" t="str">
        <f t="shared" si="109"/>
        <v/>
      </c>
      <c r="AC867" s="26" t="str">
        <f>IF(MATCH(AB867,AB$300:$AB868,0),"0",1)</f>
        <v>0</v>
      </c>
    </row>
    <row r="868" spans="2:29" x14ac:dyDescent="0.35">
      <c r="B868" s="219"/>
      <c r="C868" s="216" t="s">
        <v>1354</v>
      </c>
      <c r="D868" s="216"/>
      <c r="E868" s="220"/>
      <c r="F868" s="220"/>
      <c r="G868" s="220"/>
      <c r="H868" s="220" t="str">
        <f t="shared" si="103"/>
        <v/>
      </c>
      <c r="I868" s="460"/>
      <c r="J868" s="460"/>
      <c r="K868" s="460"/>
      <c r="L868" s="460"/>
      <c r="M868" s="460"/>
      <c r="N868" s="220"/>
      <c r="O868" s="220"/>
      <c r="P868" s="220"/>
      <c r="Q868" s="220"/>
      <c r="R868" s="221"/>
      <c r="S868" s="221"/>
      <c r="T868" s="316">
        <f t="shared" si="104"/>
        <v>0</v>
      </c>
      <c r="U868" s="217">
        <f t="shared" si="105"/>
        <v>0</v>
      </c>
      <c r="X868" s="26" t="str">
        <f t="shared" si="106"/>
        <v/>
      </c>
      <c r="Y868" s="21" t="str">
        <f>IF(MATCH(X868,X$300:$X869,0),"Si",1)</f>
        <v>Si</v>
      </c>
      <c r="Z868" s="26">
        <f t="shared" si="107"/>
        <v>0</v>
      </c>
      <c r="AA868" s="26">
        <f t="shared" si="108"/>
        <v>0</v>
      </c>
      <c r="AB868" s="26" t="str">
        <f t="shared" si="109"/>
        <v/>
      </c>
      <c r="AC868" s="26" t="str">
        <f>IF(MATCH(AB868,AB$300:$AB869,0),"0",1)</f>
        <v>0</v>
      </c>
    </row>
    <row r="869" spans="2:29" x14ac:dyDescent="0.35">
      <c r="B869" s="219"/>
      <c r="C869" s="216" t="s">
        <v>1355</v>
      </c>
      <c r="D869" s="216"/>
      <c r="E869" s="220"/>
      <c r="F869" s="220"/>
      <c r="G869" s="220"/>
      <c r="H869" s="220" t="str">
        <f t="shared" si="103"/>
        <v/>
      </c>
      <c r="I869" s="460"/>
      <c r="J869" s="460"/>
      <c r="K869" s="460"/>
      <c r="L869" s="460"/>
      <c r="M869" s="460"/>
      <c r="N869" s="220"/>
      <c r="O869" s="220"/>
      <c r="P869" s="220"/>
      <c r="Q869" s="220"/>
      <c r="R869" s="221"/>
      <c r="S869" s="221"/>
      <c r="T869" s="316">
        <f t="shared" si="104"/>
        <v>0</v>
      </c>
      <c r="U869" s="217">
        <f t="shared" si="105"/>
        <v>0</v>
      </c>
      <c r="X869" s="26" t="str">
        <f t="shared" si="106"/>
        <v/>
      </c>
      <c r="Y869" s="21" t="str">
        <f>IF(MATCH(X869,X$300:$X870,0),"Si",1)</f>
        <v>Si</v>
      </c>
      <c r="Z869" s="26">
        <f t="shared" si="107"/>
        <v>0</v>
      </c>
      <c r="AA869" s="26">
        <f t="shared" si="108"/>
        <v>0</v>
      </c>
      <c r="AB869" s="26" t="str">
        <f t="shared" si="109"/>
        <v/>
      </c>
      <c r="AC869" s="26" t="str">
        <f>IF(MATCH(AB869,AB$300:$AB870,0),"0",1)</f>
        <v>0</v>
      </c>
    </row>
    <row r="870" spans="2:29" x14ac:dyDescent="0.35">
      <c r="B870" s="219"/>
      <c r="C870" s="216" t="s">
        <v>1356</v>
      </c>
      <c r="D870" s="216"/>
      <c r="E870" s="220"/>
      <c r="F870" s="220"/>
      <c r="G870" s="220"/>
      <c r="H870" s="220" t="str">
        <f t="shared" si="103"/>
        <v/>
      </c>
      <c r="I870" s="460"/>
      <c r="J870" s="460"/>
      <c r="K870" s="460"/>
      <c r="L870" s="460"/>
      <c r="M870" s="460"/>
      <c r="N870" s="220"/>
      <c r="O870" s="220"/>
      <c r="P870" s="220"/>
      <c r="Q870" s="220"/>
      <c r="R870" s="221"/>
      <c r="S870" s="221"/>
      <c r="T870" s="316">
        <f t="shared" si="104"/>
        <v>0</v>
      </c>
      <c r="U870" s="217">
        <f t="shared" si="105"/>
        <v>0</v>
      </c>
      <c r="X870" s="26" t="str">
        <f t="shared" si="106"/>
        <v/>
      </c>
      <c r="Y870" s="21" t="str">
        <f>IF(MATCH(X870,X$300:$X871,0),"Si",1)</f>
        <v>Si</v>
      </c>
      <c r="Z870" s="26">
        <f t="shared" si="107"/>
        <v>0</v>
      </c>
      <c r="AA870" s="26">
        <f t="shared" si="108"/>
        <v>0</v>
      </c>
      <c r="AB870" s="26" t="str">
        <f t="shared" si="109"/>
        <v/>
      </c>
      <c r="AC870" s="26" t="str">
        <f>IF(MATCH(AB870,AB$300:$AB871,0),"0",1)</f>
        <v>0</v>
      </c>
    </row>
    <row r="871" spans="2:29" x14ac:dyDescent="0.35">
      <c r="B871" s="219"/>
      <c r="C871" s="216" t="s">
        <v>1357</v>
      </c>
      <c r="D871" s="216"/>
      <c r="E871" s="220"/>
      <c r="F871" s="220"/>
      <c r="G871" s="220"/>
      <c r="H871" s="220" t="str">
        <f t="shared" si="103"/>
        <v/>
      </c>
      <c r="I871" s="460"/>
      <c r="J871" s="460"/>
      <c r="K871" s="460"/>
      <c r="L871" s="460"/>
      <c r="M871" s="460"/>
      <c r="N871" s="220"/>
      <c r="O871" s="220"/>
      <c r="P871" s="220"/>
      <c r="Q871" s="220"/>
      <c r="R871" s="221"/>
      <c r="S871" s="221"/>
      <c r="T871" s="316">
        <f t="shared" si="104"/>
        <v>0</v>
      </c>
      <c r="U871" s="217">
        <f t="shared" si="105"/>
        <v>0</v>
      </c>
      <c r="X871" s="26" t="str">
        <f t="shared" si="106"/>
        <v/>
      </c>
      <c r="Y871" s="21" t="str">
        <f>IF(MATCH(X871,X$300:$X872,0),"Si",1)</f>
        <v>Si</v>
      </c>
      <c r="Z871" s="26">
        <f t="shared" si="107"/>
        <v>0</v>
      </c>
      <c r="AA871" s="26">
        <f t="shared" si="108"/>
        <v>0</v>
      </c>
      <c r="AB871" s="26" t="str">
        <f t="shared" si="109"/>
        <v/>
      </c>
      <c r="AC871" s="26" t="str">
        <f>IF(MATCH(AB871,AB$300:$AB872,0),"0",1)</f>
        <v>0</v>
      </c>
    </row>
    <row r="872" spans="2:29" x14ac:dyDescent="0.35">
      <c r="B872" s="219"/>
      <c r="C872" s="216" t="s">
        <v>1358</v>
      </c>
      <c r="D872" s="216"/>
      <c r="E872" s="220"/>
      <c r="F872" s="220"/>
      <c r="G872" s="220"/>
      <c r="H872" s="220" t="str">
        <f t="shared" si="103"/>
        <v/>
      </c>
      <c r="I872" s="460"/>
      <c r="J872" s="460"/>
      <c r="K872" s="460"/>
      <c r="L872" s="460"/>
      <c r="M872" s="460"/>
      <c r="N872" s="220"/>
      <c r="O872" s="220"/>
      <c r="P872" s="220"/>
      <c r="Q872" s="220"/>
      <c r="R872" s="221"/>
      <c r="S872" s="221"/>
      <c r="T872" s="316">
        <f t="shared" si="104"/>
        <v>0</v>
      </c>
      <c r="U872" s="217">
        <f t="shared" si="105"/>
        <v>0</v>
      </c>
      <c r="X872" s="26" t="str">
        <f t="shared" si="106"/>
        <v/>
      </c>
      <c r="Y872" s="21" t="str">
        <f>IF(MATCH(X872,X$300:$X873,0),"Si",1)</f>
        <v>Si</v>
      </c>
      <c r="Z872" s="26">
        <f t="shared" si="107"/>
        <v>0</v>
      </c>
      <c r="AA872" s="26">
        <f t="shared" si="108"/>
        <v>0</v>
      </c>
      <c r="AB872" s="26" t="str">
        <f t="shared" si="109"/>
        <v/>
      </c>
      <c r="AC872" s="26" t="str">
        <f>IF(MATCH(AB872,AB$300:$AB873,0),"0",1)</f>
        <v>0</v>
      </c>
    </row>
    <row r="873" spans="2:29" x14ac:dyDescent="0.35">
      <c r="B873" s="219"/>
      <c r="C873" s="216" t="s">
        <v>1359</v>
      </c>
      <c r="D873" s="216"/>
      <c r="E873" s="220"/>
      <c r="F873" s="220"/>
      <c r="G873" s="220"/>
      <c r="H873" s="220" t="str">
        <f t="shared" si="103"/>
        <v/>
      </c>
      <c r="I873" s="460"/>
      <c r="J873" s="460"/>
      <c r="K873" s="460"/>
      <c r="L873" s="460"/>
      <c r="M873" s="460"/>
      <c r="N873" s="220"/>
      <c r="O873" s="220"/>
      <c r="P873" s="220"/>
      <c r="Q873" s="220"/>
      <c r="R873" s="221"/>
      <c r="S873" s="221"/>
      <c r="T873" s="316">
        <f t="shared" si="104"/>
        <v>0</v>
      </c>
      <c r="U873" s="217">
        <f t="shared" si="105"/>
        <v>0</v>
      </c>
      <c r="X873" s="26" t="str">
        <f t="shared" si="106"/>
        <v/>
      </c>
      <c r="Y873" s="21" t="str">
        <f>IF(MATCH(X873,X$300:$X874,0),"Si",1)</f>
        <v>Si</v>
      </c>
      <c r="Z873" s="26">
        <f t="shared" si="107"/>
        <v>0</v>
      </c>
      <c r="AA873" s="26">
        <f t="shared" si="108"/>
        <v>0</v>
      </c>
      <c r="AB873" s="26" t="str">
        <f t="shared" si="109"/>
        <v/>
      </c>
      <c r="AC873" s="26" t="str">
        <f>IF(MATCH(AB873,AB$300:$AB874,0),"0",1)</f>
        <v>0</v>
      </c>
    </row>
    <row r="874" spans="2:29" x14ac:dyDescent="0.35">
      <c r="B874" s="219"/>
      <c r="C874" s="216" t="s">
        <v>1360</v>
      </c>
      <c r="D874" s="216"/>
      <c r="E874" s="220"/>
      <c r="F874" s="220"/>
      <c r="G874" s="220"/>
      <c r="H874" s="220" t="str">
        <f t="shared" si="103"/>
        <v/>
      </c>
      <c r="I874" s="460"/>
      <c r="J874" s="460"/>
      <c r="K874" s="460"/>
      <c r="L874" s="460"/>
      <c r="M874" s="460"/>
      <c r="N874" s="220"/>
      <c r="O874" s="220"/>
      <c r="P874" s="220"/>
      <c r="Q874" s="220"/>
      <c r="R874" s="221"/>
      <c r="S874" s="221"/>
      <c r="T874" s="316">
        <f t="shared" si="104"/>
        <v>0</v>
      </c>
      <c r="U874" s="217">
        <f t="shared" si="105"/>
        <v>0</v>
      </c>
      <c r="X874" s="26" t="str">
        <f t="shared" si="106"/>
        <v/>
      </c>
      <c r="Y874" s="21" t="str">
        <f>IF(MATCH(X874,X$300:$X875,0),"Si",1)</f>
        <v>Si</v>
      </c>
      <c r="Z874" s="26">
        <f t="shared" si="107"/>
        <v>0</v>
      </c>
      <c r="AA874" s="26">
        <f t="shared" si="108"/>
        <v>0</v>
      </c>
      <c r="AB874" s="26" t="str">
        <f t="shared" si="109"/>
        <v/>
      </c>
      <c r="AC874" s="26" t="str">
        <f>IF(MATCH(AB874,AB$300:$AB875,0),"0",1)</f>
        <v>0</v>
      </c>
    </row>
    <row r="875" spans="2:29" x14ac:dyDescent="0.35">
      <c r="B875" s="219"/>
      <c r="C875" s="216" t="s">
        <v>1361</v>
      </c>
      <c r="D875" s="216"/>
      <c r="E875" s="220"/>
      <c r="F875" s="220"/>
      <c r="G875" s="220"/>
      <c r="H875" s="220" t="str">
        <f t="shared" si="103"/>
        <v/>
      </c>
      <c r="I875" s="460"/>
      <c r="J875" s="460"/>
      <c r="K875" s="460"/>
      <c r="L875" s="460"/>
      <c r="M875" s="460"/>
      <c r="N875" s="220"/>
      <c r="O875" s="220"/>
      <c r="P875" s="220"/>
      <c r="Q875" s="220"/>
      <c r="R875" s="221"/>
      <c r="S875" s="221"/>
      <c r="T875" s="316">
        <f t="shared" si="104"/>
        <v>0</v>
      </c>
      <c r="U875" s="217">
        <f t="shared" si="105"/>
        <v>0</v>
      </c>
      <c r="X875" s="26" t="str">
        <f t="shared" si="106"/>
        <v/>
      </c>
      <c r="Y875" s="21" t="str">
        <f>IF(MATCH(X875,X$300:$X876,0),"Si",1)</f>
        <v>Si</v>
      </c>
      <c r="Z875" s="26">
        <f t="shared" si="107"/>
        <v>0</v>
      </c>
      <c r="AA875" s="26">
        <f t="shared" si="108"/>
        <v>0</v>
      </c>
      <c r="AB875" s="26" t="str">
        <f t="shared" si="109"/>
        <v/>
      </c>
      <c r="AC875" s="26" t="str">
        <f>IF(MATCH(AB875,AB$300:$AB876,0),"0",1)</f>
        <v>0</v>
      </c>
    </row>
    <row r="876" spans="2:29" x14ac:dyDescent="0.35">
      <c r="B876" s="219"/>
      <c r="C876" s="216" t="s">
        <v>1362</v>
      </c>
      <c r="D876" s="216"/>
      <c r="E876" s="220"/>
      <c r="F876" s="220"/>
      <c r="G876" s="220"/>
      <c r="H876" s="220" t="str">
        <f t="shared" si="103"/>
        <v/>
      </c>
      <c r="I876" s="460"/>
      <c r="J876" s="460"/>
      <c r="K876" s="460"/>
      <c r="L876" s="460"/>
      <c r="M876" s="460"/>
      <c r="N876" s="220"/>
      <c r="O876" s="220"/>
      <c r="P876" s="220"/>
      <c r="Q876" s="220"/>
      <c r="R876" s="221"/>
      <c r="S876" s="221"/>
      <c r="T876" s="316">
        <f t="shared" si="104"/>
        <v>0</v>
      </c>
      <c r="U876" s="217">
        <f t="shared" si="105"/>
        <v>0</v>
      </c>
      <c r="X876" s="26" t="str">
        <f t="shared" si="106"/>
        <v/>
      </c>
      <c r="Y876" s="21" t="str">
        <f>IF(MATCH(X876,X$300:$X877,0),"Si",1)</f>
        <v>Si</v>
      </c>
      <c r="Z876" s="26">
        <f t="shared" si="107"/>
        <v>0</v>
      </c>
      <c r="AA876" s="26">
        <f t="shared" si="108"/>
        <v>0</v>
      </c>
      <c r="AB876" s="26" t="str">
        <f t="shared" si="109"/>
        <v/>
      </c>
      <c r="AC876" s="26" t="str">
        <f>IF(MATCH(AB876,AB$300:$AB877,0),"0",1)</f>
        <v>0</v>
      </c>
    </row>
    <row r="877" spans="2:29" x14ac:dyDescent="0.35">
      <c r="B877" s="219"/>
      <c r="C877" s="216" t="s">
        <v>1363</v>
      </c>
      <c r="D877" s="216"/>
      <c r="E877" s="220"/>
      <c r="F877" s="220"/>
      <c r="G877" s="220"/>
      <c r="H877" s="220" t="str">
        <f t="shared" si="103"/>
        <v/>
      </c>
      <c r="I877" s="460"/>
      <c r="J877" s="460"/>
      <c r="K877" s="460"/>
      <c r="L877" s="460"/>
      <c r="M877" s="460"/>
      <c r="N877" s="220"/>
      <c r="O877" s="220"/>
      <c r="P877" s="220"/>
      <c r="Q877" s="220"/>
      <c r="R877" s="221"/>
      <c r="S877" s="221"/>
      <c r="T877" s="316">
        <f t="shared" si="104"/>
        <v>0</v>
      </c>
      <c r="U877" s="217">
        <f t="shared" si="105"/>
        <v>0</v>
      </c>
      <c r="X877" s="26" t="str">
        <f t="shared" si="106"/>
        <v/>
      </c>
      <c r="Y877" s="21" t="str">
        <f>IF(MATCH(X877,X$300:$X878,0),"Si",1)</f>
        <v>Si</v>
      </c>
      <c r="Z877" s="26">
        <f t="shared" si="107"/>
        <v>0</v>
      </c>
      <c r="AA877" s="26">
        <f t="shared" si="108"/>
        <v>0</v>
      </c>
      <c r="AB877" s="26" t="str">
        <f t="shared" si="109"/>
        <v/>
      </c>
      <c r="AC877" s="26" t="str">
        <f>IF(MATCH(AB877,AB$300:$AB878,0),"0",1)</f>
        <v>0</v>
      </c>
    </row>
    <row r="878" spans="2:29" x14ac:dyDescent="0.35">
      <c r="B878" s="219"/>
      <c r="C878" s="216" t="s">
        <v>1364</v>
      </c>
      <c r="D878" s="216"/>
      <c r="E878" s="220"/>
      <c r="F878" s="220"/>
      <c r="G878" s="220"/>
      <c r="H878" s="220" t="str">
        <f t="shared" si="103"/>
        <v/>
      </c>
      <c r="I878" s="460"/>
      <c r="J878" s="460"/>
      <c r="K878" s="460"/>
      <c r="L878" s="460"/>
      <c r="M878" s="460"/>
      <c r="N878" s="220"/>
      <c r="O878" s="220"/>
      <c r="P878" s="220"/>
      <c r="Q878" s="220"/>
      <c r="R878" s="221"/>
      <c r="S878" s="221"/>
      <c r="T878" s="316">
        <f t="shared" si="104"/>
        <v>0</v>
      </c>
      <c r="U878" s="217">
        <f t="shared" si="105"/>
        <v>0</v>
      </c>
      <c r="X878" s="26" t="str">
        <f t="shared" si="106"/>
        <v/>
      </c>
      <c r="Y878" s="21" t="str">
        <f>IF(MATCH(X878,X$300:$X879,0),"Si",1)</f>
        <v>Si</v>
      </c>
      <c r="Z878" s="26">
        <f t="shared" si="107"/>
        <v>0</v>
      </c>
      <c r="AA878" s="26">
        <f t="shared" si="108"/>
        <v>0</v>
      </c>
      <c r="AB878" s="26" t="str">
        <f t="shared" si="109"/>
        <v/>
      </c>
      <c r="AC878" s="26" t="str">
        <f>IF(MATCH(AB878,AB$300:$AB879,0),"0",1)</f>
        <v>0</v>
      </c>
    </row>
    <row r="879" spans="2:29" x14ac:dyDescent="0.35">
      <c r="B879" s="219"/>
      <c r="C879" s="216" t="s">
        <v>1365</v>
      </c>
      <c r="D879" s="216"/>
      <c r="E879" s="220"/>
      <c r="F879" s="220"/>
      <c r="G879" s="220"/>
      <c r="H879" s="220" t="str">
        <f t="shared" si="103"/>
        <v/>
      </c>
      <c r="I879" s="460"/>
      <c r="J879" s="460"/>
      <c r="K879" s="460"/>
      <c r="L879" s="460"/>
      <c r="M879" s="460"/>
      <c r="N879" s="220"/>
      <c r="O879" s="220"/>
      <c r="P879" s="220"/>
      <c r="Q879" s="220"/>
      <c r="R879" s="221"/>
      <c r="S879" s="221"/>
      <c r="T879" s="316">
        <f t="shared" si="104"/>
        <v>0</v>
      </c>
      <c r="U879" s="217">
        <f t="shared" si="105"/>
        <v>0</v>
      </c>
      <c r="X879" s="26" t="str">
        <f t="shared" si="106"/>
        <v/>
      </c>
      <c r="Y879" s="21" t="str">
        <f>IF(MATCH(X879,X$300:$X880,0),"Si",1)</f>
        <v>Si</v>
      </c>
      <c r="Z879" s="26">
        <f t="shared" si="107"/>
        <v>0</v>
      </c>
      <c r="AA879" s="26">
        <f t="shared" si="108"/>
        <v>0</v>
      </c>
      <c r="AB879" s="26" t="str">
        <f t="shared" si="109"/>
        <v/>
      </c>
      <c r="AC879" s="26" t="str">
        <f>IF(MATCH(AB879,AB$300:$AB880,0),"0",1)</f>
        <v>0</v>
      </c>
    </row>
    <row r="880" spans="2:29" x14ac:dyDescent="0.35">
      <c r="B880" s="219"/>
      <c r="C880" s="216" t="s">
        <v>1366</v>
      </c>
      <c r="D880" s="216"/>
      <c r="E880" s="220"/>
      <c r="F880" s="220"/>
      <c r="G880" s="220"/>
      <c r="H880" s="220" t="str">
        <f t="shared" si="103"/>
        <v/>
      </c>
      <c r="I880" s="460"/>
      <c r="J880" s="460"/>
      <c r="K880" s="460"/>
      <c r="L880" s="460"/>
      <c r="M880" s="460"/>
      <c r="N880" s="220"/>
      <c r="O880" s="220"/>
      <c r="P880" s="220"/>
      <c r="Q880" s="220"/>
      <c r="R880" s="221"/>
      <c r="S880" s="221"/>
      <c r="T880" s="316">
        <f t="shared" si="104"/>
        <v>0</v>
      </c>
      <c r="U880" s="217">
        <f t="shared" si="105"/>
        <v>0</v>
      </c>
      <c r="X880" s="26" t="str">
        <f t="shared" si="106"/>
        <v/>
      </c>
      <c r="Y880" s="21" t="str">
        <f>IF(MATCH(X880,X$300:$X881,0),"Si",1)</f>
        <v>Si</v>
      </c>
      <c r="Z880" s="26">
        <f t="shared" si="107"/>
        <v>0</v>
      </c>
      <c r="AA880" s="26">
        <f t="shared" si="108"/>
        <v>0</v>
      </c>
      <c r="AB880" s="26" t="str">
        <f t="shared" si="109"/>
        <v/>
      </c>
      <c r="AC880" s="26" t="str">
        <f>IF(MATCH(AB880,AB$300:$AB881,0),"0",1)</f>
        <v>0</v>
      </c>
    </row>
    <row r="881" spans="2:29" x14ac:dyDescent="0.35">
      <c r="B881" s="219"/>
      <c r="C881" s="216" t="s">
        <v>1367</v>
      </c>
      <c r="D881" s="216"/>
      <c r="E881" s="220"/>
      <c r="F881" s="220"/>
      <c r="G881" s="220"/>
      <c r="H881" s="220" t="str">
        <f t="shared" si="103"/>
        <v/>
      </c>
      <c r="I881" s="460"/>
      <c r="J881" s="460"/>
      <c r="K881" s="460"/>
      <c r="L881" s="460"/>
      <c r="M881" s="460"/>
      <c r="N881" s="220"/>
      <c r="O881" s="220"/>
      <c r="P881" s="220"/>
      <c r="Q881" s="220"/>
      <c r="R881" s="221"/>
      <c r="S881" s="221"/>
      <c r="T881" s="316">
        <f t="shared" si="104"/>
        <v>0</v>
      </c>
      <c r="U881" s="217">
        <f t="shared" si="105"/>
        <v>0</v>
      </c>
      <c r="X881" s="26" t="str">
        <f t="shared" si="106"/>
        <v/>
      </c>
      <c r="Y881" s="21" t="str">
        <f>IF(MATCH(X881,X$300:$X882,0),"Si",1)</f>
        <v>Si</v>
      </c>
      <c r="Z881" s="26">
        <f t="shared" si="107"/>
        <v>0</v>
      </c>
      <c r="AA881" s="26">
        <f t="shared" si="108"/>
        <v>0</v>
      </c>
      <c r="AB881" s="26" t="str">
        <f t="shared" si="109"/>
        <v/>
      </c>
      <c r="AC881" s="26" t="str">
        <f>IF(MATCH(AB881,AB$300:$AB882,0),"0",1)</f>
        <v>0</v>
      </c>
    </row>
    <row r="882" spans="2:29" x14ac:dyDescent="0.35">
      <c r="B882" s="219"/>
      <c r="C882" s="216" t="s">
        <v>1368</v>
      </c>
      <c r="D882" s="216"/>
      <c r="E882" s="220"/>
      <c r="F882" s="220"/>
      <c r="G882" s="220"/>
      <c r="H882" s="220" t="str">
        <f t="shared" si="103"/>
        <v/>
      </c>
      <c r="I882" s="460"/>
      <c r="J882" s="460"/>
      <c r="K882" s="460"/>
      <c r="L882" s="460"/>
      <c r="M882" s="460"/>
      <c r="N882" s="220"/>
      <c r="O882" s="220"/>
      <c r="P882" s="220"/>
      <c r="Q882" s="220"/>
      <c r="R882" s="221"/>
      <c r="S882" s="221"/>
      <c r="T882" s="316">
        <f t="shared" si="104"/>
        <v>0</v>
      </c>
      <c r="U882" s="217">
        <f t="shared" si="105"/>
        <v>0</v>
      </c>
      <c r="X882" s="26" t="str">
        <f t="shared" si="106"/>
        <v/>
      </c>
      <c r="Y882" s="21" t="str">
        <f>IF(MATCH(X882,X$300:$X883,0),"Si",1)</f>
        <v>Si</v>
      </c>
      <c r="Z882" s="26">
        <f t="shared" si="107"/>
        <v>0</v>
      </c>
      <c r="AA882" s="26">
        <f t="shared" si="108"/>
        <v>0</v>
      </c>
      <c r="AB882" s="26" t="str">
        <f t="shared" si="109"/>
        <v/>
      </c>
      <c r="AC882" s="26" t="str">
        <f>IF(MATCH(AB882,AB$300:$AB883,0),"0",1)</f>
        <v>0</v>
      </c>
    </row>
    <row r="883" spans="2:29" x14ac:dyDescent="0.35">
      <c r="B883" s="219"/>
      <c r="C883" s="216" t="s">
        <v>1369</v>
      </c>
      <c r="D883" s="216"/>
      <c r="E883" s="220"/>
      <c r="F883" s="220"/>
      <c r="G883" s="220"/>
      <c r="H883" s="220" t="str">
        <f t="shared" si="103"/>
        <v/>
      </c>
      <c r="I883" s="460"/>
      <c r="J883" s="460"/>
      <c r="K883" s="460"/>
      <c r="L883" s="460"/>
      <c r="M883" s="460"/>
      <c r="N883" s="220"/>
      <c r="O883" s="220"/>
      <c r="P883" s="220"/>
      <c r="Q883" s="220"/>
      <c r="R883" s="221"/>
      <c r="S883" s="221"/>
      <c r="T883" s="316">
        <f t="shared" si="104"/>
        <v>0</v>
      </c>
      <c r="U883" s="217">
        <f t="shared" si="105"/>
        <v>0</v>
      </c>
      <c r="X883" s="26" t="str">
        <f t="shared" si="106"/>
        <v/>
      </c>
      <c r="Y883" s="21" t="str">
        <f>IF(MATCH(X883,X$300:$X884,0),"Si",1)</f>
        <v>Si</v>
      </c>
      <c r="Z883" s="26">
        <f t="shared" si="107"/>
        <v>0</v>
      </c>
      <c r="AA883" s="26">
        <f t="shared" si="108"/>
        <v>0</v>
      </c>
      <c r="AB883" s="26" t="str">
        <f t="shared" si="109"/>
        <v/>
      </c>
      <c r="AC883" s="26" t="str">
        <f>IF(MATCH(AB883,AB$300:$AB884,0),"0",1)</f>
        <v>0</v>
      </c>
    </row>
    <row r="884" spans="2:29" x14ac:dyDescent="0.35">
      <c r="B884" s="219"/>
      <c r="C884" s="216" t="s">
        <v>1370</v>
      </c>
      <c r="D884" s="216"/>
      <c r="E884" s="220"/>
      <c r="F884" s="220"/>
      <c r="G884" s="220"/>
      <c r="H884" s="220" t="str">
        <f t="shared" si="103"/>
        <v/>
      </c>
      <c r="I884" s="460"/>
      <c r="J884" s="460"/>
      <c r="K884" s="460"/>
      <c r="L884" s="460"/>
      <c r="M884" s="460"/>
      <c r="N884" s="220"/>
      <c r="O884" s="220"/>
      <c r="P884" s="220"/>
      <c r="Q884" s="220"/>
      <c r="R884" s="221"/>
      <c r="S884" s="221"/>
      <c r="T884" s="316">
        <f t="shared" si="104"/>
        <v>0</v>
      </c>
      <c r="U884" s="217">
        <f t="shared" si="105"/>
        <v>0</v>
      </c>
      <c r="X884" s="26" t="str">
        <f t="shared" si="106"/>
        <v/>
      </c>
      <c r="Y884" s="21" t="str">
        <f>IF(MATCH(X884,X$300:$X885,0),"Si",1)</f>
        <v>Si</v>
      </c>
      <c r="Z884" s="26">
        <f t="shared" si="107"/>
        <v>0</v>
      </c>
      <c r="AA884" s="26">
        <f t="shared" si="108"/>
        <v>0</v>
      </c>
      <c r="AB884" s="26" t="str">
        <f t="shared" si="109"/>
        <v/>
      </c>
      <c r="AC884" s="26" t="str">
        <f>IF(MATCH(AB884,AB$300:$AB885,0),"0",1)</f>
        <v>0</v>
      </c>
    </row>
    <row r="885" spans="2:29" x14ac:dyDescent="0.35">
      <c r="B885" s="219"/>
      <c r="C885" s="216" t="s">
        <v>1371</v>
      </c>
      <c r="D885" s="216"/>
      <c r="E885" s="220"/>
      <c r="F885" s="220"/>
      <c r="G885" s="220"/>
      <c r="H885" s="220" t="str">
        <f t="shared" si="103"/>
        <v/>
      </c>
      <c r="I885" s="460"/>
      <c r="J885" s="460"/>
      <c r="K885" s="460"/>
      <c r="L885" s="460"/>
      <c r="M885" s="460"/>
      <c r="N885" s="220"/>
      <c r="O885" s="220"/>
      <c r="P885" s="220"/>
      <c r="Q885" s="220"/>
      <c r="R885" s="221"/>
      <c r="S885" s="221"/>
      <c r="T885" s="316">
        <f t="shared" si="104"/>
        <v>0</v>
      </c>
      <c r="U885" s="217">
        <f t="shared" si="105"/>
        <v>0</v>
      </c>
      <c r="X885" s="26" t="str">
        <f t="shared" si="106"/>
        <v/>
      </c>
      <c r="Y885" s="21" t="str">
        <f>IF(MATCH(X885,X$300:$X886,0),"Si",1)</f>
        <v>Si</v>
      </c>
      <c r="Z885" s="26">
        <f t="shared" si="107"/>
        <v>0</v>
      </c>
      <c r="AA885" s="26">
        <f t="shared" si="108"/>
        <v>0</v>
      </c>
      <c r="AB885" s="26" t="str">
        <f t="shared" si="109"/>
        <v/>
      </c>
      <c r="AC885" s="26" t="str">
        <f>IF(MATCH(AB885,AB$300:$AB886,0),"0",1)</f>
        <v>0</v>
      </c>
    </row>
    <row r="886" spans="2:29" x14ac:dyDescent="0.35">
      <c r="B886" s="219"/>
      <c r="C886" s="216" t="s">
        <v>1372</v>
      </c>
      <c r="D886" s="216"/>
      <c r="E886" s="220"/>
      <c r="F886" s="220"/>
      <c r="G886" s="220"/>
      <c r="H886" s="220" t="str">
        <f t="shared" si="103"/>
        <v/>
      </c>
      <c r="I886" s="460"/>
      <c r="J886" s="460"/>
      <c r="K886" s="460"/>
      <c r="L886" s="460"/>
      <c r="M886" s="460"/>
      <c r="N886" s="220"/>
      <c r="O886" s="220"/>
      <c r="P886" s="220"/>
      <c r="Q886" s="220"/>
      <c r="R886" s="221"/>
      <c r="S886" s="221"/>
      <c r="T886" s="316">
        <f t="shared" si="104"/>
        <v>0</v>
      </c>
      <c r="U886" s="217">
        <f t="shared" si="105"/>
        <v>0</v>
      </c>
      <c r="X886" s="26" t="str">
        <f t="shared" si="106"/>
        <v/>
      </c>
      <c r="Y886" s="21" t="str">
        <f>IF(MATCH(X886,X$300:$X887,0),"Si",1)</f>
        <v>Si</v>
      </c>
      <c r="Z886" s="26">
        <f t="shared" si="107"/>
        <v>0</v>
      </c>
      <c r="AA886" s="26">
        <f t="shared" si="108"/>
        <v>0</v>
      </c>
      <c r="AB886" s="26" t="str">
        <f t="shared" si="109"/>
        <v/>
      </c>
      <c r="AC886" s="26" t="str">
        <f>IF(MATCH(AB886,AB$300:$AB887,0),"0",1)</f>
        <v>0</v>
      </c>
    </row>
    <row r="887" spans="2:29" x14ac:dyDescent="0.35">
      <c r="B887" s="219"/>
      <c r="C887" s="216" t="s">
        <v>1373</v>
      </c>
      <c r="D887" s="216"/>
      <c r="E887" s="220"/>
      <c r="F887" s="220"/>
      <c r="G887" s="220"/>
      <c r="H887" s="220" t="str">
        <f t="shared" si="103"/>
        <v/>
      </c>
      <c r="I887" s="460"/>
      <c r="J887" s="460"/>
      <c r="K887" s="460"/>
      <c r="L887" s="460"/>
      <c r="M887" s="460"/>
      <c r="N887" s="220"/>
      <c r="O887" s="220"/>
      <c r="P887" s="220"/>
      <c r="Q887" s="220"/>
      <c r="R887" s="221"/>
      <c r="S887" s="221"/>
      <c r="T887" s="316">
        <f t="shared" si="104"/>
        <v>0</v>
      </c>
      <c r="U887" s="217">
        <f t="shared" si="105"/>
        <v>0</v>
      </c>
      <c r="X887" s="26" t="str">
        <f t="shared" si="106"/>
        <v/>
      </c>
      <c r="Y887" s="21" t="str">
        <f>IF(MATCH(X887,X$300:$X888,0),"Si",1)</f>
        <v>Si</v>
      </c>
      <c r="Z887" s="26">
        <f t="shared" si="107"/>
        <v>0</v>
      </c>
      <c r="AA887" s="26">
        <f t="shared" si="108"/>
        <v>0</v>
      </c>
      <c r="AB887" s="26" t="str">
        <f t="shared" si="109"/>
        <v/>
      </c>
      <c r="AC887" s="26" t="str">
        <f>IF(MATCH(AB887,AB$300:$AB888,0),"0",1)</f>
        <v>0</v>
      </c>
    </row>
    <row r="888" spans="2:29" x14ac:dyDescent="0.35">
      <c r="B888" s="219"/>
      <c r="C888" s="216" t="s">
        <v>1374</v>
      </c>
      <c r="D888" s="216"/>
      <c r="E888" s="220"/>
      <c r="F888" s="220"/>
      <c r="G888" s="220"/>
      <c r="H888" s="220" t="str">
        <f t="shared" si="103"/>
        <v/>
      </c>
      <c r="I888" s="460"/>
      <c r="J888" s="460"/>
      <c r="K888" s="460"/>
      <c r="L888" s="460"/>
      <c r="M888" s="460"/>
      <c r="N888" s="220"/>
      <c r="O888" s="220"/>
      <c r="P888" s="220"/>
      <c r="Q888" s="220"/>
      <c r="R888" s="221"/>
      <c r="S888" s="221"/>
      <c r="T888" s="316">
        <f t="shared" si="104"/>
        <v>0</v>
      </c>
      <c r="U888" s="217">
        <f t="shared" si="105"/>
        <v>0</v>
      </c>
      <c r="X888" s="26" t="str">
        <f t="shared" si="106"/>
        <v/>
      </c>
      <c r="Y888" s="21" t="str">
        <f>IF(MATCH(X888,X$300:$X889,0),"Si",1)</f>
        <v>Si</v>
      </c>
      <c r="Z888" s="26">
        <f t="shared" si="107"/>
        <v>0</v>
      </c>
      <c r="AA888" s="26">
        <f t="shared" si="108"/>
        <v>0</v>
      </c>
      <c r="AB888" s="26" t="str">
        <f t="shared" si="109"/>
        <v/>
      </c>
      <c r="AC888" s="26" t="str">
        <f>IF(MATCH(AB888,AB$300:$AB889,0),"0",1)</f>
        <v>0</v>
      </c>
    </row>
    <row r="889" spans="2:29" x14ac:dyDescent="0.35">
      <c r="B889" s="219"/>
      <c r="C889" s="216" t="s">
        <v>1375</v>
      </c>
      <c r="D889" s="216"/>
      <c r="E889" s="220"/>
      <c r="F889" s="220"/>
      <c r="G889" s="220"/>
      <c r="H889" s="220" t="str">
        <f t="shared" si="103"/>
        <v/>
      </c>
      <c r="I889" s="460"/>
      <c r="J889" s="460"/>
      <c r="K889" s="460"/>
      <c r="L889" s="460"/>
      <c r="M889" s="460"/>
      <c r="N889" s="220"/>
      <c r="O889" s="220"/>
      <c r="P889" s="220"/>
      <c r="Q889" s="220"/>
      <c r="R889" s="221"/>
      <c r="S889" s="221"/>
      <c r="T889" s="316">
        <f t="shared" si="104"/>
        <v>0</v>
      </c>
      <c r="U889" s="217">
        <f t="shared" si="105"/>
        <v>0</v>
      </c>
      <c r="X889" s="26" t="str">
        <f t="shared" si="106"/>
        <v/>
      </c>
      <c r="Y889" s="21" t="str">
        <f>IF(MATCH(X889,X$300:$X890,0),"Si",1)</f>
        <v>Si</v>
      </c>
      <c r="Z889" s="26">
        <f t="shared" si="107"/>
        <v>0</v>
      </c>
      <c r="AA889" s="26">
        <f t="shared" si="108"/>
        <v>0</v>
      </c>
      <c r="AB889" s="26" t="str">
        <f t="shared" si="109"/>
        <v/>
      </c>
      <c r="AC889" s="26" t="str">
        <f>IF(MATCH(AB889,AB$300:$AB890,0),"0",1)</f>
        <v>0</v>
      </c>
    </row>
    <row r="890" spans="2:29" x14ac:dyDescent="0.35">
      <c r="B890" s="219"/>
      <c r="C890" s="216" t="s">
        <v>1376</v>
      </c>
      <c r="D890" s="216"/>
      <c r="E890" s="220"/>
      <c r="F890" s="220"/>
      <c r="G890" s="220"/>
      <c r="H890" s="220" t="str">
        <f t="shared" si="103"/>
        <v/>
      </c>
      <c r="I890" s="460"/>
      <c r="J890" s="460"/>
      <c r="K890" s="460"/>
      <c r="L890" s="460"/>
      <c r="M890" s="460"/>
      <c r="N890" s="220"/>
      <c r="O890" s="220"/>
      <c r="P890" s="220"/>
      <c r="Q890" s="220"/>
      <c r="R890" s="221"/>
      <c r="S890" s="221"/>
      <c r="T890" s="316">
        <f t="shared" si="104"/>
        <v>0</v>
      </c>
      <c r="U890" s="217">
        <f t="shared" si="105"/>
        <v>0</v>
      </c>
      <c r="X890" s="26" t="str">
        <f t="shared" si="106"/>
        <v/>
      </c>
      <c r="Y890" s="21" t="str">
        <f>IF(MATCH(X890,X$300:$X891,0),"Si",1)</f>
        <v>Si</v>
      </c>
      <c r="Z890" s="26">
        <f t="shared" si="107"/>
        <v>0</v>
      </c>
      <c r="AA890" s="26">
        <f t="shared" si="108"/>
        <v>0</v>
      </c>
      <c r="AB890" s="26" t="str">
        <f t="shared" si="109"/>
        <v/>
      </c>
      <c r="AC890" s="26" t="str">
        <f>IF(MATCH(AB890,AB$300:$AB891,0),"0",1)</f>
        <v>0</v>
      </c>
    </row>
    <row r="891" spans="2:29" x14ac:dyDescent="0.35">
      <c r="B891" s="219"/>
      <c r="C891" s="216" t="s">
        <v>1377</v>
      </c>
      <c r="D891" s="216"/>
      <c r="E891" s="220"/>
      <c r="F891" s="220"/>
      <c r="G891" s="220"/>
      <c r="H891" s="220" t="str">
        <f t="shared" si="103"/>
        <v/>
      </c>
      <c r="I891" s="460"/>
      <c r="J891" s="460"/>
      <c r="K891" s="460"/>
      <c r="L891" s="460"/>
      <c r="M891" s="460"/>
      <c r="N891" s="220"/>
      <c r="O891" s="220"/>
      <c r="P891" s="220"/>
      <c r="Q891" s="220"/>
      <c r="R891" s="221"/>
      <c r="S891" s="221"/>
      <c r="T891" s="316">
        <f t="shared" si="104"/>
        <v>0</v>
      </c>
      <c r="U891" s="217">
        <f t="shared" si="105"/>
        <v>0</v>
      </c>
      <c r="X891" s="26" t="str">
        <f t="shared" si="106"/>
        <v/>
      </c>
      <c r="Y891" s="21" t="str">
        <f>IF(MATCH(X891,X$300:$X892,0),"Si",1)</f>
        <v>Si</v>
      </c>
      <c r="Z891" s="26">
        <f t="shared" si="107"/>
        <v>0</v>
      </c>
      <c r="AA891" s="26">
        <f t="shared" si="108"/>
        <v>0</v>
      </c>
      <c r="AB891" s="26" t="str">
        <f t="shared" si="109"/>
        <v/>
      </c>
      <c r="AC891" s="26" t="str">
        <f>IF(MATCH(AB891,AB$300:$AB892,0),"0",1)</f>
        <v>0</v>
      </c>
    </row>
    <row r="892" spans="2:29" x14ac:dyDescent="0.35">
      <c r="B892" s="219"/>
      <c r="C892" s="216" t="s">
        <v>1378</v>
      </c>
      <c r="D892" s="216"/>
      <c r="E892" s="220"/>
      <c r="F892" s="220"/>
      <c r="G892" s="220"/>
      <c r="H892" s="220" t="str">
        <f t="shared" si="103"/>
        <v/>
      </c>
      <c r="I892" s="460"/>
      <c r="J892" s="460"/>
      <c r="K892" s="460"/>
      <c r="L892" s="460"/>
      <c r="M892" s="460"/>
      <c r="N892" s="220"/>
      <c r="O892" s="220"/>
      <c r="P892" s="220"/>
      <c r="Q892" s="220"/>
      <c r="R892" s="221"/>
      <c r="S892" s="221"/>
      <c r="T892" s="316">
        <f t="shared" si="104"/>
        <v>0</v>
      </c>
      <c r="U892" s="217">
        <f t="shared" si="105"/>
        <v>0</v>
      </c>
      <c r="X892" s="26" t="str">
        <f t="shared" si="106"/>
        <v/>
      </c>
      <c r="Y892" s="21" t="str">
        <f>IF(MATCH(X892,X$300:$X893,0),"Si",1)</f>
        <v>Si</v>
      </c>
      <c r="Z892" s="26">
        <f t="shared" si="107"/>
        <v>0</v>
      </c>
      <c r="AA892" s="26">
        <f t="shared" si="108"/>
        <v>0</v>
      </c>
      <c r="AB892" s="26" t="str">
        <f t="shared" si="109"/>
        <v/>
      </c>
      <c r="AC892" s="26" t="str">
        <f>IF(MATCH(AB892,AB$300:$AB893,0),"0",1)</f>
        <v>0</v>
      </c>
    </row>
    <row r="893" spans="2:29" x14ac:dyDescent="0.35">
      <c r="B893" s="219"/>
      <c r="C893" s="216" t="s">
        <v>1379</v>
      </c>
      <c r="D893" s="216"/>
      <c r="E893" s="220"/>
      <c r="F893" s="220"/>
      <c r="G893" s="220"/>
      <c r="H893" s="220" t="str">
        <f t="shared" si="103"/>
        <v/>
      </c>
      <c r="I893" s="460"/>
      <c r="J893" s="460"/>
      <c r="K893" s="460"/>
      <c r="L893" s="460"/>
      <c r="M893" s="460"/>
      <c r="N893" s="220"/>
      <c r="O893" s="220"/>
      <c r="P893" s="220"/>
      <c r="Q893" s="220"/>
      <c r="R893" s="221"/>
      <c r="S893" s="221"/>
      <c r="T893" s="316">
        <f t="shared" si="104"/>
        <v>0</v>
      </c>
      <c r="U893" s="217">
        <f t="shared" si="105"/>
        <v>0</v>
      </c>
      <c r="X893" s="26" t="str">
        <f t="shared" si="106"/>
        <v/>
      </c>
      <c r="Y893" s="21" t="str">
        <f>IF(MATCH(X893,X$300:$X894,0),"Si",1)</f>
        <v>Si</v>
      </c>
      <c r="Z893" s="26">
        <f t="shared" si="107"/>
        <v>0</v>
      </c>
      <c r="AA893" s="26">
        <f t="shared" si="108"/>
        <v>0</v>
      </c>
      <c r="AB893" s="26" t="str">
        <f t="shared" si="109"/>
        <v/>
      </c>
      <c r="AC893" s="26" t="str">
        <f>IF(MATCH(AB893,AB$300:$AB894,0),"0",1)</f>
        <v>0</v>
      </c>
    </row>
    <row r="894" spans="2:29" x14ac:dyDescent="0.35">
      <c r="B894" s="219"/>
      <c r="C894" s="216" t="s">
        <v>1380</v>
      </c>
      <c r="D894" s="216"/>
      <c r="E894" s="220"/>
      <c r="F894" s="220"/>
      <c r="G894" s="220"/>
      <c r="H894" s="220" t="str">
        <f t="shared" si="103"/>
        <v/>
      </c>
      <c r="I894" s="460"/>
      <c r="J894" s="460"/>
      <c r="K894" s="460"/>
      <c r="L894" s="460"/>
      <c r="M894" s="460"/>
      <c r="N894" s="220"/>
      <c r="O894" s="220"/>
      <c r="P894" s="220"/>
      <c r="Q894" s="220"/>
      <c r="R894" s="221"/>
      <c r="S894" s="221"/>
      <c r="T894" s="316">
        <f t="shared" si="104"/>
        <v>0</v>
      </c>
      <c r="U894" s="217">
        <f t="shared" si="105"/>
        <v>0</v>
      </c>
      <c r="X894" s="26" t="str">
        <f t="shared" si="106"/>
        <v/>
      </c>
      <c r="Y894" s="21" t="str">
        <f>IF(MATCH(X894,X$300:$X895,0),"Si",1)</f>
        <v>Si</v>
      </c>
      <c r="Z894" s="26">
        <f t="shared" si="107"/>
        <v>0</v>
      </c>
      <c r="AA894" s="26">
        <f t="shared" si="108"/>
        <v>0</v>
      </c>
      <c r="AB894" s="26" t="str">
        <f t="shared" si="109"/>
        <v/>
      </c>
      <c r="AC894" s="26" t="str">
        <f>IF(MATCH(AB894,AB$300:$AB895,0),"0",1)</f>
        <v>0</v>
      </c>
    </row>
    <row r="895" spans="2:29" x14ac:dyDescent="0.35">
      <c r="B895" s="219"/>
      <c r="C895" s="216" t="s">
        <v>1381</v>
      </c>
      <c r="D895" s="216"/>
      <c r="E895" s="220"/>
      <c r="F895" s="220"/>
      <c r="G895" s="220"/>
      <c r="H895" s="220" t="str">
        <f t="shared" si="103"/>
        <v/>
      </c>
      <c r="I895" s="460"/>
      <c r="J895" s="460"/>
      <c r="K895" s="460"/>
      <c r="L895" s="460"/>
      <c r="M895" s="460"/>
      <c r="N895" s="220"/>
      <c r="O895" s="220"/>
      <c r="P895" s="220"/>
      <c r="Q895" s="220"/>
      <c r="R895" s="221"/>
      <c r="S895" s="221"/>
      <c r="T895" s="316">
        <f t="shared" si="104"/>
        <v>0</v>
      </c>
      <c r="U895" s="217">
        <f t="shared" si="105"/>
        <v>0</v>
      </c>
      <c r="X895" s="26" t="str">
        <f t="shared" si="106"/>
        <v/>
      </c>
      <c r="Y895" s="21" t="str">
        <f>IF(MATCH(X895,X$300:$X896,0),"Si",1)</f>
        <v>Si</v>
      </c>
      <c r="Z895" s="26">
        <f t="shared" si="107"/>
        <v>0</v>
      </c>
      <c r="AA895" s="26">
        <f t="shared" si="108"/>
        <v>0</v>
      </c>
      <c r="AB895" s="26" t="str">
        <f t="shared" si="109"/>
        <v/>
      </c>
      <c r="AC895" s="26" t="str">
        <f>IF(MATCH(AB895,AB$300:$AB896,0),"0",1)</f>
        <v>0</v>
      </c>
    </row>
    <row r="896" spans="2:29" x14ac:dyDescent="0.35">
      <c r="B896" s="219"/>
      <c r="C896" s="216" t="s">
        <v>1382</v>
      </c>
      <c r="D896" s="216"/>
      <c r="E896" s="220"/>
      <c r="F896" s="220"/>
      <c r="G896" s="220"/>
      <c r="H896" s="220" t="str">
        <f t="shared" si="103"/>
        <v/>
      </c>
      <c r="I896" s="460"/>
      <c r="J896" s="460"/>
      <c r="K896" s="460"/>
      <c r="L896" s="460"/>
      <c r="M896" s="460"/>
      <c r="N896" s="220"/>
      <c r="O896" s="220"/>
      <c r="P896" s="220"/>
      <c r="Q896" s="220"/>
      <c r="R896" s="221"/>
      <c r="S896" s="221"/>
      <c r="T896" s="316">
        <f t="shared" si="104"/>
        <v>0</v>
      </c>
      <c r="U896" s="217">
        <f t="shared" si="105"/>
        <v>0</v>
      </c>
      <c r="X896" s="26" t="str">
        <f t="shared" si="106"/>
        <v/>
      </c>
      <c r="Y896" s="21" t="str">
        <f>IF(MATCH(X896,X$300:$X897,0),"Si",1)</f>
        <v>Si</v>
      </c>
      <c r="Z896" s="26">
        <f t="shared" si="107"/>
        <v>0</v>
      </c>
      <c r="AA896" s="26">
        <f t="shared" si="108"/>
        <v>0</v>
      </c>
      <c r="AB896" s="26" t="str">
        <f t="shared" si="109"/>
        <v/>
      </c>
      <c r="AC896" s="26" t="str">
        <f>IF(MATCH(AB896,AB$300:$AB897,0),"0",1)</f>
        <v>0</v>
      </c>
    </row>
    <row r="897" spans="2:29" x14ac:dyDescent="0.35">
      <c r="B897" s="219"/>
      <c r="C897" s="216" t="s">
        <v>1383</v>
      </c>
      <c r="D897" s="216"/>
      <c r="E897" s="220"/>
      <c r="F897" s="220"/>
      <c r="G897" s="220"/>
      <c r="H897" s="220" t="str">
        <f t="shared" si="103"/>
        <v/>
      </c>
      <c r="I897" s="460"/>
      <c r="J897" s="460"/>
      <c r="K897" s="460"/>
      <c r="L897" s="460"/>
      <c r="M897" s="460"/>
      <c r="N897" s="220"/>
      <c r="O897" s="220"/>
      <c r="P897" s="220"/>
      <c r="Q897" s="220"/>
      <c r="R897" s="221"/>
      <c r="S897" s="221"/>
      <c r="T897" s="316">
        <f t="shared" si="104"/>
        <v>0</v>
      </c>
      <c r="U897" s="217">
        <f t="shared" si="105"/>
        <v>0</v>
      </c>
      <c r="X897" s="26" t="str">
        <f t="shared" si="106"/>
        <v/>
      </c>
      <c r="Y897" s="21" t="str">
        <f>IF(MATCH(X897,X$300:$X898,0),"Si",1)</f>
        <v>Si</v>
      </c>
      <c r="Z897" s="26">
        <f t="shared" si="107"/>
        <v>0</v>
      </c>
      <c r="AA897" s="26">
        <f t="shared" si="108"/>
        <v>0</v>
      </c>
      <c r="AB897" s="26" t="str">
        <f t="shared" si="109"/>
        <v/>
      </c>
      <c r="AC897" s="26" t="str">
        <f>IF(MATCH(AB897,AB$300:$AB898,0),"0",1)</f>
        <v>0</v>
      </c>
    </row>
    <row r="898" spans="2:29" x14ac:dyDescent="0.35">
      <c r="B898" s="219"/>
      <c r="C898" s="216" t="s">
        <v>1384</v>
      </c>
      <c r="D898" s="216"/>
      <c r="E898" s="220"/>
      <c r="F898" s="220"/>
      <c r="G898" s="220"/>
      <c r="H898" s="220" t="str">
        <f t="shared" si="103"/>
        <v/>
      </c>
      <c r="I898" s="460"/>
      <c r="J898" s="460"/>
      <c r="K898" s="460"/>
      <c r="L898" s="460"/>
      <c r="M898" s="460"/>
      <c r="N898" s="220"/>
      <c r="O898" s="220"/>
      <c r="P898" s="220"/>
      <c r="Q898" s="220"/>
      <c r="R898" s="221"/>
      <c r="S898" s="221"/>
      <c r="T898" s="316">
        <f t="shared" si="104"/>
        <v>0</v>
      </c>
      <c r="U898" s="217">
        <f t="shared" si="105"/>
        <v>0</v>
      </c>
      <c r="X898" s="26" t="str">
        <f t="shared" si="106"/>
        <v/>
      </c>
      <c r="Y898" s="21" t="str">
        <f>IF(MATCH(X898,X$300:$X899,0),"Si",1)</f>
        <v>Si</v>
      </c>
      <c r="Z898" s="26">
        <f t="shared" si="107"/>
        <v>0</v>
      </c>
      <c r="AA898" s="26">
        <f t="shared" si="108"/>
        <v>0</v>
      </c>
      <c r="AB898" s="26" t="str">
        <f t="shared" si="109"/>
        <v/>
      </c>
      <c r="AC898" s="26" t="str">
        <f>IF(MATCH(AB898,AB$300:$AB899,0),"0",1)</f>
        <v>0</v>
      </c>
    </row>
    <row r="899" spans="2:29" x14ac:dyDescent="0.35">
      <c r="B899" s="219"/>
      <c r="C899" s="216" t="s">
        <v>1385</v>
      </c>
      <c r="D899" s="216"/>
      <c r="E899" s="220"/>
      <c r="F899" s="220"/>
      <c r="G899" s="220"/>
      <c r="H899" s="220" t="str">
        <f t="shared" si="103"/>
        <v/>
      </c>
      <c r="I899" s="460"/>
      <c r="J899" s="460"/>
      <c r="K899" s="460"/>
      <c r="L899" s="460"/>
      <c r="M899" s="460"/>
      <c r="N899" s="220"/>
      <c r="O899" s="220"/>
      <c r="P899" s="220"/>
      <c r="Q899" s="220"/>
      <c r="R899" s="221"/>
      <c r="S899" s="221"/>
      <c r="T899" s="316">
        <f t="shared" si="104"/>
        <v>0</v>
      </c>
      <c r="U899" s="217">
        <f t="shared" si="105"/>
        <v>0</v>
      </c>
      <c r="X899" s="26" t="str">
        <f t="shared" si="106"/>
        <v/>
      </c>
      <c r="Y899" s="21" t="str">
        <f>IF(MATCH(X899,X$300:$X900,0),"Si",1)</f>
        <v>Si</v>
      </c>
      <c r="Z899" s="26">
        <f t="shared" si="107"/>
        <v>0</v>
      </c>
      <c r="AA899" s="26">
        <f t="shared" si="108"/>
        <v>0</v>
      </c>
      <c r="AB899" s="26" t="str">
        <f t="shared" si="109"/>
        <v/>
      </c>
      <c r="AC899" s="26" t="str">
        <f>IF(MATCH(AB899,AB$300:$AB900,0),"0",1)</f>
        <v>0</v>
      </c>
    </row>
    <row r="900" spans="2:29" x14ac:dyDescent="0.35">
      <c r="B900" s="219"/>
      <c r="C900" s="216" t="s">
        <v>1386</v>
      </c>
      <c r="D900" s="216"/>
      <c r="E900" s="220"/>
      <c r="F900" s="220"/>
      <c r="G900" s="220"/>
      <c r="H900" s="220" t="str">
        <f t="shared" si="103"/>
        <v/>
      </c>
      <c r="I900" s="460"/>
      <c r="J900" s="460"/>
      <c r="K900" s="460"/>
      <c r="L900" s="460"/>
      <c r="M900" s="460"/>
      <c r="N900" s="220"/>
      <c r="O900" s="220"/>
      <c r="P900" s="220"/>
      <c r="Q900" s="220"/>
      <c r="R900" s="221"/>
      <c r="S900" s="221"/>
      <c r="T900" s="316">
        <f t="shared" si="104"/>
        <v>0</v>
      </c>
      <c r="U900" s="217">
        <f t="shared" si="105"/>
        <v>0</v>
      </c>
      <c r="X900" s="26" t="str">
        <f t="shared" si="106"/>
        <v/>
      </c>
      <c r="Y900" s="21" t="str">
        <f>IF(MATCH(X900,X$300:$X901,0),"Si",1)</f>
        <v>Si</v>
      </c>
      <c r="Z900" s="26">
        <f t="shared" si="107"/>
        <v>0</v>
      </c>
      <c r="AA900" s="26">
        <f t="shared" si="108"/>
        <v>0</v>
      </c>
      <c r="AB900" s="26" t="str">
        <f t="shared" si="109"/>
        <v/>
      </c>
      <c r="AC900" s="26" t="str">
        <f>IF(MATCH(AB900,AB$300:$AB901,0),"0",1)</f>
        <v>0</v>
      </c>
    </row>
    <row r="901" spans="2:29" x14ac:dyDescent="0.35">
      <c r="B901" s="219"/>
      <c r="C901" s="216" t="s">
        <v>1387</v>
      </c>
      <c r="D901" s="216"/>
      <c r="E901" s="220"/>
      <c r="F901" s="220"/>
      <c r="G901" s="220"/>
      <c r="H901" s="220" t="str">
        <f t="shared" si="103"/>
        <v/>
      </c>
      <c r="I901" s="460"/>
      <c r="J901" s="460"/>
      <c r="K901" s="460"/>
      <c r="L901" s="460"/>
      <c r="M901" s="460"/>
      <c r="N901" s="220"/>
      <c r="O901" s="220"/>
      <c r="P901" s="220"/>
      <c r="Q901" s="220"/>
      <c r="R901" s="221"/>
      <c r="S901" s="221"/>
      <c r="T901" s="316">
        <f t="shared" si="104"/>
        <v>0</v>
      </c>
      <c r="U901" s="217">
        <f t="shared" si="105"/>
        <v>0</v>
      </c>
      <c r="X901" s="26" t="str">
        <f t="shared" si="106"/>
        <v/>
      </c>
      <c r="Y901" s="21" t="str">
        <f>IF(MATCH(X901,X$300:$X902,0),"Si",1)</f>
        <v>Si</v>
      </c>
      <c r="Z901" s="26">
        <f t="shared" si="107"/>
        <v>0</v>
      </c>
      <c r="AA901" s="26">
        <f t="shared" si="108"/>
        <v>0</v>
      </c>
      <c r="AB901" s="26" t="str">
        <f t="shared" si="109"/>
        <v/>
      </c>
      <c r="AC901" s="26" t="str">
        <f>IF(MATCH(AB901,AB$300:$AB902,0),"0",1)</f>
        <v>0</v>
      </c>
    </row>
    <row r="902" spans="2:29" x14ac:dyDescent="0.35">
      <c r="B902" s="219"/>
      <c r="C902" s="216" t="s">
        <v>1388</v>
      </c>
      <c r="D902" s="216"/>
      <c r="E902" s="220"/>
      <c r="F902" s="220"/>
      <c r="G902" s="220"/>
      <c r="H902" s="220" t="str">
        <f t="shared" si="103"/>
        <v/>
      </c>
      <c r="I902" s="460"/>
      <c r="J902" s="460"/>
      <c r="K902" s="460"/>
      <c r="L902" s="460"/>
      <c r="M902" s="460"/>
      <c r="N902" s="220"/>
      <c r="O902" s="220"/>
      <c r="P902" s="220"/>
      <c r="Q902" s="220"/>
      <c r="R902" s="221"/>
      <c r="S902" s="221"/>
      <c r="T902" s="316">
        <f t="shared" si="104"/>
        <v>0</v>
      </c>
      <c r="U902" s="217">
        <f t="shared" si="105"/>
        <v>0</v>
      </c>
      <c r="X902" s="26" t="str">
        <f t="shared" si="106"/>
        <v/>
      </c>
      <c r="Y902" s="21" t="str">
        <f>IF(MATCH(X902,X$300:$X903,0),"Si",1)</f>
        <v>Si</v>
      </c>
      <c r="Z902" s="26">
        <f t="shared" si="107"/>
        <v>0</v>
      </c>
      <c r="AA902" s="26">
        <f t="shared" si="108"/>
        <v>0</v>
      </c>
      <c r="AB902" s="26" t="str">
        <f t="shared" si="109"/>
        <v/>
      </c>
      <c r="AC902" s="26" t="str">
        <f>IF(MATCH(AB902,AB$300:$AB903,0),"0",1)</f>
        <v>0</v>
      </c>
    </row>
    <row r="903" spans="2:29" x14ac:dyDescent="0.35">
      <c r="B903" s="219"/>
      <c r="C903" s="216" t="s">
        <v>1389</v>
      </c>
      <c r="D903" s="216"/>
      <c r="E903" s="220"/>
      <c r="F903" s="220"/>
      <c r="G903" s="220"/>
      <c r="H903" s="220" t="str">
        <f t="shared" si="103"/>
        <v/>
      </c>
      <c r="I903" s="460"/>
      <c r="J903" s="460"/>
      <c r="K903" s="460"/>
      <c r="L903" s="460"/>
      <c r="M903" s="460"/>
      <c r="N903" s="220"/>
      <c r="O903" s="220"/>
      <c r="P903" s="220"/>
      <c r="Q903" s="220"/>
      <c r="R903" s="221"/>
      <c r="S903" s="221"/>
      <c r="T903" s="316">
        <f t="shared" si="104"/>
        <v>0</v>
      </c>
      <c r="U903" s="217">
        <f t="shared" si="105"/>
        <v>0</v>
      </c>
      <c r="X903" s="26" t="str">
        <f t="shared" si="106"/>
        <v/>
      </c>
      <c r="Y903" s="21" t="str">
        <f>IF(MATCH(X903,X$300:$X904,0),"Si",1)</f>
        <v>Si</v>
      </c>
      <c r="Z903" s="26">
        <f t="shared" si="107"/>
        <v>0</v>
      </c>
      <c r="AA903" s="26">
        <f t="shared" si="108"/>
        <v>0</v>
      </c>
      <c r="AB903" s="26" t="str">
        <f t="shared" si="109"/>
        <v/>
      </c>
      <c r="AC903" s="26" t="str">
        <f>IF(MATCH(AB903,AB$300:$AB904,0),"0",1)</f>
        <v>0</v>
      </c>
    </row>
    <row r="904" spans="2:29" x14ac:dyDescent="0.35">
      <c r="B904" s="219"/>
      <c r="C904" s="216" t="s">
        <v>1390</v>
      </c>
      <c r="D904" s="216"/>
      <c r="E904" s="220"/>
      <c r="F904" s="220"/>
      <c r="G904" s="220"/>
      <c r="H904" s="220" t="str">
        <f t="shared" si="103"/>
        <v/>
      </c>
      <c r="I904" s="460"/>
      <c r="J904" s="460"/>
      <c r="K904" s="460"/>
      <c r="L904" s="460"/>
      <c r="M904" s="460"/>
      <c r="N904" s="220"/>
      <c r="O904" s="220"/>
      <c r="P904" s="220"/>
      <c r="Q904" s="220"/>
      <c r="R904" s="221"/>
      <c r="S904" s="221"/>
      <c r="T904" s="316">
        <f t="shared" si="104"/>
        <v>0</v>
      </c>
      <c r="U904" s="217">
        <f t="shared" si="105"/>
        <v>0</v>
      </c>
      <c r="X904" s="26" t="str">
        <f t="shared" si="106"/>
        <v/>
      </c>
      <c r="Y904" s="21" t="str">
        <f>IF(MATCH(X904,X$300:$X905,0),"Si",1)</f>
        <v>Si</v>
      </c>
      <c r="Z904" s="26">
        <f t="shared" si="107"/>
        <v>0</v>
      </c>
      <c r="AA904" s="26">
        <f t="shared" si="108"/>
        <v>0</v>
      </c>
      <c r="AB904" s="26" t="str">
        <f t="shared" si="109"/>
        <v/>
      </c>
      <c r="AC904" s="26" t="str">
        <f>IF(MATCH(AB904,AB$300:$AB905,0),"0",1)</f>
        <v>0</v>
      </c>
    </row>
    <row r="905" spans="2:29" x14ac:dyDescent="0.35">
      <c r="B905" s="219"/>
      <c r="C905" s="216" t="s">
        <v>1391</v>
      </c>
      <c r="D905" s="216"/>
      <c r="E905" s="220"/>
      <c r="F905" s="220"/>
      <c r="G905" s="220"/>
      <c r="H905" s="220" t="str">
        <f t="shared" si="103"/>
        <v/>
      </c>
      <c r="I905" s="460"/>
      <c r="J905" s="460"/>
      <c r="K905" s="460"/>
      <c r="L905" s="460"/>
      <c r="M905" s="460"/>
      <c r="N905" s="220"/>
      <c r="O905" s="220"/>
      <c r="P905" s="220"/>
      <c r="Q905" s="220"/>
      <c r="R905" s="221"/>
      <c r="S905" s="221"/>
      <c r="T905" s="316">
        <f t="shared" si="104"/>
        <v>0</v>
      </c>
      <c r="U905" s="217">
        <f t="shared" si="105"/>
        <v>0</v>
      </c>
      <c r="X905" s="26" t="str">
        <f t="shared" si="106"/>
        <v/>
      </c>
      <c r="Y905" s="21" t="str">
        <f>IF(MATCH(X905,X$300:$X906,0),"Si",1)</f>
        <v>Si</v>
      </c>
      <c r="Z905" s="26">
        <f t="shared" si="107"/>
        <v>0</v>
      </c>
      <c r="AA905" s="26">
        <f t="shared" si="108"/>
        <v>0</v>
      </c>
      <c r="AB905" s="26" t="str">
        <f t="shared" si="109"/>
        <v/>
      </c>
      <c r="AC905" s="26" t="str">
        <f>IF(MATCH(AB905,AB$300:$AB906,0),"0",1)</f>
        <v>0</v>
      </c>
    </row>
    <row r="906" spans="2:29" x14ac:dyDescent="0.35">
      <c r="B906" s="219"/>
      <c r="C906" s="216" t="s">
        <v>1392</v>
      </c>
      <c r="D906" s="216"/>
      <c r="E906" s="220"/>
      <c r="F906" s="220"/>
      <c r="G906" s="220"/>
      <c r="H906" s="220" t="str">
        <f t="shared" si="103"/>
        <v/>
      </c>
      <c r="I906" s="460"/>
      <c r="J906" s="460"/>
      <c r="K906" s="460"/>
      <c r="L906" s="460"/>
      <c r="M906" s="460"/>
      <c r="N906" s="220"/>
      <c r="O906" s="220"/>
      <c r="P906" s="220"/>
      <c r="Q906" s="220"/>
      <c r="R906" s="221"/>
      <c r="S906" s="221"/>
      <c r="T906" s="316">
        <f t="shared" si="104"/>
        <v>0</v>
      </c>
      <c r="U906" s="217">
        <f t="shared" si="105"/>
        <v>0</v>
      </c>
      <c r="X906" s="26" t="str">
        <f t="shared" si="106"/>
        <v/>
      </c>
      <c r="Y906" s="21" t="str">
        <f>IF(MATCH(X906,X$300:$X907,0),"Si",1)</f>
        <v>Si</v>
      </c>
      <c r="Z906" s="26">
        <f t="shared" si="107"/>
        <v>0</v>
      </c>
      <c r="AA906" s="26">
        <f t="shared" si="108"/>
        <v>0</v>
      </c>
      <c r="AB906" s="26" t="str">
        <f t="shared" si="109"/>
        <v/>
      </c>
      <c r="AC906" s="26" t="str">
        <f>IF(MATCH(AB906,AB$300:$AB907,0),"0",1)</f>
        <v>0</v>
      </c>
    </row>
    <row r="907" spans="2:29" x14ac:dyDescent="0.35">
      <c r="B907" s="219"/>
      <c r="C907" s="216" t="s">
        <v>1393</v>
      </c>
      <c r="D907" s="216"/>
      <c r="E907" s="220"/>
      <c r="F907" s="220"/>
      <c r="G907" s="220"/>
      <c r="H907" s="220" t="str">
        <f t="shared" si="103"/>
        <v/>
      </c>
      <c r="I907" s="460"/>
      <c r="J907" s="460"/>
      <c r="K907" s="460"/>
      <c r="L907" s="460"/>
      <c r="M907" s="460"/>
      <c r="N907" s="220"/>
      <c r="O907" s="220"/>
      <c r="P907" s="220"/>
      <c r="Q907" s="220"/>
      <c r="R907" s="221"/>
      <c r="S907" s="221"/>
      <c r="T907" s="316">
        <f t="shared" si="104"/>
        <v>0</v>
      </c>
      <c r="U907" s="217">
        <f t="shared" si="105"/>
        <v>0</v>
      </c>
      <c r="X907" s="26" t="str">
        <f t="shared" si="106"/>
        <v/>
      </c>
      <c r="Y907" s="21" t="str">
        <f>IF(MATCH(X907,X$300:$X908,0),"Si",1)</f>
        <v>Si</v>
      </c>
      <c r="Z907" s="26">
        <f t="shared" si="107"/>
        <v>0</v>
      </c>
      <c r="AA907" s="26">
        <f t="shared" si="108"/>
        <v>0</v>
      </c>
      <c r="AB907" s="26" t="str">
        <f t="shared" si="109"/>
        <v/>
      </c>
      <c r="AC907" s="26" t="str">
        <f>IF(MATCH(AB907,AB$300:$AB908,0),"0",1)</f>
        <v>0</v>
      </c>
    </row>
    <row r="908" spans="2:29" x14ac:dyDescent="0.35">
      <c r="B908" s="219"/>
      <c r="C908" s="216" t="s">
        <v>1394</v>
      </c>
      <c r="D908" s="216"/>
      <c r="E908" s="220"/>
      <c r="F908" s="220"/>
      <c r="G908" s="220"/>
      <c r="H908" s="220" t="str">
        <f t="shared" si="103"/>
        <v/>
      </c>
      <c r="I908" s="460"/>
      <c r="J908" s="460"/>
      <c r="K908" s="460"/>
      <c r="L908" s="460"/>
      <c r="M908" s="460"/>
      <c r="N908" s="220"/>
      <c r="O908" s="220"/>
      <c r="P908" s="220"/>
      <c r="Q908" s="220"/>
      <c r="R908" s="221"/>
      <c r="S908" s="221"/>
      <c r="T908" s="316">
        <f t="shared" si="104"/>
        <v>0</v>
      </c>
      <c r="U908" s="217">
        <f t="shared" si="105"/>
        <v>0</v>
      </c>
      <c r="X908" s="26" t="str">
        <f t="shared" si="106"/>
        <v/>
      </c>
      <c r="Y908" s="21" t="str">
        <f>IF(MATCH(X908,X$300:$X909,0),"Si",1)</f>
        <v>Si</v>
      </c>
      <c r="Z908" s="26">
        <f t="shared" si="107"/>
        <v>0</v>
      </c>
      <c r="AA908" s="26">
        <f t="shared" si="108"/>
        <v>0</v>
      </c>
      <c r="AB908" s="26" t="str">
        <f t="shared" si="109"/>
        <v/>
      </c>
      <c r="AC908" s="26" t="str">
        <f>IF(MATCH(AB908,AB$300:$AB909,0),"0",1)</f>
        <v>0</v>
      </c>
    </row>
    <row r="909" spans="2:29" x14ac:dyDescent="0.35">
      <c r="B909" s="219"/>
      <c r="C909" s="216" t="s">
        <v>1395</v>
      </c>
      <c r="D909" s="216"/>
      <c r="E909" s="220"/>
      <c r="F909" s="220"/>
      <c r="G909" s="220"/>
      <c r="H909" s="220" t="str">
        <f t="shared" si="103"/>
        <v/>
      </c>
      <c r="I909" s="460"/>
      <c r="J909" s="460"/>
      <c r="K909" s="460"/>
      <c r="L909" s="460"/>
      <c r="M909" s="460"/>
      <c r="N909" s="220"/>
      <c r="O909" s="220"/>
      <c r="P909" s="220"/>
      <c r="Q909" s="220"/>
      <c r="R909" s="221"/>
      <c r="S909" s="221"/>
      <c r="T909" s="316">
        <f t="shared" si="104"/>
        <v>0</v>
      </c>
      <c r="U909" s="217">
        <f t="shared" si="105"/>
        <v>0</v>
      </c>
      <c r="X909" s="26" t="str">
        <f t="shared" si="106"/>
        <v/>
      </c>
      <c r="Y909" s="21" t="str">
        <f>IF(MATCH(X909,X$300:$X910,0),"Si",1)</f>
        <v>Si</v>
      </c>
      <c r="Z909" s="26">
        <f t="shared" si="107"/>
        <v>0</v>
      </c>
      <c r="AA909" s="26">
        <f t="shared" si="108"/>
        <v>0</v>
      </c>
      <c r="AB909" s="26" t="str">
        <f t="shared" si="109"/>
        <v/>
      </c>
      <c r="AC909" s="26" t="str">
        <f>IF(MATCH(AB909,AB$300:$AB910,0),"0",1)</f>
        <v>0</v>
      </c>
    </row>
    <row r="910" spans="2:29" x14ac:dyDescent="0.35">
      <c r="B910" s="219"/>
      <c r="C910" s="216" t="s">
        <v>1396</v>
      </c>
      <c r="D910" s="216"/>
      <c r="E910" s="220"/>
      <c r="F910" s="220"/>
      <c r="G910" s="220"/>
      <c r="H910" s="220" t="str">
        <f t="shared" si="103"/>
        <v/>
      </c>
      <c r="I910" s="460"/>
      <c r="J910" s="460"/>
      <c r="K910" s="460"/>
      <c r="L910" s="460"/>
      <c r="M910" s="460"/>
      <c r="N910" s="220"/>
      <c r="O910" s="220"/>
      <c r="P910" s="220"/>
      <c r="Q910" s="220"/>
      <c r="R910" s="221"/>
      <c r="S910" s="221"/>
      <c r="T910" s="316">
        <f t="shared" si="104"/>
        <v>0</v>
      </c>
      <c r="U910" s="217">
        <f t="shared" si="105"/>
        <v>0</v>
      </c>
      <c r="X910" s="26" t="str">
        <f t="shared" si="106"/>
        <v/>
      </c>
      <c r="Y910" s="21" t="str">
        <f>IF(MATCH(X910,X$300:$X911,0),"Si",1)</f>
        <v>Si</v>
      </c>
      <c r="Z910" s="26">
        <f t="shared" si="107"/>
        <v>0</v>
      </c>
      <c r="AA910" s="26">
        <f t="shared" si="108"/>
        <v>0</v>
      </c>
      <c r="AB910" s="26" t="str">
        <f t="shared" si="109"/>
        <v/>
      </c>
      <c r="AC910" s="26" t="str">
        <f>IF(MATCH(AB910,AB$300:$AB911,0),"0",1)</f>
        <v>0</v>
      </c>
    </row>
    <row r="911" spans="2:29" x14ac:dyDescent="0.35">
      <c r="B911" s="219"/>
      <c r="C911" s="216" t="s">
        <v>1397</v>
      </c>
      <c r="D911" s="216"/>
      <c r="E911" s="220"/>
      <c r="F911" s="220"/>
      <c r="G911" s="220"/>
      <c r="H911" s="220" t="str">
        <f t="shared" si="103"/>
        <v/>
      </c>
      <c r="I911" s="460"/>
      <c r="J911" s="460"/>
      <c r="K911" s="460"/>
      <c r="L911" s="460"/>
      <c r="M911" s="460"/>
      <c r="N911" s="220"/>
      <c r="O911" s="220"/>
      <c r="P911" s="220"/>
      <c r="Q911" s="220"/>
      <c r="R911" s="221"/>
      <c r="S911" s="221"/>
      <c r="T911" s="316">
        <f t="shared" si="104"/>
        <v>0</v>
      </c>
      <c r="U911" s="217">
        <f t="shared" si="105"/>
        <v>0</v>
      </c>
      <c r="X911" s="26" t="str">
        <f t="shared" si="106"/>
        <v/>
      </c>
      <c r="Y911" s="21" t="str">
        <f>IF(MATCH(X911,X$300:$X912,0),"Si",1)</f>
        <v>Si</v>
      </c>
      <c r="Z911" s="26">
        <f t="shared" si="107"/>
        <v>0</v>
      </c>
      <c r="AA911" s="26">
        <f t="shared" si="108"/>
        <v>0</v>
      </c>
      <c r="AB911" s="26" t="str">
        <f t="shared" si="109"/>
        <v/>
      </c>
      <c r="AC911" s="26" t="str">
        <f>IF(MATCH(AB911,AB$300:$AB912,0),"0",1)</f>
        <v>0</v>
      </c>
    </row>
    <row r="912" spans="2:29" x14ac:dyDescent="0.35">
      <c r="B912" s="219"/>
      <c r="C912" s="216" t="s">
        <v>1398</v>
      </c>
      <c r="D912" s="216"/>
      <c r="E912" s="220"/>
      <c r="F912" s="220"/>
      <c r="G912" s="220"/>
      <c r="H912" s="220" t="str">
        <f t="shared" si="103"/>
        <v/>
      </c>
      <c r="I912" s="460"/>
      <c r="J912" s="460"/>
      <c r="K912" s="460"/>
      <c r="L912" s="460"/>
      <c r="M912" s="460"/>
      <c r="N912" s="220"/>
      <c r="O912" s="220"/>
      <c r="P912" s="220"/>
      <c r="Q912" s="220"/>
      <c r="R912" s="221"/>
      <c r="S912" s="221"/>
      <c r="T912" s="316">
        <f t="shared" si="104"/>
        <v>0</v>
      </c>
      <c r="U912" s="217">
        <f t="shared" si="105"/>
        <v>0</v>
      </c>
      <c r="X912" s="26" t="str">
        <f t="shared" si="106"/>
        <v/>
      </c>
      <c r="Y912" s="21" t="str">
        <f>IF(MATCH(X912,X$300:$X913,0),"Si",1)</f>
        <v>Si</v>
      </c>
      <c r="Z912" s="26">
        <f t="shared" si="107"/>
        <v>0</v>
      </c>
      <c r="AA912" s="26">
        <f t="shared" si="108"/>
        <v>0</v>
      </c>
      <c r="AB912" s="26" t="str">
        <f t="shared" si="109"/>
        <v/>
      </c>
      <c r="AC912" s="26" t="str">
        <f>IF(MATCH(AB912,AB$300:$AB913,0),"0",1)</f>
        <v>0</v>
      </c>
    </row>
    <row r="913" spans="2:29" x14ac:dyDescent="0.35">
      <c r="B913" s="219"/>
      <c r="C913" s="216" t="s">
        <v>1399</v>
      </c>
      <c r="D913" s="216"/>
      <c r="E913" s="220"/>
      <c r="F913" s="220"/>
      <c r="G913" s="220"/>
      <c r="H913" s="220" t="str">
        <f t="shared" si="103"/>
        <v/>
      </c>
      <c r="I913" s="460"/>
      <c r="J913" s="460"/>
      <c r="K913" s="460"/>
      <c r="L913" s="460"/>
      <c r="M913" s="460"/>
      <c r="N913" s="220"/>
      <c r="O913" s="220"/>
      <c r="P913" s="220"/>
      <c r="Q913" s="220"/>
      <c r="R913" s="221"/>
      <c r="S913" s="221"/>
      <c r="T913" s="316">
        <f t="shared" si="104"/>
        <v>0</v>
      </c>
      <c r="U913" s="217">
        <f t="shared" si="105"/>
        <v>0</v>
      </c>
      <c r="X913" s="26" t="str">
        <f t="shared" si="106"/>
        <v/>
      </c>
      <c r="Y913" s="21" t="str">
        <f>IF(MATCH(X913,X$300:$X914,0),"Si",1)</f>
        <v>Si</v>
      </c>
      <c r="Z913" s="26">
        <f t="shared" si="107"/>
        <v>0</v>
      </c>
      <c r="AA913" s="26">
        <f t="shared" si="108"/>
        <v>0</v>
      </c>
      <c r="AB913" s="26" t="str">
        <f t="shared" si="109"/>
        <v/>
      </c>
      <c r="AC913" s="26" t="str">
        <f>IF(MATCH(AB913,AB$300:$AB914,0),"0",1)</f>
        <v>0</v>
      </c>
    </row>
    <row r="914" spans="2:29" x14ac:dyDescent="0.35">
      <c r="B914" s="219"/>
      <c r="C914" s="216" t="s">
        <v>1400</v>
      </c>
      <c r="D914" s="216"/>
      <c r="E914" s="220"/>
      <c r="F914" s="220"/>
      <c r="G914" s="220"/>
      <c r="H914" s="220" t="str">
        <f t="shared" ref="H914:H977" si="110">IF(G914=0,"",IF(G914&lt;&gt;"Error","No",""))</f>
        <v/>
      </c>
      <c r="I914" s="460"/>
      <c r="J914" s="460"/>
      <c r="K914" s="460"/>
      <c r="L914" s="460"/>
      <c r="M914" s="460"/>
      <c r="N914" s="220"/>
      <c r="O914" s="220"/>
      <c r="P914" s="220"/>
      <c r="Q914" s="220"/>
      <c r="R914" s="221"/>
      <c r="S914" s="221"/>
      <c r="T914" s="316">
        <f t="shared" si="104"/>
        <v>0</v>
      </c>
      <c r="U914" s="217">
        <f t="shared" si="105"/>
        <v>0</v>
      </c>
      <c r="X914" s="26" t="str">
        <f t="shared" si="106"/>
        <v/>
      </c>
      <c r="Y914" s="21" t="str">
        <f>IF(MATCH(X914,X$300:$X915,0),"Si",1)</f>
        <v>Si</v>
      </c>
      <c r="Z914" s="26">
        <f t="shared" si="107"/>
        <v>0</v>
      </c>
      <c r="AA914" s="26">
        <f t="shared" si="108"/>
        <v>0</v>
      </c>
      <c r="AB914" s="26" t="str">
        <f t="shared" si="109"/>
        <v/>
      </c>
      <c r="AC914" s="26" t="str">
        <f>IF(MATCH(AB914,AB$300:$AB915,0),"0",1)</f>
        <v>0</v>
      </c>
    </row>
    <row r="915" spans="2:29" x14ac:dyDescent="0.35">
      <c r="B915" s="219"/>
      <c r="C915" s="216" t="s">
        <v>1401</v>
      </c>
      <c r="D915" s="216"/>
      <c r="E915" s="220"/>
      <c r="F915" s="220"/>
      <c r="G915" s="220"/>
      <c r="H915" s="220" t="str">
        <f t="shared" si="110"/>
        <v/>
      </c>
      <c r="I915" s="460"/>
      <c r="J915" s="460"/>
      <c r="K915" s="460"/>
      <c r="L915" s="460"/>
      <c r="M915" s="460"/>
      <c r="N915" s="220"/>
      <c r="O915" s="220"/>
      <c r="P915" s="220"/>
      <c r="Q915" s="220"/>
      <c r="R915" s="221"/>
      <c r="S915" s="221"/>
      <c r="T915" s="316">
        <f t="shared" si="104"/>
        <v>0</v>
      </c>
      <c r="U915" s="217">
        <f t="shared" si="105"/>
        <v>0</v>
      </c>
      <c r="X915" s="26" t="str">
        <f t="shared" si="106"/>
        <v/>
      </c>
      <c r="Y915" s="21" t="str">
        <f>IF(MATCH(X915,X$300:$X916,0),"Si",1)</f>
        <v>Si</v>
      </c>
      <c r="Z915" s="26">
        <f t="shared" si="107"/>
        <v>0</v>
      </c>
      <c r="AA915" s="26">
        <f t="shared" si="108"/>
        <v>0</v>
      </c>
      <c r="AB915" s="26" t="str">
        <f t="shared" si="109"/>
        <v/>
      </c>
      <c r="AC915" s="26" t="str">
        <f>IF(MATCH(AB915,AB$300:$AB916,0),"0",1)</f>
        <v>0</v>
      </c>
    </row>
    <row r="916" spans="2:29" x14ac:dyDescent="0.35">
      <c r="B916" s="219"/>
      <c r="C916" s="216" t="s">
        <v>1402</v>
      </c>
      <c r="D916" s="216"/>
      <c r="E916" s="220"/>
      <c r="F916" s="220"/>
      <c r="G916" s="220"/>
      <c r="H916" s="220" t="str">
        <f t="shared" si="110"/>
        <v/>
      </c>
      <c r="I916" s="460"/>
      <c r="J916" s="460"/>
      <c r="K916" s="460"/>
      <c r="L916" s="460"/>
      <c r="M916" s="460"/>
      <c r="N916" s="220"/>
      <c r="O916" s="220"/>
      <c r="P916" s="220"/>
      <c r="Q916" s="220"/>
      <c r="R916" s="221"/>
      <c r="S916" s="221"/>
      <c r="T916" s="316">
        <f t="shared" si="104"/>
        <v>0</v>
      </c>
      <c r="U916" s="217">
        <f t="shared" si="105"/>
        <v>0</v>
      </c>
      <c r="X916" s="26" t="str">
        <f t="shared" si="106"/>
        <v/>
      </c>
      <c r="Y916" s="21" t="str">
        <f>IF(MATCH(X916,X$300:$X917,0),"Si",1)</f>
        <v>Si</v>
      </c>
      <c r="Z916" s="26">
        <f t="shared" si="107"/>
        <v>0</v>
      </c>
      <c r="AA916" s="26">
        <f t="shared" si="108"/>
        <v>0</v>
      </c>
      <c r="AB916" s="26" t="str">
        <f t="shared" si="109"/>
        <v/>
      </c>
      <c r="AC916" s="26" t="str">
        <f>IF(MATCH(AB916,AB$300:$AB917,0),"0",1)</f>
        <v>0</v>
      </c>
    </row>
    <row r="917" spans="2:29" x14ac:dyDescent="0.35">
      <c r="B917" s="219"/>
      <c r="C917" s="216" t="s">
        <v>1403</v>
      </c>
      <c r="D917" s="216"/>
      <c r="E917" s="220"/>
      <c r="F917" s="220"/>
      <c r="G917" s="220"/>
      <c r="H917" s="220" t="str">
        <f t="shared" si="110"/>
        <v/>
      </c>
      <c r="I917" s="460"/>
      <c r="J917" s="460"/>
      <c r="K917" s="460"/>
      <c r="L917" s="460"/>
      <c r="M917" s="460"/>
      <c r="N917" s="220"/>
      <c r="O917" s="220"/>
      <c r="P917" s="220"/>
      <c r="Q917" s="220"/>
      <c r="R917" s="221"/>
      <c r="S917" s="221"/>
      <c r="T917" s="316">
        <f t="shared" si="104"/>
        <v>0</v>
      </c>
      <c r="U917" s="217">
        <f t="shared" si="105"/>
        <v>0</v>
      </c>
      <c r="X917" s="26" t="str">
        <f t="shared" si="106"/>
        <v/>
      </c>
      <c r="Y917" s="21" t="str">
        <f>IF(MATCH(X917,X$300:$X918,0),"Si",1)</f>
        <v>Si</v>
      </c>
      <c r="Z917" s="26">
        <f t="shared" si="107"/>
        <v>0</v>
      </c>
      <c r="AA917" s="26">
        <f t="shared" si="108"/>
        <v>0</v>
      </c>
      <c r="AB917" s="26" t="str">
        <f t="shared" si="109"/>
        <v/>
      </c>
      <c r="AC917" s="26" t="str">
        <f>IF(MATCH(AB917,AB$300:$AB918,0),"0",1)</f>
        <v>0</v>
      </c>
    </row>
    <row r="918" spans="2:29" x14ac:dyDescent="0.35">
      <c r="B918" s="219"/>
      <c r="C918" s="216" t="s">
        <v>1404</v>
      </c>
      <c r="D918" s="216"/>
      <c r="E918" s="220"/>
      <c r="F918" s="220"/>
      <c r="G918" s="220"/>
      <c r="H918" s="220" t="str">
        <f t="shared" si="110"/>
        <v/>
      </c>
      <c r="I918" s="460"/>
      <c r="J918" s="460"/>
      <c r="K918" s="460"/>
      <c r="L918" s="460"/>
      <c r="M918" s="460"/>
      <c r="N918" s="220"/>
      <c r="O918" s="220"/>
      <c r="P918" s="220"/>
      <c r="Q918" s="220"/>
      <c r="R918" s="221"/>
      <c r="S918" s="221"/>
      <c r="T918" s="316">
        <f t="shared" si="104"/>
        <v>0</v>
      </c>
      <c r="U918" s="217">
        <f t="shared" si="105"/>
        <v>0</v>
      </c>
      <c r="X918" s="26" t="str">
        <f t="shared" si="106"/>
        <v/>
      </c>
      <c r="Y918" s="21" t="str">
        <f>IF(MATCH(X918,X$300:$X919,0),"Si",1)</f>
        <v>Si</v>
      </c>
      <c r="Z918" s="26">
        <f t="shared" si="107"/>
        <v>0</v>
      </c>
      <c r="AA918" s="26">
        <f t="shared" si="108"/>
        <v>0</v>
      </c>
      <c r="AB918" s="26" t="str">
        <f t="shared" si="109"/>
        <v/>
      </c>
      <c r="AC918" s="26" t="str">
        <f>IF(MATCH(AB918,AB$300:$AB919,0),"0",1)</f>
        <v>0</v>
      </c>
    </row>
    <row r="919" spans="2:29" x14ac:dyDescent="0.35">
      <c r="B919" s="219"/>
      <c r="C919" s="216" t="s">
        <v>1405</v>
      </c>
      <c r="D919" s="216"/>
      <c r="E919" s="220"/>
      <c r="F919" s="220"/>
      <c r="G919" s="220"/>
      <c r="H919" s="220" t="str">
        <f t="shared" si="110"/>
        <v/>
      </c>
      <c r="I919" s="460"/>
      <c r="J919" s="460"/>
      <c r="K919" s="460"/>
      <c r="L919" s="460"/>
      <c r="M919" s="460"/>
      <c r="N919" s="220"/>
      <c r="O919" s="220"/>
      <c r="P919" s="220"/>
      <c r="Q919" s="220"/>
      <c r="R919" s="221"/>
      <c r="S919" s="221"/>
      <c r="T919" s="316">
        <f t="shared" si="104"/>
        <v>0</v>
      </c>
      <c r="U919" s="217">
        <f t="shared" si="105"/>
        <v>0</v>
      </c>
      <c r="X919" s="26" t="str">
        <f t="shared" si="106"/>
        <v/>
      </c>
      <c r="Y919" s="21" t="str">
        <f>IF(MATCH(X919,X$300:$X920,0),"Si",1)</f>
        <v>Si</v>
      </c>
      <c r="Z919" s="26">
        <f t="shared" si="107"/>
        <v>0</v>
      </c>
      <c r="AA919" s="26">
        <f t="shared" si="108"/>
        <v>0</v>
      </c>
      <c r="AB919" s="26" t="str">
        <f t="shared" si="109"/>
        <v/>
      </c>
      <c r="AC919" s="26" t="str">
        <f>IF(MATCH(AB919,AB$300:$AB920,0),"0",1)</f>
        <v>0</v>
      </c>
    </row>
    <row r="920" spans="2:29" x14ac:dyDescent="0.35">
      <c r="B920" s="219"/>
      <c r="C920" s="216" t="s">
        <v>1406</v>
      </c>
      <c r="D920" s="216"/>
      <c r="E920" s="220"/>
      <c r="F920" s="220"/>
      <c r="G920" s="220"/>
      <c r="H920" s="220" t="str">
        <f t="shared" si="110"/>
        <v/>
      </c>
      <c r="I920" s="460"/>
      <c r="J920" s="460"/>
      <c r="K920" s="460"/>
      <c r="L920" s="460"/>
      <c r="M920" s="460"/>
      <c r="N920" s="220"/>
      <c r="O920" s="220"/>
      <c r="P920" s="220"/>
      <c r="Q920" s="220"/>
      <c r="R920" s="221"/>
      <c r="S920" s="221"/>
      <c r="T920" s="316">
        <f t="shared" si="104"/>
        <v>0</v>
      </c>
      <c r="U920" s="217">
        <f t="shared" si="105"/>
        <v>0</v>
      </c>
      <c r="X920" s="26" t="str">
        <f t="shared" si="106"/>
        <v/>
      </c>
      <c r="Y920" s="21" t="str">
        <f>IF(MATCH(X920,X$300:$X921,0),"Si",1)</f>
        <v>Si</v>
      </c>
      <c r="Z920" s="26">
        <f t="shared" si="107"/>
        <v>0</v>
      </c>
      <c r="AA920" s="26">
        <f t="shared" si="108"/>
        <v>0</v>
      </c>
      <c r="AB920" s="26" t="str">
        <f t="shared" si="109"/>
        <v/>
      </c>
      <c r="AC920" s="26" t="str">
        <f>IF(MATCH(AB920,AB$300:$AB921,0),"0",1)</f>
        <v>0</v>
      </c>
    </row>
    <row r="921" spans="2:29" x14ac:dyDescent="0.35">
      <c r="B921" s="219"/>
      <c r="C921" s="216" t="s">
        <v>1407</v>
      </c>
      <c r="D921" s="216"/>
      <c r="E921" s="220"/>
      <c r="F921" s="220"/>
      <c r="G921" s="220"/>
      <c r="H921" s="220" t="str">
        <f t="shared" si="110"/>
        <v/>
      </c>
      <c r="I921" s="460"/>
      <c r="J921" s="460"/>
      <c r="K921" s="460"/>
      <c r="L921" s="460"/>
      <c r="M921" s="460"/>
      <c r="N921" s="220"/>
      <c r="O921" s="220"/>
      <c r="P921" s="220"/>
      <c r="Q921" s="220"/>
      <c r="R921" s="221"/>
      <c r="S921" s="221"/>
      <c r="T921" s="316">
        <f t="shared" si="104"/>
        <v>0</v>
      </c>
      <c r="U921" s="217">
        <f t="shared" si="105"/>
        <v>0</v>
      </c>
      <c r="X921" s="26" t="str">
        <f t="shared" si="106"/>
        <v/>
      </c>
      <c r="Y921" s="21" t="str">
        <f>IF(MATCH(X921,X$300:$X922,0),"Si",1)</f>
        <v>Si</v>
      </c>
      <c r="Z921" s="26">
        <f t="shared" si="107"/>
        <v>0</v>
      </c>
      <c r="AA921" s="26">
        <f t="shared" si="108"/>
        <v>0</v>
      </c>
      <c r="AB921" s="26" t="str">
        <f t="shared" si="109"/>
        <v/>
      </c>
      <c r="AC921" s="26" t="str">
        <f>IF(MATCH(AB921,AB$300:$AB922,0),"0",1)</f>
        <v>0</v>
      </c>
    </row>
    <row r="922" spans="2:29" x14ac:dyDescent="0.35">
      <c r="B922" s="219"/>
      <c r="C922" s="216" t="s">
        <v>1408</v>
      </c>
      <c r="D922" s="216"/>
      <c r="E922" s="220"/>
      <c r="F922" s="220"/>
      <c r="G922" s="220"/>
      <c r="H922" s="220" t="str">
        <f t="shared" si="110"/>
        <v/>
      </c>
      <c r="I922" s="460"/>
      <c r="J922" s="460"/>
      <c r="K922" s="460"/>
      <c r="L922" s="460"/>
      <c r="M922" s="460"/>
      <c r="N922" s="220"/>
      <c r="O922" s="220"/>
      <c r="P922" s="220"/>
      <c r="Q922" s="220"/>
      <c r="R922" s="221"/>
      <c r="S922" s="221"/>
      <c r="T922" s="316">
        <f t="shared" si="104"/>
        <v>0</v>
      </c>
      <c r="U922" s="217">
        <f t="shared" si="105"/>
        <v>0</v>
      </c>
      <c r="X922" s="26" t="str">
        <f t="shared" si="106"/>
        <v/>
      </c>
      <c r="Y922" s="21" t="str">
        <f>IF(MATCH(X922,X$300:$X923,0),"Si",1)</f>
        <v>Si</v>
      </c>
      <c r="Z922" s="26">
        <f t="shared" si="107"/>
        <v>0</v>
      </c>
      <c r="AA922" s="26">
        <f t="shared" si="108"/>
        <v>0</v>
      </c>
      <c r="AB922" s="26" t="str">
        <f t="shared" si="109"/>
        <v/>
      </c>
      <c r="AC922" s="26" t="str">
        <f>IF(MATCH(AB922,AB$300:$AB923,0),"0",1)</f>
        <v>0</v>
      </c>
    </row>
    <row r="923" spans="2:29" x14ac:dyDescent="0.35">
      <c r="B923" s="219"/>
      <c r="C923" s="216" t="s">
        <v>1409</v>
      </c>
      <c r="D923" s="216"/>
      <c r="E923" s="220"/>
      <c r="F923" s="220"/>
      <c r="G923" s="220"/>
      <c r="H923" s="220" t="str">
        <f t="shared" si="110"/>
        <v/>
      </c>
      <c r="I923" s="460"/>
      <c r="J923" s="460"/>
      <c r="K923" s="460"/>
      <c r="L923" s="460"/>
      <c r="M923" s="460"/>
      <c r="N923" s="220"/>
      <c r="O923" s="220"/>
      <c r="P923" s="220"/>
      <c r="Q923" s="220"/>
      <c r="R923" s="221"/>
      <c r="S923" s="221"/>
      <c r="T923" s="316">
        <f t="shared" ref="T923:T986" si="111">IF(S923=0,0,IF(S923&lt;R923,"Error en fecha solución",IFERROR(AC923,NETWORKDAYS(R923,S923)-1)))</f>
        <v>0</v>
      </c>
      <c r="U923" s="217">
        <f t="shared" ref="U923:U986" si="112">IFERROR(T923*8,"Error")</f>
        <v>0</v>
      </c>
      <c r="X923" s="26" t="str">
        <f t="shared" ref="X923:X986" si="113">CONCATENATE(H923,O923,R923,S923)</f>
        <v/>
      </c>
      <c r="Y923" s="21" t="str">
        <f>IF(MATCH(X923,X$300:$X924,0),"Si",1)</f>
        <v>Si</v>
      </c>
      <c r="Z923" s="26">
        <f t="shared" ref="Z923:Z986" si="114">IF(S923=0,0,IF(S923&lt;R923,"Error en fecha solución",IF(Y923="Si",0,IFERROR(Y923,NETWORKDAYS(R923,S923)-1))))</f>
        <v>0</v>
      </c>
      <c r="AA923" s="26">
        <f t="shared" ref="AA923:AA986" si="115">IF(S923=0,0,IF(S923&lt;R923,"Error en fecha solución",IFERROR(Z923,NETWORKDAYS(R923,S923)-1)))</f>
        <v>0</v>
      </c>
      <c r="AB923" s="26" t="str">
        <f t="shared" ref="AB923:AB986" si="116">CONCATENATE(R923,S923)</f>
        <v/>
      </c>
      <c r="AC923" s="26" t="str">
        <f>IF(MATCH(AB923,AB$300:$AB924,0),"0",1)</f>
        <v>0</v>
      </c>
    </row>
    <row r="924" spans="2:29" x14ac:dyDescent="0.35">
      <c r="B924" s="219"/>
      <c r="C924" s="216" t="s">
        <v>1410</v>
      </c>
      <c r="D924" s="216"/>
      <c r="E924" s="220"/>
      <c r="F924" s="220"/>
      <c r="G924" s="220"/>
      <c r="H924" s="220" t="str">
        <f t="shared" si="110"/>
        <v/>
      </c>
      <c r="I924" s="460"/>
      <c r="J924" s="460"/>
      <c r="K924" s="460"/>
      <c r="L924" s="460"/>
      <c r="M924" s="460"/>
      <c r="N924" s="220"/>
      <c r="O924" s="220"/>
      <c r="P924" s="220"/>
      <c r="Q924" s="220"/>
      <c r="R924" s="221"/>
      <c r="S924" s="221"/>
      <c r="T924" s="316">
        <f t="shared" si="111"/>
        <v>0</v>
      </c>
      <c r="U924" s="217">
        <f t="shared" si="112"/>
        <v>0</v>
      </c>
      <c r="X924" s="26" t="str">
        <f t="shared" si="113"/>
        <v/>
      </c>
      <c r="Y924" s="21" t="str">
        <f>IF(MATCH(X924,X$300:$X925,0),"Si",1)</f>
        <v>Si</v>
      </c>
      <c r="Z924" s="26">
        <f t="shared" si="114"/>
        <v>0</v>
      </c>
      <c r="AA924" s="26">
        <f t="shared" si="115"/>
        <v>0</v>
      </c>
      <c r="AB924" s="26" t="str">
        <f t="shared" si="116"/>
        <v/>
      </c>
      <c r="AC924" s="26" t="str">
        <f>IF(MATCH(AB924,AB$300:$AB925,0),"0",1)</f>
        <v>0</v>
      </c>
    </row>
    <row r="925" spans="2:29" x14ac:dyDescent="0.35">
      <c r="B925" s="219"/>
      <c r="C925" s="216" t="s">
        <v>1411</v>
      </c>
      <c r="D925" s="216"/>
      <c r="E925" s="220"/>
      <c r="F925" s="220"/>
      <c r="G925" s="220"/>
      <c r="H925" s="220" t="str">
        <f t="shared" si="110"/>
        <v/>
      </c>
      <c r="I925" s="460"/>
      <c r="J925" s="460"/>
      <c r="K925" s="460"/>
      <c r="L925" s="460"/>
      <c r="M925" s="460"/>
      <c r="N925" s="220"/>
      <c r="O925" s="220"/>
      <c r="P925" s="220"/>
      <c r="Q925" s="220"/>
      <c r="R925" s="221"/>
      <c r="S925" s="221"/>
      <c r="T925" s="316">
        <f t="shared" si="111"/>
        <v>0</v>
      </c>
      <c r="U925" s="217">
        <f t="shared" si="112"/>
        <v>0</v>
      </c>
      <c r="X925" s="26" t="str">
        <f t="shared" si="113"/>
        <v/>
      </c>
      <c r="Y925" s="21" t="str">
        <f>IF(MATCH(X925,X$300:$X926,0),"Si",1)</f>
        <v>Si</v>
      </c>
      <c r="Z925" s="26">
        <f t="shared" si="114"/>
        <v>0</v>
      </c>
      <c r="AA925" s="26">
        <f t="shared" si="115"/>
        <v>0</v>
      </c>
      <c r="AB925" s="26" t="str">
        <f t="shared" si="116"/>
        <v/>
      </c>
      <c r="AC925" s="26" t="str">
        <f>IF(MATCH(AB925,AB$300:$AB926,0),"0",1)</f>
        <v>0</v>
      </c>
    </row>
    <row r="926" spans="2:29" x14ac:dyDescent="0.35">
      <c r="B926" s="219"/>
      <c r="C926" s="216" t="s">
        <v>1412</v>
      </c>
      <c r="D926" s="216"/>
      <c r="E926" s="220"/>
      <c r="F926" s="220"/>
      <c r="G926" s="220"/>
      <c r="H926" s="220" t="str">
        <f t="shared" si="110"/>
        <v/>
      </c>
      <c r="I926" s="460"/>
      <c r="J926" s="460"/>
      <c r="K926" s="460"/>
      <c r="L926" s="460"/>
      <c r="M926" s="460"/>
      <c r="N926" s="220"/>
      <c r="O926" s="220"/>
      <c r="P926" s="220"/>
      <c r="Q926" s="220"/>
      <c r="R926" s="221"/>
      <c r="S926" s="221"/>
      <c r="T926" s="316">
        <f t="shared" si="111"/>
        <v>0</v>
      </c>
      <c r="U926" s="217">
        <f t="shared" si="112"/>
        <v>0</v>
      </c>
      <c r="X926" s="26" t="str">
        <f t="shared" si="113"/>
        <v/>
      </c>
      <c r="Y926" s="21" t="str">
        <f>IF(MATCH(X926,X$300:$X927,0),"Si",1)</f>
        <v>Si</v>
      </c>
      <c r="Z926" s="26">
        <f t="shared" si="114"/>
        <v>0</v>
      </c>
      <c r="AA926" s="26">
        <f t="shared" si="115"/>
        <v>0</v>
      </c>
      <c r="AB926" s="26" t="str">
        <f t="shared" si="116"/>
        <v/>
      </c>
      <c r="AC926" s="26" t="str">
        <f>IF(MATCH(AB926,AB$300:$AB927,0),"0",1)</f>
        <v>0</v>
      </c>
    </row>
    <row r="927" spans="2:29" x14ac:dyDescent="0.35">
      <c r="B927" s="219"/>
      <c r="C927" s="216" t="s">
        <v>1413</v>
      </c>
      <c r="D927" s="216"/>
      <c r="E927" s="220"/>
      <c r="F927" s="220"/>
      <c r="G927" s="220"/>
      <c r="H927" s="220" t="str">
        <f t="shared" si="110"/>
        <v/>
      </c>
      <c r="I927" s="460"/>
      <c r="J927" s="460"/>
      <c r="K927" s="460"/>
      <c r="L927" s="460"/>
      <c r="M927" s="460"/>
      <c r="N927" s="220"/>
      <c r="O927" s="220"/>
      <c r="P927" s="220"/>
      <c r="Q927" s="220"/>
      <c r="R927" s="221"/>
      <c r="S927" s="221"/>
      <c r="T927" s="316">
        <f t="shared" si="111"/>
        <v>0</v>
      </c>
      <c r="U927" s="217">
        <f t="shared" si="112"/>
        <v>0</v>
      </c>
      <c r="X927" s="26" t="str">
        <f t="shared" si="113"/>
        <v/>
      </c>
      <c r="Y927" s="21" t="str">
        <f>IF(MATCH(X927,X$300:$X928,0),"Si",1)</f>
        <v>Si</v>
      </c>
      <c r="Z927" s="26">
        <f t="shared" si="114"/>
        <v>0</v>
      </c>
      <c r="AA927" s="26">
        <f t="shared" si="115"/>
        <v>0</v>
      </c>
      <c r="AB927" s="26" t="str">
        <f t="shared" si="116"/>
        <v/>
      </c>
      <c r="AC927" s="26" t="str">
        <f>IF(MATCH(AB927,AB$300:$AB928,0),"0",1)</f>
        <v>0</v>
      </c>
    </row>
    <row r="928" spans="2:29" x14ac:dyDescent="0.35">
      <c r="B928" s="219"/>
      <c r="C928" s="216" t="s">
        <v>1414</v>
      </c>
      <c r="D928" s="216"/>
      <c r="E928" s="220"/>
      <c r="F928" s="220"/>
      <c r="G928" s="220"/>
      <c r="H928" s="220" t="str">
        <f t="shared" si="110"/>
        <v/>
      </c>
      <c r="I928" s="460"/>
      <c r="J928" s="460"/>
      <c r="K928" s="460"/>
      <c r="L928" s="460"/>
      <c r="M928" s="460"/>
      <c r="N928" s="220"/>
      <c r="O928" s="220"/>
      <c r="P928" s="220"/>
      <c r="Q928" s="220"/>
      <c r="R928" s="221"/>
      <c r="S928" s="221"/>
      <c r="T928" s="316">
        <f t="shared" si="111"/>
        <v>0</v>
      </c>
      <c r="U928" s="217">
        <f t="shared" si="112"/>
        <v>0</v>
      </c>
      <c r="X928" s="26" t="str">
        <f t="shared" si="113"/>
        <v/>
      </c>
      <c r="Y928" s="21" t="str">
        <f>IF(MATCH(X928,X$300:$X929,0),"Si",1)</f>
        <v>Si</v>
      </c>
      <c r="Z928" s="26">
        <f t="shared" si="114"/>
        <v>0</v>
      </c>
      <c r="AA928" s="26">
        <f t="shared" si="115"/>
        <v>0</v>
      </c>
      <c r="AB928" s="26" t="str">
        <f t="shared" si="116"/>
        <v/>
      </c>
      <c r="AC928" s="26" t="str">
        <f>IF(MATCH(AB928,AB$300:$AB929,0),"0",1)</f>
        <v>0</v>
      </c>
    </row>
    <row r="929" spans="2:29" x14ac:dyDescent="0.35">
      <c r="B929" s="219"/>
      <c r="C929" s="216" t="s">
        <v>1415</v>
      </c>
      <c r="D929" s="216"/>
      <c r="E929" s="220"/>
      <c r="F929" s="220"/>
      <c r="G929" s="220"/>
      <c r="H929" s="220" t="str">
        <f t="shared" si="110"/>
        <v/>
      </c>
      <c r="I929" s="460"/>
      <c r="J929" s="460"/>
      <c r="K929" s="460"/>
      <c r="L929" s="460"/>
      <c r="M929" s="460"/>
      <c r="N929" s="220"/>
      <c r="O929" s="220"/>
      <c r="P929" s="220"/>
      <c r="Q929" s="220"/>
      <c r="R929" s="221"/>
      <c r="S929" s="221"/>
      <c r="T929" s="316">
        <f t="shared" si="111"/>
        <v>0</v>
      </c>
      <c r="U929" s="217">
        <f t="shared" si="112"/>
        <v>0</v>
      </c>
      <c r="X929" s="26" t="str">
        <f t="shared" si="113"/>
        <v/>
      </c>
      <c r="Y929" s="21" t="str">
        <f>IF(MATCH(X929,X$300:$X930,0),"Si",1)</f>
        <v>Si</v>
      </c>
      <c r="Z929" s="26">
        <f t="shared" si="114"/>
        <v>0</v>
      </c>
      <c r="AA929" s="26">
        <f t="shared" si="115"/>
        <v>0</v>
      </c>
      <c r="AB929" s="26" t="str">
        <f t="shared" si="116"/>
        <v/>
      </c>
      <c r="AC929" s="26" t="str">
        <f>IF(MATCH(AB929,AB$300:$AB930,0),"0",1)</f>
        <v>0</v>
      </c>
    </row>
    <row r="930" spans="2:29" x14ac:dyDescent="0.35">
      <c r="B930" s="219"/>
      <c r="C930" s="216" t="s">
        <v>1416</v>
      </c>
      <c r="D930" s="216"/>
      <c r="E930" s="220"/>
      <c r="F930" s="220"/>
      <c r="G930" s="220"/>
      <c r="H930" s="220" t="str">
        <f t="shared" si="110"/>
        <v/>
      </c>
      <c r="I930" s="460"/>
      <c r="J930" s="460"/>
      <c r="K930" s="460"/>
      <c r="L930" s="460"/>
      <c r="M930" s="460"/>
      <c r="N930" s="220"/>
      <c r="O930" s="220"/>
      <c r="P930" s="220"/>
      <c r="Q930" s="220"/>
      <c r="R930" s="221"/>
      <c r="S930" s="221"/>
      <c r="T930" s="316">
        <f t="shared" si="111"/>
        <v>0</v>
      </c>
      <c r="U930" s="217">
        <f t="shared" si="112"/>
        <v>0</v>
      </c>
      <c r="X930" s="26" t="str">
        <f t="shared" si="113"/>
        <v/>
      </c>
      <c r="Y930" s="21" t="str">
        <f>IF(MATCH(X930,X$300:$X931,0),"Si",1)</f>
        <v>Si</v>
      </c>
      <c r="Z930" s="26">
        <f t="shared" si="114"/>
        <v>0</v>
      </c>
      <c r="AA930" s="26">
        <f t="shared" si="115"/>
        <v>0</v>
      </c>
      <c r="AB930" s="26" t="str">
        <f t="shared" si="116"/>
        <v/>
      </c>
      <c r="AC930" s="26" t="str">
        <f>IF(MATCH(AB930,AB$300:$AB931,0),"0",1)</f>
        <v>0</v>
      </c>
    </row>
    <row r="931" spans="2:29" x14ac:dyDescent="0.35">
      <c r="B931" s="219"/>
      <c r="C931" s="216" t="s">
        <v>1417</v>
      </c>
      <c r="D931" s="216"/>
      <c r="E931" s="220"/>
      <c r="F931" s="220"/>
      <c r="G931" s="220"/>
      <c r="H931" s="220" t="str">
        <f t="shared" si="110"/>
        <v/>
      </c>
      <c r="I931" s="460"/>
      <c r="J931" s="460"/>
      <c r="K931" s="460"/>
      <c r="L931" s="460"/>
      <c r="M931" s="460"/>
      <c r="N931" s="220"/>
      <c r="O931" s="220"/>
      <c r="P931" s="220"/>
      <c r="Q931" s="220"/>
      <c r="R931" s="221"/>
      <c r="S931" s="221"/>
      <c r="T931" s="316">
        <f t="shared" si="111"/>
        <v>0</v>
      </c>
      <c r="U931" s="217">
        <f t="shared" si="112"/>
        <v>0</v>
      </c>
      <c r="X931" s="26" t="str">
        <f t="shared" si="113"/>
        <v/>
      </c>
      <c r="Y931" s="21" t="str">
        <f>IF(MATCH(X931,X$300:$X932,0),"Si",1)</f>
        <v>Si</v>
      </c>
      <c r="Z931" s="26">
        <f t="shared" si="114"/>
        <v>0</v>
      </c>
      <c r="AA931" s="26">
        <f t="shared" si="115"/>
        <v>0</v>
      </c>
      <c r="AB931" s="26" t="str">
        <f t="shared" si="116"/>
        <v/>
      </c>
      <c r="AC931" s="26" t="str">
        <f>IF(MATCH(AB931,AB$300:$AB932,0),"0",1)</f>
        <v>0</v>
      </c>
    </row>
    <row r="932" spans="2:29" x14ac:dyDescent="0.35">
      <c r="B932" s="219"/>
      <c r="C932" s="216" t="s">
        <v>1418</v>
      </c>
      <c r="D932" s="216"/>
      <c r="E932" s="220"/>
      <c r="F932" s="220"/>
      <c r="G932" s="220"/>
      <c r="H932" s="220" t="str">
        <f t="shared" si="110"/>
        <v/>
      </c>
      <c r="I932" s="460"/>
      <c r="J932" s="460"/>
      <c r="K932" s="460"/>
      <c r="L932" s="460"/>
      <c r="M932" s="460"/>
      <c r="N932" s="220"/>
      <c r="O932" s="220"/>
      <c r="P932" s="220"/>
      <c r="Q932" s="220"/>
      <c r="R932" s="221"/>
      <c r="S932" s="221"/>
      <c r="T932" s="316">
        <f t="shared" si="111"/>
        <v>0</v>
      </c>
      <c r="U932" s="217">
        <f t="shared" si="112"/>
        <v>0</v>
      </c>
      <c r="X932" s="26" t="str">
        <f t="shared" si="113"/>
        <v/>
      </c>
      <c r="Y932" s="21" t="str">
        <f>IF(MATCH(X932,X$300:$X933,0),"Si",1)</f>
        <v>Si</v>
      </c>
      <c r="Z932" s="26">
        <f t="shared" si="114"/>
        <v>0</v>
      </c>
      <c r="AA932" s="26">
        <f t="shared" si="115"/>
        <v>0</v>
      </c>
      <c r="AB932" s="26" t="str">
        <f t="shared" si="116"/>
        <v/>
      </c>
      <c r="AC932" s="26" t="str">
        <f>IF(MATCH(AB932,AB$300:$AB933,0),"0",1)</f>
        <v>0</v>
      </c>
    </row>
    <row r="933" spans="2:29" x14ac:dyDescent="0.35">
      <c r="B933" s="219"/>
      <c r="C933" s="216" t="s">
        <v>1419</v>
      </c>
      <c r="D933" s="216"/>
      <c r="E933" s="220"/>
      <c r="F933" s="220"/>
      <c r="G933" s="220"/>
      <c r="H933" s="220" t="str">
        <f t="shared" si="110"/>
        <v/>
      </c>
      <c r="I933" s="460"/>
      <c r="J933" s="460"/>
      <c r="K933" s="460"/>
      <c r="L933" s="460"/>
      <c r="M933" s="460"/>
      <c r="N933" s="220"/>
      <c r="O933" s="220"/>
      <c r="P933" s="220"/>
      <c r="Q933" s="220"/>
      <c r="R933" s="221"/>
      <c r="S933" s="221"/>
      <c r="T933" s="316">
        <f t="shared" si="111"/>
        <v>0</v>
      </c>
      <c r="U933" s="217">
        <f t="shared" si="112"/>
        <v>0</v>
      </c>
      <c r="X933" s="26" t="str">
        <f t="shared" si="113"/>
        <v/>
      </c>
      <c r="Y933" s="21" t="str">
        <f>IF(MATCH(X933,X$300:$X934,0),"Si",1)</f>
        <v>Si</v>
      </c>
      <c r="Z933" s="26">
        <f t="shared" si="114"/>
        <v>0</v>
      </c>
      <c r="AA933" s="26">
        <f t="shared" si="115"/>
        <v>0</v>
      </c>
      <c r="AB933" s="26" t="str">
        <f t="shared" si="116"/>
        <v/>
      </c>
      <c r="AC933" s="26" t="str">
        <f>IF(MATCH(AB933,AB$300:$AB934,0),"0",1)</f>
        <v>0</v>
      </c>
    </row>
    <row r="934" spans="2:29" x14ac:dyDescent="0.35">
      <c r="B934" s="219"/>
      <c r="C934" s="216" t="s">
        <v>1420</v>
      </c>
      <c r="D934" s="216"/>
      <c r="E934" s="220"/>
      <c r="F934" s="220"/>
      <c r="G934" s="220"/>
      <c r="H934" s="220" t="str">
        <f t="shared" si="110"/>
        <v/>
      </c>
      <c r="I934" s="460"/>
      <c r="J934" s="460"/>
      <c r="K934" s="460"/>
      <c r="L934" s="460"/>
      <c r="M934" s="460"/>
      <c r="N934" s="220"/>
      <c r="O934" s="220"/>
      <c r="P934" s="220"/>
      <c r="Q934" s="220"/>
      <c r="R934" s="221"/>
      <c r="S934" s="221"/>
      <c r="T934" s="316">
        <f t="shared" si="111"/>
        <v>0</v>
      </c>
      <c r="U934" s="217">
        <f t="shared" si="112"/>
        <v>0</v>
      </c>
      <c r="X934" s="26" t="str">
        <f t="shared" si="113"/>
        <v/>
      </c>
      <c r="Y934" s="21" t="str">
        <f>IF(MATCH(X934,X$300:$X935,0),"Si",1)</f>
        <v>Si</v>
      </c>
      <c r="Z934" s="26">
        <f t="shared" si="114"/>
        <v>0</v>
      </c>
      <c r="AA934" s="26">
        <f t="shared" si="115"/>
        <v>0</v>
      </c>
      <c r="AB934" s="26" t="str">
        <f t="shared" si="116"/>
        <v/>
      </c>
      <c r="AC934" s="26" t="str">
        <f>IF(MATCH(AB934,AB$300:$AB935,0),"0",1)</f>
        <v>0</v>
      </c>
    </row>
    <row r="935" spans="2:29" x14ac:dyDescent="0.35">
      <c r="B935" s="219"/>
      <c r="C935" s="216" t="s">
        <v>1421</v>
      </c>
      <c r="D935" s="216"/>
      <c r="E935" s="220"/>
      <c r="F935" s="220"/>
      <c r="G935" s="220"/>
      <c r="H935" s="220" t="str">
        <f t="shared" si="110"/>
        <v/>
      </c>
      <c r="I935" s="460"/>
      <c r="J935" s="460"/>
      <c r="K935" s="460"/>
      <c r="L935" s="460"/>
      <c r="M935" s="460"/>
      <c r="N935" s="220"/>
      <c r="O935" s="220"/>
      <c r="P935" s="220"/>
      <c r="Q935" s="220"/>
      <c r="R935" s="221"/>
      <c r="S935" s="221"/>
      <c r="T935" s="316">
        <f t="shared" si="111"/>
        <v>0</v>
      </c>
      <c r="U935" s="217">
        <f t="shared" si="112"/>
        <v>0</v>
      </c>
      <c r="X935" s="26" t="str">
        <f t="shared" si="113"/>
        <v/>
      </c>
      <c r="Y935" s="21" t="str">
        <f>IF(MATCH(X935,X$300:$X936,0),"Si",1)</f>
        <v>Si</v>
      </c>
      <c r="Z935" s="26">
        <f t="shared" si="114"/>
        <v>0</v>
      </c>
      <c r="AA935" s="26">
        <f t="shared" si="115"/>
        <v>0</v>
      </c>
      <c r="AB935" s="26" t="str">
        <f t="shared" si="116"/>
        <v/>
      </c>
      <c r="AC935" s="26" t="str">
        <f>IF(MATCH(AB935,AB$300:$AB936,0),"0",1)</f>
        <v>0</v>
      </c>
    </row>
    <row r="936" spans="2:29" x14ac:dyDescent="0.35">
      <c r="B936" s="219"/>
      <c r="C936" s="216" t="s">
        <v>1422</v>
      </c>
      <c r="D936" s="216"/>
      <c r="E936" s="220"/>
      <c r="F936" s="220"/>
      <c r="G936" s="220"/>
      <c r="H936" s="220" t="str">
        <f t="shared" si="110"/>
        <v/>
      </c>
      <c r="I936" s="460"/>
      <c r="J936" s="460"/>
      <c r="K936" s="460"/>
      <c r="L936" s="460"/>
      <c r="M936" s="460"/>
      <c r="N936" s="220"/>
      <c r="O936" s="220"/>
      <c r="P936" s="220"/>
      <c r="Q936" s="220"/>
      <c r="R936" s="221"/>
      <c r="S936" s="221"/>
      <c r="T936" s="316">
        <f t="shared" si="111"/>
        <v>0</v>
      </c>
      <c r="U936" s="217">
        <f t="shared" si="112"/>
        <v>0</v>
      </c>
      <c r="X936" s="26" t="str">
        <f t="shared" si="113"/>
        <v/>
      </c>
      <c r="Y936" s="21" t="str">
        <f>IF(MATCH(X936,X$300:$X937,0),"Si",1)</f>
        <v>Si</v>
      </c>
      <c r="Z936" s="26">
        <f t="shared" si="114"/>
        <v>0</v>
      </c>
      <c r="AA936" s="26">
        <f t="shared" si="115"/>
        <v>0</v>
      </c>
      <c r="AB936" s="26" t="str">
        <f t="shared" si="116"/>
        <v/>
      </c>
      <c r="AC936" s="26" t="str">
        <f>IF(MATCH(AB936,AB$300:$AB937,0),"0",1)</f>
        <v>0</v>
      </c>
    </row>
    <row r="937" spans="2:29" x14ac:dyDescent="0.35">
      <c r="B937" s="219"/>
      <c r="C937" s="216" t="s">
        <v>1423</v>
      </c>
      <c r="D937" s="216"/>
      <c r="E937" s="220"/>
      <c r="F937" s="220"/>
      <c r="G937" s="220"/>
      <c r="H937" s="220" t="str">
        <f t="shared" si="110"/>
        <v/>
      </c>
      <c r="I937" s="460"/>
      <c r="J937" s="460"/>
      <c r="K937" s="460"/>
      <c r="L937" s="460"/>
      <c r="M937" s="460"/>
      <c r="N937" s="220"/>
      <c r="O937" s="220"/>
      <c r="P937" s="220"/>
      <c r="Q937" s="220"/>
      <c r="R937" s="221"/>
      <c r="S937" s="221"/>
      <c r="T937" s="316">
        <f t="shared" si="111"/>
        <v>0</v>
      </c>
      <c r="U937" s="217">
        <f t="shared" si="112"/>
        <v>0</v>
      </c>
      <c r="X937" s="26" t="str">
        <f t="shared" si="113"/>
        <v/>
      </c>
      <c r="Y937" s="21" t="str">
        <f>IF(MATCH(X937,X$300:$X938,0),"Si",1)</f>
        <v>Si</v>
      </c>
      <c r="Z937" s="26">
        <f t="shared" si="114"/>
        <v>0</v>
      </c>
      <c r="AA937" s="26">
        <f t="shared" si="115"/>
        <v>0</v>
      </c>
      <c r="AB937" s="26" t="str">
        <f t="shared" si="116"/>
        <v/>
      </c>
      <c r="AC937" s="26" t="str">
        <f>IF(MATCH(AB937,AB$300:$AB938,0),"0",1)</f>
        <v>0</v>
      </c>
    </row>
    <row r="938" spans="2:29" x14ac:dyDescent="0.35">
      <c r="B938" s="219"/>
      <c r="C938" s="216" t="s">
        <v>1424</v>
      </c>
      <c r="D938" s="216"/>
      <c r="E938" s="220"/>
      <c r="F938" s="220"/>
      <c r="G938" s="220"/>
      <c r="H938" s="220" t="str">
        <f t="shared" si="110"/>
        <v/>
      </c>
      <c r="I938" s="460"/>
      <c r="J938" s="460"/>
      <c r="K938" s="460"/>
      <c r="L938" s="460"/>
      <c r="M938" s="460"/>
      <c r="N938" s="220"/>
      <c r="O938" s="220"/>
      <c r="P938" s="220"/>
      <c r="Q938" s="220"/>
      <c r="R938" s="221"/>
      <c r="S938" s="221"/>
      <c r="T938" s="316">
        <f t="shared" si="111"/>
        <v>0</v>
      </c>
      <c r="U938" s="217">
        <f t="shared" si="112"/>
        <v>0</v>
      </c>
      <c r="X938" s="26" t="str">
        <f t="shared" si="113"/>
        <v/>
      </c>
      <c r="Y938" s="21" t="str">
        <f>IF(MATCH(X938,X$300:$X939,0),"Si",1)</f>
        <v>Si</v>
      </c>
      <c r="Z938" s="26">
        <f t="shared" si="114"/>
        <v>0</v>
      </c>
      <c r="AA938" s="26">
        <f t="shared" si="115"/>
        <v>0</v>
      </c>
      <c r="AB938" s="26" t="str">
        <f t="shared" si="116"/>
        <v/>
      </c>
      <c r="AC938" s="26" t="str">
        <f>IF(MATCH(AB938,AB$300:$AB939,0),"0",1)</f>
        <v>0</v>
      </c>
    </row>
    <row r="939" spans="2:29" x14ac:dyDescent="0.35">
      <c r="B939" s="219"/>
      <c r="C939" s="216" t="s">
        <v>1425</v>
      </c>
      <c r="D939" s="216"/>
      <c r="E939" s="220"/>
      <c r="F939" s="220"/>
      <c r="G939" s="220"/>
      <c r="H939" s="220" t="str">
        <f t="shared" si="110"/>
        <v/>
      </c>
      <c r="I939" s="460"/>
      <c r="J939" s="460"/>
      <c r="K939" s="460"/>
      <c r="L939" s="460"/>
      <c r="M939" s="460"/>
      <c r="N939" s="220"/>
      <c r="O939" s="220"/>
      <c r="P939" s="220"/>
      <c r="Q939" s="220"/>
      <c r="R939" s="221"/>
      <c r="S939" s="221"/>
      <c r="T939" s="316">
        <f t="shared" si="111"/>
        <v>0</v>
      </c>
      <c r="U939" s="217">
        <f t="shared" si="112"/>
        <v>0</v>
      </c>
      <c r="X939" s="26" t="str">
        <f t="shared" si="113"/>
        <v/>
      </c>
      <c r="Y939" s="21" t="str">
        <f>IF(MATCH(X939,X$300:$X940,0),"Si",1)</f>
        <v>Si</v>
      </c>
      <c r="Z939" s="26">
        <f t="shared" si="114"/>
        <v>0</v>
      </c>
      <c r="AA939" s="26">
        <f t="shared" si="115"/>
        <v>0</v>
      </c>
      <c r="AB939" s="26" t="str">
        <f t="shared" si="116"/>
        <v/>
      </c>
      <c r="AC939" s="26" t="str">
        <f>IF(MATCH(AB939,AB$300:$AB940,0),"0",1)</f>
        <v>0</v>
      </c>
    </row>
    <row r="940" spans="2:29" x14ac:dyDescent="0.35">
      <c r="B940" s="219"/>
      <c r="C940" s="216" t="s">
        <v>1426</v>
      </c>
      <c r="D940" s="216"/>
      <c r="E940" s="220"/>
      <c r="F940" s="220"/>
      <c r="G940" s="220"/>
      <c r="H940" s="220" t="str">
        <f t="shared" si="110"/>
        <v/>
      </c>
      <c r="I940" s="460"/>
      <c r="J940" s="460"/>
      <c r="K940" s="460"/>
      <c r="L940" s="460"/>
      <c r="M940" s="460"/>
      <c r="N940" s="220"/>
      <c r="O940" s="220"/>
      <c r="P940" s="220"/>
      <c r="Q940" s="220"/>
      <c r="R940" s="221"/>
      <c r="S940" s="221"/>
      <c r="T940" s="316">
        <f t="shared" si="111"/>
        <v>0</v>
      </c>
      <c r="U940" s="217">
        <f t="shared" si="112"/>
        <v>0</v>
      </c>
      <c r="X940" s="26" t="str">
        <f t="shared" si="113"/>
        <v/>
      </c>
      <c r="Y940" s="21" t="str">
        <f>IF(MATCH(X940,X$300:$X941,0),"Si",1)</f>
        <v>Si</v>
      </c>
      <c r="Z940" s="26">
        <f t="shared" si="114"/>
        <v>0</v>
      </c>
      <c r="AA940" s="26">
        <f t="shared" si="115"/>
        <v>0</v>
      </c>
      <c r="AB940" s="26" t="str">
        <f t="shared" si="116"/>
        <v/>
      </c>
      <c r="AC940" s="26" t="str">
        <f>IF(MATCH(AB940,AB$300:$AB941,0),"0",1)</f>
        <v>0</v>
      </c>
    </row>
    <row r="941" spans="2:29" x14ac:dyDescent="0.35">
      <c r="B941" s="219"/>
      <c r="C941" s="216" t="s">
        <v>1427</v>
      </c>
      <c r="D941" s="216"/>
      <c r="E941" s="220"/>
      <c r="F941" s="220"/>
      <c r="G941" s="220"/>
      <c r="H941" s="220" t="str">
        <f t="shared" si="110"/>
        <v/>
      </c>
      <c r="I941" s="460"/>
      <c r="J941" s="460"/>
      <c r="K941" s="460"/>
      <c r="L941" s="460"/>
      <c r="M941" s="460"/>
      <c r="N941" s="220"/>
      <c r="O941" s="220"/>
      <c r="P941" s="220"/>
      <c r="Q941" s="220"/>
      <c r="R941" s="221"/>
      <c r="S941" s="221"/>
      <c r="T941" s="316">
        <f t="shared" si="111"/>
        <v>0</v>
      </c>
      <c r="U941" s="217">
        <f t="shared" si="112"/>
        <v>0</v>
      </c>
      <c r="X941" s="26" t="str">
        <f t="shared" si="113"/>
        <v/>
      </c>
      <c r="Y941" s="21" t="str">
        <f>IF(MATCH(X941,X$300:$X942,0),"Si",1)</f>
        <v>Si</v>
      </c>
      <c r="Z941" s="26">
        <f t="shared" si="114"/>
        <v>0</v>
      </c>
      <c r="AA941" s="26">
        <f t="shared" si="115"/>
        <v>0</v>
      </c>
      <c r="AB941" s="26" t="str">
        <f t="shared" si="116"/>
        <v/>
      </c>
      <c r="AC941" s="26" t="str">
        <f>IF(MATCH(AB941,AB$300:$AB942,0),"0",1)</f>
        <v>0</v>
      </c>
    </row>
    <row r="942" spans="2:29" x14ac:dyDescent="0.35">
      <c r="B942" s="219"/>
      <c r="C942" s="216" t="s">
        <v>1428</v>
      </c>
      <c r="D942" s="216"/>
      <c r="E942" s="220"/>
      <c r="F942" s="220"/>
      <c r="G942" s="220"/>
      <c r="H942" s="220" t="str">
        <f t="shared" si="110"/>
        <v/>
      </c>
      <c r="I942" s="460"/>
      <c r="J942" s="460"/>
      <c r="K942" s="460"/>
      <c r="L942" s="460"/>
      <c r="M942" s="460"/>
      <c r="N942" s="220"/>
      <c r="O942" s="220"/>
      <c r="P942" s="220"/>
      <c r="Q942" s="220"/>
      <c r="R942" s="221"/>
      <c r="S942" s="221"/>
      <c r="T942" s="316">
        <f t="shared" si="111"/>
        <v>0</v>
      </c>
      <c r="U942" s="217">
        <f t="shared" si="112"/>
        <v>0</v>
      </c>
      <c r="X942" s="26" t="str">
        <f t="shared" si="113"/>
        <v/>
      </c>
      <c r="Y942" s="21" t="str">
        <f>IF(MATCH(X942,X$300:$X943,0),"Si",1)</f>
        <v>Si</v>
      </c>
      <c r="Z942" s="26">
        <f t="shared" si="114"/>
        <v>0</v>
      </c>
      <c r="AA942" s="26">
        <f t="shared" si="115"/>
        <v>0</v>
      </c>
      <c r="AB942" s="26" t="str">
        <f t="shared" si="116"/>
        <v/>
      </c>
      <c r="AC942" s="26" t="str">
        <f>IF(MATCH(AB942,AB$300:$AB943,0),"0",1)</f>
        <v>0</v>
      </c>
    </row>
    <row r="943" spans="2:29" x14ac:dyDescent="0.35">
      <c r="B943" s="219"/>
      <c r="C943" s="216" t="s">
        <v>1429</v>
      </c>
      <c r="D943" s="216"/>
      <c r="E943" s="220"/>
      <c r="F943" s="220"/>
      <c r="G943" s="220"/>
      <c r="H943" s="220" t="str">
        <f t="shared" si="110"/>
        <v/>
      </c>
      <c r="I943" s="460"/>
      <c r="J943" s="460"/>
      <c r="K943" s="460"/>
      <c r="L943" s="460"/>
      <c r="M943" s="460"/>
      <c r="N943" s="220"/>
      <c r="O943" s="220"/>
      <c r="P943" s="220"/>
      <c r="Q943" s="220"/>
      <c r="R943" s="221"/>
      <c r="S943" s="221"/>
      <c r="T943" s="316">
        <f t="shared" si="111"/>
        <v>0</v>
      </c>
      <c r="U943" s="217">
        <f t="shared" si="112"/>
        <v>0</v>
      </c>
      <c r="X943" s="26" t="str">
        <f t="shared" si="113"/>
        <v/>
      </c>
      <c r="Y943" s="21" t="str">
        <f>IF(MATCH(X943,X$300:$X944,0),"Si",1)</f>
        <v>Si</v>
      </c>
      <c r="Z943" s="26">
        <f t="shared" si="114"/>
        <v>0</v>
      </c>
      <c r="AA943" s="26">
        <f t="shared" si="115"/>
        <v>0</v>
      </c>
      <c r="AB943" s="26" t="str">
        <f t="shared" si="116"/>
        <v/>
      </c>
      <c r="AC943" s="26" t="str">
        <f>IF(MATCH(AB943,AB$300:$AB944,0),"0",1)</f>
        <v>0</v>
      </c>
    </row>
    <row r="944" spans="2:29" x14ac:dyDescent="0.35">
      <c r="B944" s="219"/>
      <c r="C944" s="216" t="s">
        <v>1430</v>
      </c>
      <c r="D944" s="216"/>
      <c r="E944" s="220"/>
      <c r="F944" s="220"/>
      <c r="G944" s="220"/>
      <c r="H944" s="220" t="str">
        <f t="shared" si="110"/>
        <v/>
      </c>
      <c r="I944" s="460"/>
      <c r="J944" s="460"/>
      <c r="K944" s="460"/>
      <c r="L944" s="460"/>
      <c r="M944" s="460"/>
      <c r="N944" s="220"/>
      <c r="O944" s="220"/>
      <c r="P944" s="220"/>
      <c r="Q944" s="220"/>
      <c r="R944" s="221"/>
      <c r="S944" s="221"/>
      <c r="T944" s="316">
        <f t="shared" si="111"/>
        <v>0</v>
      </c>
      <c r="U944" s="217">
        <f t="shared" si="112"/>
        <v>0</v>
      </c>
      <c r="X944" s="26" t="str">
        <f t="shared" si="113"/>
        <v/>
      </c>
      <c r="Y944" s="21" t="str">
        <f>IF(MATCH(X944,X$300:$X945,0),"Si",1)</f>
        <v>Si</v>
      </c>
      <c r="Z944" s="26">
        <f t="shared" si="114"/>
        <v>0</v>
      </c>
      <c r="AA944" s="26">
        <f t="shared" si="115"/>
        <v>0</v>
      </c>
      <c r="AB944" s="26" t="str">
        <f t="shared" si="116"/>
        <v/>
      </c>
      <c r="AC944" s="26" t="str">
        <f>IF(MATCH(AB944,AB$300:$AB945,0),"0",1)</f>
        <v>0</v>
      </c>
    </row>
    <row r="945" spans="2:29" x14ac:dyDescent="0.35">
      <c r="B945" s="219"/>
      <c r="C945" s="216" t="s">
        <v>1431</v>
      </c>
      <c r="D945" s="216"/>
      <c r="E945" s="220"/>
      <c r="F945" s="220"/>
      <c r="G945" s="220"/>
      <c r="H945" s="220" t="str">
        <f t="shared" si="110"/>
        <v/>
      </c>
      <c r="I945" s="460"/>
      <c r="J945" s="460"/>
      <c r="K945" s="460"/>
      <c r="L945" s="460"/>
      <c r="M945" s="460"/>
      <c r="N945" s="220"/>
      <c r="O945" s="220"/>
      <c r="P945" s="220"/>
      <c r="Q945" s="220"/>
      <c r="R945" s="221"/>
      <c r="S945" s="221"/>
      <c r="T945" s="316">
        <f t="shared" si="111"/>
        <v>0</v>
      </c>
      <c r="U945" s="217">
        <f t="shared" si="112"/>
        <v>0</v>
      </c>
      <c r="X945" s="26" t="str">
        <f t="shared" si="113"/>
        <v/>
      </c>
      <c r="Y945" s="21" t="str">
        <f>IF(MATCH(X945,X$300:$X946,0),"Si",1)</f>
        <v>Si</v>
      </c>
      <c r="Z945" s="26">
        <f t="shared" si="114"/>
        <v>0</v>
      </c>
      <c r="AA945" s="26">
        <f t="shared" si="115"/>
        <v>0</v>
      </c>
      <c r="AB945" s="26" t="str">
        <f t="shared" si="116"/>
        <v/>
      </c>
      <c r="AC945" s="26" t="str">
        <f>IF(MATCH(AB945,AB$300:$AB946,0),"0",1)</f>
        <v>0</v>
      </c>
    </row>
    <row r="946" spans="2:29" x14ac:dyDescent="0.35">
      <c r="B946" s="219"/>
      <c r="C946" s="216" t="s">
        <v>1432</v>
      </c>
      <c r="D946" s="216"/>
      <c r="E946" s="220"/>
      <c r="F946" s="220"/>
      <c r="G946" s="220"/>
      <c r="H946" s="220" t="str">
        <f t="shared" si="110"/>
        <v/>
      </c>
      <c r="I946" s="460"/>
      <c r="J946" s="460"/>
      <c r="K946" s="460"/>
      <c r="L946" s="460"/>
      <c r="M946" s="460"/>
      <c r="N946" s="220"/>
      <c r="O946" s="220"/>
      <c r="P946" s="220"/>
      <c r="Q946" s="220"/>
      <c r="R946" s="221"/>
      <c r="S946" s="221"/>
      <c r="T946" s="316">
        <f t="shared" si="111"/>
        <v>0</v>
      </c>
      <c r="U946" s="217">
        <f t="shared" si="112"/>
        <v>0</v>
      </c>
      <c r="X946" s="26" t="str">
        <f t="shared" si="113"/>
        <v/>
      </c>
      <c r="Y946" s="21" t="str">
        <f>IF(MATCH(X946,X$300:$X947,0),"Si",1)</f>
        <v>Si</v>
      </c>
      <c r="Z946" s="26">
        <f t="shared" si="114"/>
        <v>0</v>
      </c>
      <c r="AA946" s="26">
        <f t="shared" si="115"/>
        <v>0</v>
      </c>
      <c r="AB946" s="26" t="str">
        <f t="shared" si="116"/>
        <v/>
      </c>
      <c r="AC946" s="26" t="str">
        <f>IF(MATCH(AB946,AB$300:$AB947,0),"0",1)</f>
        <v>0</v>
      </c>
    </row>
    <row r="947" spans="2:29" x14ac:dyDescent="0.35">
      <c r="B947" s="219"/>
      <c r="C947" s="216" t="s">
        <v>1433</v>
      </c>
      <c r="D947" s="216"/>
      <c r="E947" s="220"/>
      <c r="F947" s="220"/>
      <c r="G947" s="220"/>
      <c r="H947" s="220" t="str">
        <f t="shared" si="110"/>
        <v/>
      </c>
      <c r="I947" s="460"/>
      <c r="J947" s="460"/>
      <c r="K947" s="460"/>
      <c r="L947" s="460"/>
      <c r="M947" s="460"/>
      <c r="N947" s="220"/>
      <c r="O947" s="220"/>
      <c r="P947" s="220"/>
      <c r="Q947" s="220"/>
      <c r="R947" s="221"/>
      <c r="S947" s="221"/>
      <c r="T947" s="316">
        <f t="shared" si="111"/>
        <v>0</v>
      </c>
      <c r="U947" s="217">
        <f t="shared" si="112"/>
        <v>0</v>
      </c>
      <c r="X947" s="26" t="str">
        <f t="shared" si="113"/>
        <v/>
      </c>
      <c r="Y947" s="21" t="str">
        <f>IF(MATCH(X947,X$300:$X948,0),"Si",1)</f>
        <v>Si</v>
      </c>
      <c r="Z947" s="26">
        <f t="shared" si="114"/>
        <v>0</v>
      </c>
      <c r="AA947" s="26">
        <f t="shared" si="115"/>
        <v>0</v>
      </c>
      <c r="AB947" s="26" t="str">
        <f t="shared" si="116"/>
        <v/>
      </c>
      <c r="AC947" s="26" t="str">
        <f>IF(MATCH(AB947,AB$300:$AB948,0),"0",1)</f>
        <v>0</v>
      </c>
    </row>
    <row r="948" spans="2:29" x14ac:dyDescent="0.35">
      <c r="B948" s="219"/>
      <c r="C948" s="216" t="s">
        <v>1434</v>
      </c>
      <c r="D948" s="216"/>
      <c r="E948" s="220"/>
      <c r="F948" s="220"/>
      <c r="G948" s="220"/>
      <c r="H948" s="220" t="str">
        <f t="shared" si="110"/>
        <v/>
      </c>
      <c r="I948" s="460"/>
      <c r="J948" s="460"/>
      <c r="K948" s="460"/>
      <c r="L948" s="460"/>
      <c r="M948" s="460"/>
      <c r="N948" s="220"/>
      <c r="O948" s="220"/>
      <c r="P948" s="220"/>
      <c r="Q948" s="220"/>
      <c r="R948" s="221"/>
      <c r="S948" s="221"/>
      <c r="T948" s="316">
        <f t="shared" si="111"/>
        <v>0</v>
      </c>
      <c r="U948" s="217">
        <f t="shared" si="112"/>
        <v>0</v>
      </c>
      <c r="X948" s="26" t="str">
        <f t="shared" si="113"/>
        <v/>
      </c>
      <c r="Y948" s="21" t="str">
        <f>IF(MATCH(X948,X$300:$X949,0),"Si",1)</f>
        <v>Si</v>
      </c>
      <c r="Z948" s="26">
        <f t="shared" si="114"/>
        <v>0</v>
      </c>
      <c r="AA948" s="26">
        <f t="shared" si="115"/>
        <v>0</v>
      </c>
      <c r="AB948" s="26" t="str">
        <f t="shared" si="116"/>
        <v/>
      </c>
      <c r="AC948" s="26" t="str">
        <f>IF(MATCH(AB948,AB$300:$AB949,0),"0",1)</f>
        <v>0</v>
      </c>
    </row>
    <row r="949" spans="2:29" x14ac:dyDescent="0.35">
      <c r="B949" s="219"/>
      <c r="C949" s="216" t="s">
        <v>1435</v>
      </c>
      <c r="D949" s="216"/>
      <c r="E949" s="220"/>
      <c r="F949" s="220"/>
      <c r="G949" s="220"/>
      <c r="H949" s="220" t="str">
        <f t="shared" si="110"/>
        <v/>
      </c>
      <c r="I949" s="460"/>
      <c r="J949" s="460"/>
      <c r="K949" s="460"/>
      <c r="L949" s="460"/>
      <c r="M949" s="460"/>
      <c r="N949" s="220"/>
      <c r="O949" s="220"/>
      <c r="P949" s="220"/>
      <c r="Q949" s="220"/>
      <c r="R949" s="221"/>
      <c r="S949" s="221"/>
      <c r="T949" s="316">
        <f t="shared" si="111"/>
        <v>0</v>
      </c>
      <c r="U949" s="217">
        <f t="shared" si="112"/>
        <v>0</v>
      </c>
      <c r="X949" s="26" t="str">
        <f t="shared" si="113"/>
        <v/>
      </c>
      <c r="Y949" s="21" t="str">
        <f>IF(MATCH(X949,X$300:$X950,0),"Si",1)</f>
        <v>Si</v>
      </c>
      <c r="Z949" s="26">
        <f t="shared" si="114"/>
        <v>0</v>
      </c>
      <c r="AA949" s="26">
        <f t="shared" si="115"/>
        <v>0</v>
      </c>
      <c r="AB949" s="26" t="str">
        <f t="shared" si="116"/>
        <v/>
      </c>
      <c r="AC949" s="26" t="str">
        <f>IF(MATCH(AB949,AB$300:$AB950,0),"0",1)</f>
        <v>0</v>
      </c>
    </row>
    <row r="950" spans="2:29" x14ac:dyDescent="0.35">
      <c r="B950" s="219"/>
      <c r="C950" s="216" t="s">
        <v>1436</v>
      </c>
      <c r="D950" s="216"/>
      <c r="E950" s="220"/>
      <c r="F950" s="220"/>
      <c r="G950" s="220"/>
      <c r="H950" s="220" t="str">
        <f t="shared" si="110"/>
        <v/>
      </c>
      <c r="I950" s="460"/>
      <c r="J950" s="460"/>
      <c r="K950" s="460"/>
      <c r="L950" s="460"/>
      <c r="M950" s="460"/>
      <c r="N950" s="220"/>
      <c r="O950" s="220"/>
      <c r="P950" s="220"/>
      <c r="Q950" s="220"/>
      <c r="R950" s="221"/>
      <c r="S950" s="221"/>
      <c r="T950" s="316">
        <f t="shared" si="111"/>
        <v>0</v>
      </c>
      <c r="U950" s="217">
        <f t="shared" si="112"/>
        <v>0</v>
      </c>
      <c r="X950" s="26" t="str">
        <f t="shared" si="113"/>
        <v/>
      </c>
      <c r="Y950" s="21" t="str">
        <f>IF(MATCH(X950,X$300:$X951,0),"Si",1)</f>
        <v>Si</v>
      </c>
      <c r="Z950" s="26">
        <f t="shared" si="114"/>
        <v>0</v>
      </c>
      <c r="AA950" s="26">
        <f t="shared" si="115"/>
        <v>0</v>
      </c>
      <c r="AB950" s="26" t="str">
        <f t="shared" si="116"/>
        <v/>
      </c>
      <c r="AC950" s="26" t="str">
        <f>IF(MATCH(AB950,AB$300:$AB951,0),"0",1)</f>
        <v>0</v>
      </c>
    </row>
    <row r="951" spans="2:29" x14ac:dyDescent="0.35">
      <c r="B951" s="219"/>
      <c r="C951" s="216" t="s">
        <v>1437</v>
      </c>
      <c r="D951" s="216"/>
      <c r="E951" s="220"/>
      <c r="F951" s="220"/>
      <c r="G951" s="220"/>
      <c r="H951" s="220" t="str">
        <f t="shared" si="110"/>
        <v/>
      </c>
      <c r="I951" s="460"/>
      <c r="J951" s="460"/>
      <c r="K951" s="460"/>
      <c r="L951" s="460"/>
      <c r="M951" s="460"/>
      <c r="N951" s="220"/>
      <c r="O951" s="220"/>
      <c r="P951" s="220"/>
      <c r="Q951" s="220"/>
      <c r="R951" s="221"/>
      <c r="S951" s="221"/>
      <c r="T951" s="316">
        <f t="shared" si="111"/>
        <v>0</v>
      </c>
      <c r="U951" s="217">
        <f t="shared" si="112"/>
        <v>0</v>
      </c>
      <c r="X951" s="26" t="str">
        <f t="shared" si="113"/>
        <v/>
      </c>
      <c r="Y951" s="21" t="str">
        <f>IF(MATCH(X951,X$300:$X952,0),"Si",1)</f>
        <v>Si</v>
      </c>
      <c r="Z951" s="26">
        <f t="shared" si="114"/>
        <v>0</v>
      </c>
      <c r="AA951" s="26">
        <f t="shared" si="115"/>
        <v>0</v>
      </c>
      <c r="AB951" s="26" t="str">
        <f t="shared" si="116"/>
        <v/>
      </c>
      <c r="AC951" s="26" t="str">
        <f>IF(MATCH(AB951,AB$300:$AB952,0),"0",1)</f>
        <v>0</v>
      </c>
    </row>
    <row r="952" spans="2:29" x14ac:dyDescent="0.35">
      <c r="B952" s="219"/>
      <c r="C952" s="216" t="s">
        <v>1438</v>
      </c>
      <c r="D952" s="216"/>
      <c r="E952" s="220"/>
      <c r="F952" s="220"/>
      <c r="G952" s="220"/>
      <c r="H952" s="220" t="str">
        <f t="shared" si="110"/>
        <v/>
      </c>
      <c r="I952" s="460"/>
      <c r="J952" s="460"/>
      <c r="K952" s="460"/>
      <c r="L952" s="460"/>
      <c r="M952" s="460"/>
      <c r="N952" s="220"/>
      <c r="O952" s="220"/>
      <c r="P952" s="220"/>
      <c r="Q952" s="220"/>
      <c r="R952" s="221"/>
      <c r="S952" s="221"/>
      <c r="T952" s="316">
        <f t="shared" si="111"/>
        <v>0</v>
      </c>
      <c r="U952" s="217">
        <f t="shared" si="112"/>
        <v>0</v>
      </c>
      <c r="X952" s="26" t="str">
        <f t="shared" si="113"/>
        <v/>
      </c>
      <c r="Y952" s="21" t="str">
        <f>IF(MATCH(X952,X$300:$X953,0),"Si",1)</f>
        <v>Si</v>
      </c>
      <c r="Z952" s="26">
        <f t="shared" si="114"/>
        <v>0</v>
      </c>
      <c r="AA952" s="26">
        <f t="shared" si="115"/>
        <v>0</v>
      </c>
      <c r="AB952" s="26" t="str">
        <f t="shared" si="116"/>
        <v/>
      </c>
      <c r="AC952" s="26" t="str">
        <f>IF(MATCH(AB952,AB$300:$AB953,0),"0",1)</f>
        <v>0</v>
      </c>
    </row>
    <row r="953" spans="2:29" x14ac:dyDescent="0.35">
      <c r="B953" s="219"/>
      <c r="C953" s="216" t="s">
        <v>1439</v>
      </c>
      <c r="D953" s="216"/>
      <c r="E953" s="220"/>
      <c r="F953" s="220"/>
      <c r="G953" s="220"/>
      <c r="H953" s="220" t="str">
        <f t="shared" si="110"/>
        <v/>
      </c>
      <c r="I953" s="460"/>
      <c r="J953" s="460"/>
      <c r="K953" s="460"/>
      <c r="L953" s="460"/>
      <c r="M953" s="460"/>
      <c r="N953" s="220"/>
      <c r="O953" s="220"/>
      <c r="P953" s="220"/>
      <c r="Q953" s="220"/>
      <c r="R953" s="221"/>
      <c r="S953" s="221"/>
      <c r="T953" s="316">
        <f t="shared" si="111"/>
        <v>0</v>
      </c>
      <c r="U953" s="217">
        <f t="shared" si="112"/>
        <v>0</v>
      </c>
      <c r="X953" s="26" t="str">
        <f t="shared" si="113"/>
        <v/>
      </c>
      <c r="Y953" s="21" t="str">
        <f>IF(MATCH(X953,X$300:$X954,0),"Si",1)</f>
        <v>Si</v>
      </c>
      <c r="Z953" s="26">
        <f t="shared" si="114"/>
        <v>0</v>
      </c>
      <c r="AA953" s="26">
        <f t="shared" si="115"/>
        <v>0</v>
      </c>
      <c r="AB953" s="26" t="str">
        <f t="shared" si="116"/>
        <v/>
      </c>
      <c r="AC953" s="26" t="str">
        <f>IF(MATCH(AB953,AB$300:$AB954,0),"0",1)</f>
        <v>0</v>
      </c>
    </row>
    <row r="954" spans="2:29" x14ac:dyDescent="0.35">
      <c r="B954" s="219"/>
      <c r="C954" s="216" t="s">
        <v>1440</v>
      </c>
      <c r="D954" s="216"/>
      <c r="E954" s="220"/>
      <c r="F954" s="220"/>
      <c r="G954" s="220"/>
      <c r="H954" s="220" t="str">
        <f t="shared" si="110"/>
        <v/>
      </c>
      <c r="I954" s="460"/>
      <c r="J954" s="460"/>
      <c r="K954" s="460"/>
      <c r="L954" s="460"/>
      <c r="M954" s="460"/>
      <c r="N954" s="220"/>
      <c r="O954" s="220"/>
      <c r="P954" s="220"/>
      <c r="Q954" s="220"/>
      <c r="R954" s="221"/>
      <c r="S954" s="221"/>
      <c r="T954" s="316">
        <f t="shared" si="111"/>
        <v>0</v>
      </c>
      <c r="U954" s="217">
        <f t="shared" si="112"/>
        <v>0</v>
      </c>
      <c r="X954" s="26" t="str">
        <f t="shared" si="113"/>
        <v/>
      </c>
      <c r="Y954" s="21" t="str">
        <f>IF(MATCH(X954,X$300:$X955,0),"Si",1)</f>
        <v>Si</v>
      </c>
      <c r="Z954" s="26">
        <f t="shared" si="114"/>
        <v>0</v>
      </c>
      <c r="AA954" s="26">
        <f t="shared" si="115"/>
        <v>0</v>
      </c>
      <c r="AB954" s="26" t="str">
        <f t="shared" si="116"/>
        <v/>
      </c>
      <c r="AC954" s="26" t="str">
        <f>IF(MATCH(AB954,AB$300:$AB955,0),"0",1)</f>
        <v>0</v>
      </c>
    </row>
    <row r="955" spans="2:29" x14ac:dyDescent="0.35">
      <c r="B955" s="219"/>
      <c r="C955" s="216" t="s">
        <v>1441</v>
      </c>
      <c r="D955" s="216"/>
      <c r="E955" s="220"/>
      <c r="F955" s="220"/>
      <c r="G955" s="220"/>
      <c r="H955" s="220" t="str">
        <f t="shared" si="110"/>
        <v/>
      </c>
      <c r="I955" s="460"/>
      <c r="J955" s="460"/>
      <c r="K955" s="460"/>
      <c r="L955" s="460"/>
      <c r="M955" s="460"/>
      <c r="N955" s="220"/>
      <c r="O955" s="220"/>
      <c r="P955" s="220"/>
      <c r="Q955" s="220"/>
      <c r="R955" s="221"/>
      <c r="S955" s="221"/>
      <c r="T955" s="316">
        <f t="shared" si="111"/>
        <v>0</v>
      </c>
      <c r="U955" s="217">
        <f t="shared" si="112"/>
        <v>0</v>
      </c>
      <c r="X955" s="26" t="str">
        <f t="shared" si="113"/>
        <v/>
      </c>
      <c r="Y955" s="21" t="str">
        <f>IF(MATCH(X955,X$300:$X956,0),"Si",1)</f>
        <v>Si</v>
      </c>
      <c r="Z955" s="26">
        <f t="shared" si="114"/>
        <v>0</v>
      </c>
      <c r="AA955" s="26">
        <f t="shared" si="115"/>
        <v>0</v>
      </c>
      <c r="AB955" s="26" t="str">
        <f t="shared" si="116"/>
        <v/>
      </c>
      <c r="AC955" s="26" t="str">
        <f>IF(MATCH(AB955,AB$300:$AB956,0),"0",1)</f>
        <v>0</v>
      </c>
    </row>
    <row r="956" spans="2:29" x14ac:dyDescent="0.35">
      <c r="B956" s="219"/>
      <c r="C956" s="216" t="s">
        <v>1442</v>
      </c>
      <c r="D956" s="216"/>
      <c r="E956" s="220"/>
      <c r="F956" s="220"/>
      <c r="G956" s="220"/>
      <c r="H956" s="220" t="str">
        <f t="shared" si="110"/>
        <v/>
      </c>
      <c r="I956" s="460"/>
      <c r="J956" s="460"/>
      <c r="K956" s="460"/>
      <c r="L956" s="460"/>
      <c r="M956" s="460"/>
      <c r="N956" s="220"/>
      <c r="O956" s="220"/>
      <c r="P956" s="220"/>
      <c r="Q956" s="220"/>
      <c r="R956" s="221"/>
      <c r="S956" s="221"/>
      <c r="T956" s="316">
        <f t="shared" si="111"/>
        <v>0</v>
      </c>
      <c r="U956" s="217">
        <f t="shared" si="112"/>
        <v>0</v>
      </c>
      <c r="X956" s="26" t="str">
        <f t="shared" si="113"/>
        <v/>
      </c>
      <c r="Y956" s="21" t="str">
        <f>IF(MATCH(X956,X$300:$X957,0),"Si",1)</f>
        <v>Si</v>
      </c>
      <c r="Z956" s="26">
        <f t="shared" si="114"/>
        <v>0</v>
      </c>
      <c r="AA956" s="26">
        <f t="shared" si="115"/>
        <v>0</v>
      </c>
      <c r="AB956" s="26" t="str">
        <f t="shared" si="116"/>
        <v/>
      </c>
      <c r="AC956" s="26" t="str">
        <f>IF(MATCH(AB956,AB$300:$AB957,0),"0",1)</f>
        <v>0</v>
      </c>
    </row>
    <row r="957" spans="2:29" x14ac:dyDescent="0.35">
      <c r="B957" s="219"/>
      <c r="C957" s="216" t="s">
        <v>1443</v>
      </c>
      <c r="D957" s="216"/>
      <c r="E957" s="220"/>
      <c r="F957" s="220"/>
      <c r="G957" s="220"/>
      <c r="H957" s="220" t="str">
        <f t="shared" si="110"/>
        <v/>
      </c>
      <c r="I957" s="460"/>
      <c r="J957" s="460"/>
      <c r="K957" s="460"/>
      <c r="L957" s="460"/>
      <c r="M957" s="460"/>
      <c r="N957" s="220"/>
      <c r="O957" s="220"/>
      <c r="P957" s="220"/>
      <c r="Q957" s="220"/>
      <c r="R957" s="221"/>
      <c r="S957" s="221"/>
      <c r="T957" s="316">
        <f t="shared" si="111"/>
        <v>0</v>
      </c>
      <c r="U957" s="217">
        <f t="shared" si="112"/>
        <v>0</v>
      </c>
      <c r="X957" s="26" t="str">
        <f t="shared" si="113"/>
        <v/>
      </c>
      <c r="Y957" s="21" t="str">
        <f>IF(MATCH(X957,X$300:$X958,0),"Si",1)</f>
        <v>Si</v>
      </c>
      <c r="Z957" s="26">
        <f t="shared" si="114"/>
        <v>0</v>
      </c>
      <c r="AA957" s="26">
        <f t="shared" si="115"/>
        <v>0</v>
      </c>
      <c r="AB957" s="26" t="str">
        <f t="shared" si="116"/>
        <v/>
      </c>
      <c r="AC957" s="26" t="str">
        <f>IF(MATCH(AB957,AB$300:$AB958,0),"0",1)</f>
        <v>0</v>
      </c>
    </row>
    <row r="958" spans="2:29" x14ac:dyDescent="0.35">
      <c r="B958" s="219"/>
      <c r="C958" s="216" t="s">
        <v>1444</v>
      </c>
      <c r="D958" s="216"/>
      <c r="E958" s="220"/>
      <c r="F958" s="220"/>
      <c r="G958" s="220"/>
      <c r="H958" s="220" t="str">
        <f t="shared" si="110"/>
        <v/>
      </c>
      <c r="I958" s="460"/>
      <c r="J958" s="460"/>
      <c r="K958" s="460"/>
      <c r="L958" s="460"/>
      <c r="M958" s="460"/>
      <c r="N958" s="220"/>
      <c r="O958" s="220"/>
      <c r="P958" s="220"/>
      <c r="Q958" s="220"/>
      <c r="R958" s="221"/>
      <c r="S958" s="221"/>
      <c r="T958" s="316">
        <f t="shared" si="111"/>
        <v>0</v>
      </c>
      <c r="U958" s="217">
        <f t="shared" si="112"/>
        <v>0</v>
      </c>
      <c r="X958" s="26" t="str">
        <f t="shared" si="113"/>
        <v/>
      </c>
      <c r="Y958" s="21" t="str">
        <f>IF(MATCH(X958,X$300:$X959,0),"Si",1)</f>
        <v>Si</v>
      </c>
      <c r="Z958" s="26">
        <f t="shared" si="114"/>
        <v>0</v>
      </c>
      <c r="AA958" s="26">
        <f t="shared" si="115"/>
        <v>0</v>
      </c>
      <c r="AB958" s="26" t="str">
        <f t="shared" si="116"/>
        <v/>
      </c>
      <c r="AC958" s="26" t="str">
        <f>IF(MATCH(AB958,AB$300:$AB959,0),"0",1)</f>
        <v>0</v>
      </c>
    </row>
    <row r="959" spans="2:29" x14ac:dyDescent="0.35">
      <c r="B959" s="219"/>
      <c r="C959" s="216" t="s">
        <v>1445</v>
      </c>
      <c r="D959" s="216"/>
      <c r="E959" s="220"/>
      <c r="F959" s="220"/>
      <c r="G959" s="220"/>
      <c r="H959" s="220" t="str">
        <f t="shared" si="110"/>
        <v/>
      </c>
      <c r="I959" s="460"/>
      <c r="J959" s="460"/>
      <c r="K959" s="460"/>
      <c r="L959" s="460"/>
      <c r="M959" s="460"/>
      <c r="N959" s="220"/>
      <c r="O959" s="220"/>
      <c r="P959" s="220"/>
      <c r="Q959" s="220"/>
      <c r="R959" s="221"/>
      <c r="S959" s="221"/>
      <c r="T959" s="316">
        <f t="shared" si="111"/>
        <v>0</v>
      </c>
      <c r="U959" s="217">
        <f t="shared" si="112"/>
        <v>0</v>
      </c>
      <c r="X959" s="26" t="str">
        <f t="shared" si="113"/>
        <v/>
      </c>
      <c r="Y959" s="21" t="str">
        <f>IF(MATCH(X959,X$300:$X960,0),"Si",1)</f>
        <v>Si</v>
      </c>
      <c r="Z959" s="26">
        <f t="shared" si="114"/>
        <v>0</v>
      </c>
      <c r="AA959" s="26">
        <f t="shared" si="115"/>
        <v>0</v>
      </c>
      <c r="AB959" s="26" t="str">
        <f t="shared" si="116"/>
        <v/>
      </c>
      <c r="AC959" s="26" t="str">
        <f>IF(MATCH(AB959,AB$300:$AB960,0),"0",1)</f>
        <v>0</v>
      </c>
    </row>
    <row r="960" spans="2:29" x14ac:dyDescent="0.35">
      <c r="B960" s="219"/>
      <c r="C960" s="216" t="s">
        <v>1446</v>
      </c>
      <c r="D960" s="216"/>
      <c r="E960" s="220"/>
      <c r="F960" s="220"/>
      <c r="G960" s="220"/>
      <c r="H960" s="220" t="str">
        <f t="shared" si="110"/>
        <v/>
      </c>
      <c r="I960" s="460"/>
      <c r="J960" s="460"/>
      <c r="K960" s="460"/>
      <c r="L960" s="460"/>
      <c r="M960" s="460"/>
      <c r="N960" s="220"/>
      <c r="O960" s="220"/>
      <c r="P960" s="220"/>
      <c r="Q960" s="220"/>
      <c r="R960" s="221"/>
      <c r="S960" s="221"/>
      <c r="T960" s="316">
        <f t="shared" si="111"/>
        <v>0</v>
      </c>
      <c r="U960" s="217">
        <f t="shared" si="112"/>
        <v>0</v>
      </c>
      <c r="X960" s="26" t="str">
        <f t="shared" si="113"/>
        <v/>
      </c>
      <c r="Y960" s="21" t="str">
        <f>IF(MATCH(X960,X$300:$X961,0),"Si",1)</f>
        <v>Si</v>
      </c>
      <c r="Z960" s="26">
        <f t="shared" si="114"/>
        <v>0</v>
      </c>
      <c r="AA960" s="26">
        <f t="shared" si="115"/>
        <v>0</v>
      </c>
      <c r="AB960" s="26" t="str">
        <f t="shared" si="116"/>
        <v/>
      </c>
      <c r="AC960" s="26" t="str">
        <f>IF(MATCH(AB960,AB$300:$AB961,0),"0",1)</f>
        <v>0</v>
      </c>
    </row>
    <row r="961" spans="2:29" x14ac:dyDescent="0.35">
      <c r="B961" s="219"/>
      <c r="C961" s="216" t="s">
        <v>1447</v>
      </c>
      <c r="D961" s="216"/>
      <c r="E961" s="220"/>
      <c r="F961" s="220"/>
      <c r="G961" s="220"/>
      <c r="H961" s="220" t="str">
        <f t="shared" si="110"/>
        <v/>
      </c>
      <c r="I961" s="460"/>
      <c r="J961" s="460"/>
      <c r="K961" s="460"/>
      <c r="L961" s="460"/>
      <c r="M961" s="460"/>
      <c r="N961" s="220"/>
      <c r="O961" s="220"/>
      <c r="P961" s="220"/>
      <c r="Q961" s="220"/>
      <c r="R961" s="221"/>
      <c r="S961" s="221"/>
      <c r="T961" s="316">
        <f t="shared" si="111"/>
        <v>0</v>
      </c>
      <c r="U961" s="217">
        <f t="shared" si="112"/>
        <v>0</v>
      </c>
      <c r="X961" s="26" t="str">
        <f t="shared" si="113"/>
        <v/>
      </c>
      <c r="Y961" s="21" t="str">
        <f>IF(MATCH(X961,X$300:$X962,0),"Si",1)</f>
        <v>Si</v>
      </c>
      <c r="Z961" s="26">
        <f t="shared" si="114"/>
        <v>0</v>
      </c>
      <c r="AA961" s="26">
        <f t="shared" si="115"/>
        <v>0</v>
      </c>
      <c r="AB961" s="26" t="str">
        <f t="shared" si="116"/>
        <v/>
      </c>
      <c r="AC961" s="26" t="str">
        <f>IF(MATCH(AB961,AB$300:$AB962,0),"0",1)</f>
        <v>0</v>
      </c>
    </row>
    <row r="962" spans="2:29" x14ac:dyDescent="0.35">
      <c r="B962" s="219"/>
      <c r="C962" s="216" t="s">
        <v>1448</v>
      </c>
      <c r="D962" s="216"/>
      <c r="E962" s="220"/>
      <c r="F962" s="220"/>
      <c r="G962" s="220"/>
      <c r="H962" s="220" t="str">
        <f t="shared" si="110"/>
        <v/>
      </c>
      <c r="I962" s="460"/>
      <c r="J962" s="460"/>
      <c r="K962" s="460"/>
      <c r="L962" s="460"/>
      <c r="M962" s="460"/>
      <c r="N962" s="220"/>
      <c r="O962" s="220"/>
      <c r="P962" s="220"/>
      <c r="Q962" s="220"/>
      <c r="R962" s="221"/>
      <c r="S962" s="221"/>
      <c r="T962" s="316">
        <f t="shared" si="111"/>
        <v>0</v>
      </c>
      <c r="U962" s="217">
        <f t="shared" si="112"/>
        <v>0</v>
      </c>
      <c r="X962" s="26" t="str">
        <f t="shared" si="113"/>
        <v/>
      </c>
      <c r="Y962" s="21" t="str">
        <f>IF(MATCH(X962,X$300:$X963,0),"Si",1)</f>
        <v>Si</v>
      </c>
      <c r="Z962" s="26">
        <f t="shared" si="114"/>
        <v>0</v>
      </c>
      <c r="AA962" s="26">
        <f t="shared" si="115"/>
        <v>0</v>
      </c>
      <c r="AB962" s="26" t="str">
        <f t="shared" si="116"/>
        <v/>
      </c>
      <c r="AC962" s="26" t="str">
        <f>IF(MATCH(AB962,AB$300:$AB963,0),"0",1)</f>
        <v>0</v>
      </c>
    </row>
    <row r="963" spans="2:29" x14ac:dyDescent="0.35">
      <c r="B963" s="219"/>
      <c r="C963" s="216" t="s">
        <v>1449</v>
      </c>
      <c r="D963" s="216"/>
      <c r="E963" s="220"/>
      <c r="F963" s="220"/>
      <c r="G963" s="220"/>
      <c r="H963" s="220" t="str">
        <f t="shared" si="110"/>
        <v/>
      </c>
      <c r="I963" s="460"/>
      <c r="J963" s="460"/>
      <c r="K963" s="460"/>
      <c r="L963" s="460"/>
      <c r="M963" s="460"/>
      <c r="N963" s="220"/>
      <c r="O963" s="220"/>
      <c r="P963" s="220"/>
      <c r="Q963" s="220"/>
      <c r="R963" s="221"/>
      <c r="S963" s="221"/>
      <c r="T963" s="316">
        <f t="shared" si="111"/>
        <v>0</v>
      </c>
      <c r="U963" s="217">
        <f t="shared" si="112"/>
        <v>0</v>
      </c>
      <c r="X963" s="26" t="str">
        <f t="shared" si="113"/>
        <v/>
      </c>
      <c r="Y963" s="21" t="str">
        <f>IF(MATCH(X963,X$300:$X964,0),"Si",1)</f>
        <v>Si</v>
      </c>
      <c r="Z963" s="26">
        <f t="shared" si="114"/>
        <v>0</v>
      </c>
      <c r="AA963" s="26">
        <f t="shared" si="115"/>
        <v>0</v>
      </c>
      <c r="AB963" s="26" t="str">
        <f t="shared" si="116"/>
        <v/>
      </c>
      <c r="AC963" s="26" t="str">
        <f>IF(MATCH(AB963,AB$300:$AB964,0),"0",1)</f>
        <v>0</v>
      </c>
    </row>
    <row r="964" spans="2:29" x14ac:dyDescent="0.35">
      <c r="B964" s="219"/>
      <c r="C964" s="216" t="s">
        <v>1450</v>
      </c>
      <c r="D964" s="216"/>
      <c r="E964" s="220"/>
      <c r="F964" s="220"/>
      <c r="G964" s="220"/>
      <c r="H964" s="220" t="str">
        <f t="shared" si="110"/>
        <v/>
      </c>
      <c r="I964" s="460"/>
      <c r="J964" s="460"/>
      <c r="K964" s="460"/>
      <c r="L964" s="460"/>
      <c r="M964" s="460"/>
      <c r="N964" s="220"/>
      <c r="O964" s="220"/>
      <c r="P964" s="220"/>
      <c r="Q964" s="220"/>
      <c r="R964" s="221"/>
      <c r="S964" s="221"/>
      <c r="T964" s="316">
        <f t="shared" si="111"/>
        <v>0</v>
      </c>
      <c r="U964" s="217">
        <f t="shared" si="112"/>
        <v>0</v>
      </c>
      <c r="X964" s="26" t="str">
        <f t="shared" si="113"/>
        <v/>
      </c>
      <c r="Y964" s="21" t="str">
        <f>IF(MATCH(X964,X$300:$X965,0),"Si",1)</f>
        <v>Si</v>
      </c>
      <c r="Z964" s="26">
        <f t="shared" si="114"/>
        <v>0</v>
      </c>
      <c r="AA964" s="26">
        <f t="shared" si="115"/>
        <v>0</v>
      </c>
      <c r="AB964" s="26" t="str">
        <f t="shared" si="116"/>
        <v/>
      </c>
      <c r="AC964" s="26" t="str">
        <f>IF(MATCH(AB964,AB$300:$AB965,0),"0",1)</f>
        <v>0</v>
      </c>
    </row>
    <row r="965" spans="2:29" x14ac:dyDescent="0.35">
      <c r="B965" s="219"/>
      <c r="C965" s="216" t="s">
        <v>1451</v>
      </c>
      <c r="D965" s="216"/>
      <c r="E965" s="220"/>
      <c r="F965" s="220"/>
      <c r="G965" s="220"/>
      <c r="H965" s="220" t="str">
        <f t="shared" si="110"/>
        <v/>
      </c>
      <c r="I965" s="460"/>
      <c r="J965" s="460"/>
      <c r="K965" s="460"/>
      <c r="L965" s="460"/>
      <c r="M965" s="460"/>
      <c r="N965" s="220"/>
      <c r="O965" s="220"/>
      <c r="P965" s="220"/>
      <c r="Q965" s="220"/>
      <c r="R965" s="221"/>
      <c r="S965" s="221"/>
      <c r="T965" s="316">
        <f t="shared" si="111"/>
        <v>0</v>
      </c>
      <c r="U965" s="217">
        <f t="shared" si="112"/>
        <v>0</v>
      </c>
      <c r="X965" s="26" t="str">
        <f t="shared" si="113"/>
        <v/>
      </c>
      <c r="Y965" s="21" t="str">
        <f>IF(MATCH(X965,X$300:$X966,0),"Si",1)</f>
        <v>Si</v>
      </c>
      <c r="Z965" s="26">
        <f t="shared" si="114"/>
        <v>0</v>
      </c>
      <c r="AA965" s="26">
        <f t="shared" si="115"/>
        <v>0</v>
      </c>
      <c r="AB965" s="26" t="str">
        <f t="shared" si="116"/>
        <v/>
      </c>
      <c r="AC965" s="26" t="str">
        <f>IF(MATCH(AB965,AB$300:$AB966,0),"0",1)</f>
        <v>0</v>
      </c>
    </row>
    <row r="966" spans="2:29" x14ac:dyDescent="0.35">
      <c r="B966" s="219"/>
      <c r="C966" s="216" t="s">
        <v>1452</v>
      </c>
      <c r="D966" s="216"/>
      <c r="E966" s="220"/>
      <c r="F966" s="220"/>
      <c r="G966" s="220"/>
      <c r="H966" s="220" t="str">
        <f t="shared" si="110"/>
        <v/>
      </c>
      <c r="I966" s="460"/>
      <c r="J966" s="460"/>
      <c r="K966" s="460"/>
      <c r="L966" s="460"/>
      <c r="M966" s="460"/>
      <c r="N966" s="220"/>
      <c r="O966" s="220"/>
      <c r="P966" s="220"/>
      <c r="Q966" s="220"/>
      <c r="R966" s="221"/>
      <c r="S966" s="221"/>
      <c r="T966" s="316">
        <f t="shared" si="111"/>
        <v>0</v>
      </c>
      <c r="U966" s="217">
        <f t="shared" si="112"/>
        <v>0</v>
      </c>
      <c r="X966" s="26" t="str">
        <f t="shared" si="113"/>
        <v/>
      </c>
      <c r="Y966" s="21" t="str">
        <f>IF(MATCH(X966,X$300:$X967,0),"Si",1)</f>
        <v>Si</v>
      </c>
      <c r="Z966" s="26">
        <f t="shared" si="114"/>
        <v>0</v>
      </c>
      <c r="AA966" s="26">
        <f t="shared" si="115"/>
        <v>0</v>
      </c>
      <c r="AB966" s="26" t="str">
        <f t="shared" si="116"/>
        <v/>
      </c>
      <c r="AC966" s="26" t="str">
        <f>IF(MATCH(AB966,AB$300:$AB967,0),"0",1)</f>
        <v>0</v>
      </c>
    </row>
    <row r="967" spans="2:29" x14ac:dyDescent="0.35">
      <c r="B967" s="219"/>
      <c r="C967" s="216" t="s">
        <v>1453</v>
      </c>
      <c r="D967" s="216"/>
      <c r="E967" s="220"/>
      <c r="F967" s="220"/>
      <c r="G967" s="220"/>
      <c r="H967" s="220" t="str">
        <f t="shared" si="110"/>
        <v/>
      </c>
      <c r="I967" s="460"/>
      <c r="J967" s="460"/>
      <c r="K967" s="460"/>
      <c r="L967" s="460"/>
      <c r="M967" s="460"/>
      <c r="N967" s="220"/>
      <c r="O967" s="220"/>
      <c r="P967" s="220"/>
      <c r="Q967" s="220"/>
      <c r="R967" s="221"/>
      <c r="S967" s="221"/>
      <c r="T967" s="316">
        <f t="shared" si="111"/>
        <v>0</v>
      </c>
      <c r="U967" s="217">
        <f t="shared" si="112"/>
        <v>0</v>
      </c>
      <c r="X967" s="26" t="str">
        <f t="shared" si="113"/>
        <v/>
      </c>
      <c r="Y967" s="21" t="str">
        <f>IF(MATCH(X967,X$300:$X968,0),"Si",1)</f>
        <v>Si</v>
      </c>
      <c r="Z967" s="26">
        <f t="shared" si="114"/>
        <v>0</v>
      </c>
      <c r="AA967" s="26">
        <f t="shared" si="115"/>
        <v>0</v>
      </c>
      <c r="AB967" s="26" t="str">
        <f t="shared" si="116"/>
        <v/>
      </c>
      <c r="AC967" s="26" t="str">
        <f>IF(MATCH(AB967,AB$300:$AB968,0),"0",1)</f>
        <v>0</v>
      </c>
    </row>
    <row r="968" spans="2:29" x14ac:dyDescent="0.35">
      <c r="B968" s="219"/>
      <c r="C968" s="216" t="s">
        <v>1454</v>
      </c>
      <c r="D968" s="216"/>
      <c r="E968" s="220"/>
      <c r="F968" s="220"/>
      <c r="G968" s="220"/>
      <c r="H968" s="220" t="str">
        <f t="shared" si="110"/>
        <v/>
      </c>
      <c r="I968" s="460"/>
      <c r="J968" s="460"/>
      <c r="K968" s="460"/>
      <c r="L968" s="460"/>
      <c r="M968" s="460"/>
      <c r="N968" s="220"/>
      <c r="O968" s="220"/>
      <c r="P968" s="220"/>
      <c r="Q968" s="220"/>
      <c r="R968" s="221"/>
      <c r="S968" s="221"/>
      <c r="T968" s="316">
        <f t="shared" si="111"/>
        <v>0</v>
      </c>
      <c r="U968" s="217">
        <f t="shared" si="112"/>
        <v>0</v>
      </c>
      <c r="X968" s="26" t="str">
        <f t="shared" si="113"/>
        <v/>
      </c>
      <c r="Y968" s="21" t="str">
        <f>IF(MATCH(X968,X$300:$X969,0),"Si",1)</f>
        <v>Si</v>
      </c>
      <c r="Z968" s="26">
        <f t="shared" si="114"/>
        <v>0</v>
      </c>
      <c r="AA968" s="26">
        <f t="shared" si="115"/>
        <v>0</v>
      </c>
      <c r="AB968" s="26" t="str">
        <f t="shared" si="116"/>
        <v/>
      </c>
      <c r="AC968" s="26" t="str">
        <f>IF(MATCH(AB968,AB$300:$AB969,0),"0",1)</f>
        <v>0</v>
      </c>
    </row>
    <row r="969" spans="2:29" x14ac:dyDescent="0.35">
      <c r="B969" s="219"/>
      <c r="C969" s="216" t="s">
        <v>1455</v>
      </c>
      <c r="D969" s="216"/>
      <c r="E969" s="220"/>
      <c r="F969" s="220"/>
      <c r="G969" s="220"/>
      <c r="H969" s="220" t="str">
        <f t="shared" si="110"/>
        <v/>
      </c>
      <c r="I969" s="460"/>
      <c r="J969" s="460"/>
      <c r="K969" s="460"/>
      <c r="L969" s="460"/>
      <c r="M969" s="460"/>
      <c r="N969" s="220"/>
      <c r="O969" s="220"/>
      <c r="P969" s="220"/>
      <c r="Q969" s="220"/>
      <c r="R969" s="221"/>
      <c r="S969" s="221"/>
      <c r="T969" s="316">
        <f t="shared" si="111"/>
        <v>0</v>
      </c>
      <c r="U969" s="217">
        <f t="shared" si="112"/>
        <v>0</v>
      </c>
      <c r="X969" s="26" t="str">
        <f t="shared" si="113"/>
        <v/>
      </c>
      <c r="Y969" s="21" t="str">
        <f>IF(MATCH(X969,X$300:$X970,0),"Si",1)</f>
        <v>Si</v>
      </c>
      <c r="Z969" s="26">
        <f t="shared" si="114"/>
        <v>0</v>
      </c>
      <c r="AA969" s="26">
        <f t="shared" si="115"/>
        <v>0</v>
      </c>
      <c r="AB969" s="26" t="str">
        <f t="shared" si="116"/>
        <v/>
      </c>
      <c r="AC969" s="26" t="str">
        <f>IF(MATCH(AB969,AB$300:$AB970,0),"0",1)</f>
        <v>0</v>
      </c>
    </row>
    <row r="970" spans="2:29" x14ac:dyDescent="0.35">
      <c r="B970" s="219"/>
      <c r="C970" s="216" t="s">
        <v>1456</v>
      </c>
      <c r="D970" s="216"/>
      <c r="E970" s="220"/>
      <c r="F970" s="220"/>
      <c r="G970" s="220"/>
      <c r="H970" s="220" t="str">
        <f t="shared" si="110"/>
        <v/>
      </c>
      <c r="I970" s="460"/>
      <c r="J970" s="460"/>
      <c r="K970" s="460"/>
      <c r="L970" s="460"/>
      <c r="M970" s="460"/>
      <c r="N970" s="220"/>
      <c r="O970" s="220"/>
      <c r="P970" s="220"/>
      <c r="Q970" s="220"/>
      <c r="R970" s="221"/>
      <c r="S970" s="221"/>
      <c r="T970" s="316">
        <f t="shared" si="111"/>
        <v>0</v>
      </c>
      <c r="U970" s="217">
        <f t="shared" si="112"/>
        <v>0</v>
      </c>
      <c r="X970" s="26" t="str">
        <f t="shared" si="113"/>
        <v/>
      </c>
      <c r="Y970" s="21" t="str">
        <f>IF(MATCH(X970,X$300:$X971,0),"Si",1)</f>
        <v>Si</v>
      </c>
      <c r="Z970" s="26">
        <f t="shared" si="114"/>
        <v>0</v>
      </c>
      <c r="AA970" s="26">
        <f t="shared" si="115"/>
        <v>0</v>
      </c>
      <c r="AB970" s="26" t="str">
        <f t="shared" si="116"/>
        <v/>
      </c>
      <c r="AC970" s="26" t="str">
        <f>IF(MATCH(AB970,AB$300:$AB971,0),"0",1)</f>
        <v>0</v>
      </c>
    </row>
    <row r="971" spans="2:29" x14ac:dyDescent="0.35">
      <c r="B971" s="219"/>
      <c r="C971" s="216" t="s">
        <v>1457</v>
      </c>
      <c r="D971" s="216"/>
      <c r="E971" s="220"/>
      <c r="F971" s="220"/>
      <c r="G971" s="220"/>
      <c r="H971" s="220" t="str">
        <f t="shared" si="110"/>
        <v/>
      </c>
      <c r="I971" s="460"/>
      <c r="J971" s="460"/>
      <c r="K971" s="460"/>
      <c r="L971" s="460"/>
      <c r="M971" s="460"/>
      <c r="N971" s="220"/>
      <c r="O971" s="220"/>
      <c r="P971" s="220"/>
      <c r="Q971" s="220"/>
      <c r="R971" s="221"/>
      <c r="S971" s="221"/>
      <c r="T971" s="316">
        <f t="shared" si="111"/>
        <v>0</v>
      </c>
      <c r="U971" s="217">
        <f t="shared" si="112"/>
        <v>0</v>
      </c>
      <c r="X971" s="26" t="str">
        <f t="shared" si="113"/>
        <v/>
      </c>
      <c r="Y971" s="21" t="str">
        <f>IF(MATCH(X971,X$300:$X972,0),"Si",1)</f>
        <v>Si</v>
      </c>
      <c r="Z971" s="26">
        <f t="shared" si="114"/>
        <v>0</v>
      </c>
      <c r="AA971" s="26">
        <f t="shared" si="115"/>
        <v>0</v>
      </c>
      <c r="AB971" s="26" t="str">
        <f t="shared" si="116"/>
        <v/>
      </c>
      <c r="AC971" s="26" t="str">
        <f>IF(MATCH(AB971,AB$300:$AB972,0),"0",1)</f>
        <v>0</v>
      </c>
    </row>
    <row r="972" spans="2:29" x14ac:dyDescent="0.35">
      <c r="B972" s="219"/>
      <c r="C972" s="216" t="s">
        <v>1458</v>
      </c>
      <c r="D972" s="216"/>
      <c r="E972" s="220"/>
      <c r="F972" s="220"/>
      <c r="G972" s="220"/>
      <c r="H972" s="220" t="str">
        <f t="shared" si="110"/>
        <v/>
      </c>
      <c r="I972" s="460"/>
      <c r="J972" s="460"/>
      <c r="K972" s="460"/>
      <c r="L972" s="460"/>
      <c r="M972" s="460"/>
      <c r="N972" s="220"/>
      <c r="O972" s="220"/>
      <c r="P972" s="220"/>
      <c r="Q972" s="220"/>
      <c r="R972" s="221"/>
      <c r="S972" s="221"/>
      <c r="T972" s="316">
        <f t="shared" si="111"/>
        <v>0</v>
      </c>
      <c r="U972" s="217">
        <f t="shared" si="112"/>
        <v>0</v>
      </c>
      <c r="X972" s="26" t="str">
        <f t="shared" si="113"/>
        <v/>
      </c>
      <c r="Y972" s="21" t="str">
        <f>IF(MATCH(X972,X$300:$X973,0),"Si",1)</f>
        <v>Si</v>
      </c>
      <c r="Z972" s="26">
        <f t="shared" si="114"/>
        <v>0</v>
      </c>
      <c r="AA972" s="26">
        <f t="shared" si="115"/>
        <v>0</v>
      </c>
      <c r="AB972" s="26" t="str">
        <f t="shared" si="116"/>
        <v/>
      </c>
      <c r="AC972" s="26" t="str">
        <f>IF(MATCH(AB972,AB$300:$AB973,0),"0",1)</f>
        <v>0</v>
      </c>
    </row>
    <row r="973" spans="2:29" x14ac:dyDescent="0.35">
      <c r="B973" s="219"/>
      <c r="C973" s="216" t="s">
        <v>1459</v>
      </c>
      <c r="D973" s="216"/>
      <c r="E973" s="220"/>
      <c r="F973" s="220"/>
      <c r="G973" s="220"/>
      <c r="H973" s="220" t="str">
        <f t="shared" si="110"/>
        <v/>
      </c>
      <c r="I973" s="460"/>
      <c r="J973" s="460"/>
      <c r="K973" s="460"/>
      <c r="L973" s="460"/>
      <c r="M973" s="460"/>
      <c r="N973" s="220"/>
      <c r="O973" s="220"/>
      <c r="P973" s="220"/>
      <c r="Q973" s="220"/>
      <c r="R973" s="221"/>
      <c r="S973" s="221"/>
      <c r="T973" s="316">
        <f t="shared" si="111"/>
        <v>0</v>
      </c>
      <c r="U973" s="217">
        <f t="shared" si="112"/>
        <v>0</v>
      </c>
      <c r="X973" s="26" t="str">
        <f t="shared" si="113"/>
        <v/>
      </c>
      <c r="Y973" s="21" t="str">
        <f>IF(MATCH(X973,X$300:$X974,0),"Si",1)</f>
        <v>Si</v>
      </c>
      <c r="Z973" s="26">
        <f t="shared" si="114"/>
        <v>0</v>
      </c>
      <c r="AA973" s="26">
        <f t="shared" si="115"/>
        <v>0</v>
      </c>
      <c r="AB973" s="26" t="str">
        <f t="shared" si="116"/>
        <v/>
      </c>
      <c r="AC973" s="26" t="str">
        <f>IF(MATCH(AB973,AB$300:$AB974,0),"0",1)</f>
        <v>0</v>
      </c>
    </row>
    <row r="974" spans="2:29" x14ac:dyDescent="0.35">
      <c r="B974" s="219"/>
      <c r="C974" s="216" t="s">
        <v>1460</v>
      </c>
      <c r="D974" s="216"/>
      <c r="E974" s="220"/>
      <c r="F974" s="220"/>
      <c r="G974" s="220"/>
      <c r="H974" s="220" t="str">
        <f t="shared" si="110"/>
        <v/>
      </c>
      <c r="I974" s="460"/>
      <c r="J974" s="460"/>
      <c r="K974" s="460"/>
      <c r="L974" s="460"/>
      <c r="M974" s="460"/>
      <c r="N974" s="220"/>
      <c r="O974" s="220"/>
      <c r="P974" s="220"/>
      <c r="Q974" s="220"/>
      <c r="R974" s="221"/>
      <c r="S974" s="221"/>
      <c r="T974" s="316">
        <f t="shared" si="111"/>
        <v>0</v>
      </c>
      <c r="U974" s="217">
        <f t="shared" si="112"/>
        <v>0</v>
      </c>
      <c r="X974" s="26" t="str">
        <f t="shared" si="113"/>
        <v/>
      </c>
      <c r="Y974" s="21" t="str">
        <f>IF(MATCH(X974,X$300:$X975,0),"Si",1)</f>
        <v>Si</v>
      </c>
      <c r="Z974" s="26">
        <f t="shared" si="114"/>
        <v>0</v>
      </c>
      <c r="AA974" s="26">
        <f t="shared" si="115"/>
        <v>0</v>
      </c>
      <c r="AB974" s="26" t="str">
        <f t="shared" si="116"/>
        <v/>
      </c>
      <c r="AC974" s="26" t="str">
        <f>IF(MATCH(AB974,AB$300:$AB975,0),"0",1)</f>
        <v>0</v>
      </c>
    </row>
    <row r="975" spans="2:29" x14ac:dyDescent="0.35">
      <c r="B975" s="219"/>
      <c r="C975" s="216" t="s">
        <v>1461</v>
      </c>
      <c r="D975" s="216"/>
      <c r="E975" s="220"/>
      <c r="F975" s="220"/>
      <c r="G975" s="220"/>
      <c r="H975" s="220" t="str">
        <f t="shared" si="110"/>
        <v/>
      </c>
      <c r="I975" s="460"/>
      <c r="J975" s="460"/>
      <c r="K975" s="460"/>
      <c r="L975" s="460"/>
      <c r="M975" s="460"/>
      <c r="N975" s="220"/>
      <c r="O975" s="220"/>
      <c r="P975" s="220"/>
      <c r="Q975" s="220"/>
      <c r="R975" s="221"/>
      <c r="S975" s="221"/>
      <c r="T975" s="316">
        <f t="shared" si="111"/>
        <v>0</v>
      </c>
      <c r="U975" s="217">
        <f t="shared" si="112"/>
        <v>0</v>
      </c>
      <c r="X975" s="26" t="str">
        <f t="shared" si="113"/>
        <v/>
      </c>
      <c r="Y975" s="21" t="str">
        <f>IF(MATCH(X975,X$300:$X976,0),"Si",1)</f>
        <v>Si</v>
      </c>
      <c r="Z975" s="26">
        <f t="shared" si="114"/>
        <v>0</v>
      </c>
      <c r="AA975" s="26">
        <f t="shared" si="115"/>
        <v>0</v>
      </c>
      <c r="AB975" s="26" t="str">
        <f t="shared" si="116"/>
        <v/>
      </c>
      <c r="AC975" s="26" t="str">
        <f>IF(MATCH(AB975,AB$300:$AB976,0),"0",1)</f>
        <v>0</v>
      </c>
    </row>
    <row r="976" spans="2:29" x14ac:dyDescent="0.35">
      <c r="B976" s="219"/>
      <c r="C976" s="216" t="s">
        <v>1462</v>
      </c>
      <c r="D976" s="216"/>
      <c r="E976" s="220"/>
      <c r="F976" s="220"/>
      <c r="G976" s="220"/>
      <c r="H976" s="220" t="str">
        <f t="shared" si="110"/>
        <v/>
      </c>
      <c r="I976" s="460"/>
      <c r="J976" s="460"/>
      <c r="K976" s="460"/>
      <c r="L976" s="460"/>
      <c r="M976" s="460"/>
      <c r="N976" s="220"/>
      <c r="O976" s="220"/>
      <c r="P976" s="220"/>
      <c r="Q976" s="220"/>
      <c r="R976" s="221"/>
      <c r="S976" s="221"/>
      <c r="T976" s="316">
        <f t="shared" si="111"/>
        <v>0</v>
      </c>
      <c r="U976" s="217">
        <f t="shared" si="112"/>
        <v>0</v>
      </c>
      <c r="X976" s="26" t="str">
        <f t="shared" si="113"/>
        <v/>
      </c>
      <c r="Y976" s="21" t="str">
        <f>IF(MATCH(X976,X$300:$X977,0),"Si",1)</f>
        <v>Si</v>
      </c>
      <c r="Z976" s="26">
        <f t="shared" si="114"/>
        <v>0</v>
      </c>
      <c r="AA976" s="26">
        <f t="shared" si="115"/>
        <v>0</v>
      </c>
      <c r="AB976" s="26" t="str">
        <f t="shared" si="116"/>
        <v/>
      </c>
      <c r="AC976" s="26" t="str">
        <f>IF(MATCH(AB976,AB$300:$AB977,0),"0",1)</f>
        <v>0</v>
      </c>
    </row>
    <row r="977" spans="2:29" x14ac:dyDescent="0.35">
      <c r="B977" s="219"/>
      <c r="C977" s="216" t="s">
        <v>1463</v>
      </c>
      <c r="D977" s="216"/>
      <c r="E977" s="220"/>
      <c r="F977" s="220"/>
      <c r="G977" s="220"/>
      <c r="H977" s="220" t="str">
        <f t="shared" si="110"/>
        <v/>
      </c>
      <c r="I977" s="460"/>
      <c r="J977" s="460"/>
      <c r="K977" s="460"/>
      <c r="L977" s="460"/>
      <c r="M977" s="460"/>
      <c r="N977" s="220"/>
      <c r="O977" s="220"/>
      <c r="P977" s="220"/>
      <c r="Q977" s="220"/>
      <c r="R977" s="221"/>
      <c r="S977" s="221"/>
      <c r="T977" s="316">
        <f t="shared" si="111"/>
        <v>0</v>
      </c>
      <c r="U977" s="217">
        <f t="shared" si="112"/>
        <v>0</v>
      </c>
      <c r="X977" s="26" t="str">
        <f t="shared" si="113"/>
        <v/>
      </c>
      <c r="Y977" s="21" t="str">
        <f>IF(MATCH(X977,X$300:$X978,0),"Si",1)</f>
        <v>Si</v>
      </c>
      <c r="Z977" s="26">
        <f t="shared" si="114"/>
        <v>0</v>
      </c>
      <c r="AA977" s="26">
        <f t="shared" si="115"/>
        <v>0</v>
      </c>
      <c r="AB977" s="26" t="str">
        <f t="shared" si="116"/>
        <v/>
      </c>
      <c r="AC977" s="26" t="str">
        <f>IF(MATCH(AB977,AB$300:$AB978,0),"0",1)</f>
        <v>0</v>
      </c>
    </row>
    <row r="978" spans="2:29" x14ac:dyDescent="0.35">
      <c r="B978" s="219"/>
      <c r="C978" s="216" t="s">
        <v>1464</v>
      </c>
      <c r="D978" s="216"/>
      <c r="E978" s="220"/>
      <c r="F978" s="220"/>
      <c r="G978" s="220"/>
      <c r="H978" s="220" t="str">
        <f t="shared" ref="H978:H1024" si="117">IF(G978=0,"",IF(G978&lt;&gt;"Error","No",""))</f>
        <v/>
      </c>
      <c r="I978" s="460"/>
      <c r="J978" s="460"/>
      <c r="K978" s="460"/>
      <c r="L978" s="460"/>
      <c r="M978" s="460"/>
      <c r="N978" s="220"/>
      <c r="O978" s="220"/>
      <c r="P978" s="220"/>
      <c r="Q978" s="220"/>
      <c r="R978" s="221"/>
      <c r="S978" s="221"/>
      <c r="T978" s="316">
        <f t="shared" si="111"/>
        <v>0</v>
      </c>
      <c r="U978" s="217">
        <f t="shared" si="112"/>
        <v>0</v>
      </c>
      <c r="X978" s="26" t="str">
        <f t="shared" si="113"/>
        <v/>
      </c>
      <c r="Y978" s="21" t="str">
        <f>IF(MATCH(X978,X$300:$X979,0),"Si",1)</f>
        <v>Si</v>
      </c>
      <c r="Z978" s="26">
        <f t="shared" si="114"/>
        <v>0</v>
      </c>
      <c r="AA978" s="26">
        <f t="shared" si="115"/>
        <v>0</v>
      </c>
      <c r="AB978" s="26" t="str">
        <f t="shared" si="116"/>
        <v/>
      </c>
      <c r="AC978" s="26" t="str">
        <f>IF(MATCH(AB978,AB$300:$AB979,0),"0",1)</f>
        <v>0</v>
      </c>
    </row>
    <row r="979" spans="2:29" x14ac:dyDescent="0.35">
      <c r="B979" s="219"/>
      <c r="C979" s="216" t="s">
        <v>1465</v>
      </c>
      <c r="D979" s="216"/>
      <c r="E979" s="220"/>
      <c r="F979" s="220"/>
      <c r="G979" s="220"/>
      <c r="H979" s="220" t="str">
        <f t="shared" si="117"/>
        <v/>
      </c>
      <c r="I979" s="460"/>
      <c r="J979" s="460"/>
      <c r="K979" s="460"/>
      <c r="L979" s="460"/>
      <c r="M979" s="460"/>
      <c r="N979" s="220"/>
      <c r="O979" s="220"/>
      <c r="P979" s="220"/>
      <c r="Q979" s="220"/>
      <c r="R979" s="221"/>
      <c r="S979" s="221"/>
      <c r="T979" s="316">
        <f t="shared" si="111"/>
        <v>0</v>
      </c>
      <c r="U979" s="217">
        <f t="shared" si="112"/>
        <v>0</v>
      </c>
      <c r="X979" s="26" t="str">
        <f t="shared" si="113"/>
        <v/>
      </c>
      <c r="Y979" s="21" t="str">
        <f>IF(MATCH(X979,X$300:$X980,0),"Si",1)</f>
        <v>Si</v>
      </c>
      <c r="Z979" s="26">
        <f t="shared" si="114"/>
        <v>0</v>
      </c>
      <c r="AA979" s="26">
        <f t="shared" si="115"/>
        <v>0</v>
      </c>
      <c r="AB979" s="26" t="str">
        <f t="shared" si="116"/>
        <v/>
      </c>
      <c r="AC979" s="26" t="str">
        <f>IF(MATCH(AB979,AB$300:$AB980,0),"0",1)</f>
        <v>0</v>
      </c>
    </row>
    <row r="980" spans="2:29" x14ac:dyDescent="0.35">
      <c r="B980" s="219"/>
      <c r="C980" s="216" t="s">
        <v>1466</v>
      </c>
      <c r="D980" s="216"/>
      <c r="E980" s="220"/>
      <c r="F980" s="220"/>
      <c r="G980" s="220"/>
      <c r="H980" s="220" t="str">
        <f t="shared" si="117"/>
        <v/>
      </c>
      <c r="I980" s="460"/>
      <c r="J980" s="460"/>
      <c r="K980" s="460"/>
      <c r="L980" s="460"/>
      <c r="M980" s="460"/>
      <c r="N980" s="220"/>
      <c r="O980" s="220"/>
      <c r="P980" s="220"/>
      <c r="Q980" s="220"/>
      <c r="R980" s="221"/>
      <c r="S980" s="221"/>
      <c r="T980" s="316">
        <f t="shared" si="111"/>
        <v>0</v>
      </c>
      <c r="U980" s="217">
        <f t="shared" si="112"/>
        <v>0</v>
      </c>
      <c r="X980" s="26" t="str">
        <f t="shared" si="113"/>
        <v/>
      </c>
      <c r="Y980" s="21" t="str">
        <f>IF(MATCH(X980,X$300:$X981,0),"Si",1)</f>
        <v>Si</v>
      </c>
      <c r="Z980" s="26">
        <f t="shared" si="114"/>
        <v>0</v>
      </c>
      <c r="AA980" s="26">
        <f t="shared" si="115"/>
        <v>0</v>
      </c>
      <c r="AB980" s="26" t="str">
        <f t="shared" si="116"/>
        <v/>
      </c>
      <c r="AC980" s="26" t="str">
        <f>IF(MATCH(AB980,AB$300:$AB981,0),"0",1)</f>
        <v>0</v>
      </c>
    </row>
    <row r="981" spans="2:29" x14ac:dyDescent="0.35">
      <c r="B981" s="219"/>
      <c r="C981" s="216" t="s">
        <v>1467</v>
      </c>
      <c r="D981" s="216"/>
      <c r="E981" s="220"/>
      <c r="F981" s="220"/>
      <c r="G981" s="220"/>
      <c r="H981" s="220" t="str">
        <f t="shared" si="117"/>
        <v/>
      </c>
      <c r="I981" s="460"/>
      <c r="J981" s="460"/>
      <c r="K981" s="460"/>
      <c r="L981" s="460"/>
      <c r="M981" s="460"/>
      <c r="N981" s="220"/>
      <c r="O981" s="220"/>
      <c r="P981" s="220"/>
      <c r="Q981" s="220"/>
      <c r="R981" s="221"/>
      <c r="S981" s="221"/>
      <c r="T981" s="316">
        <f t="shared" si="111"/>
        <v>0</v>
      </c>
      <c r="U981" s="217">
        <f t="shared" si="112"/>
        <v>0</v>
      </c>
      <c r="X981" s="26" t="str">
        <f t="shared" si="113"/>
        <v/>
      </c>
      <c r="Y981" s="21" t="str">
        <f>IF(MATCH(X981,X$300:$X982,0),"Si",1)</f>
        <v>Si</v>
      </c>
      <c r="Z981" s="26">
        <f t="shared" si="114"/>
        <v>0</v>
      </c>
      <c r="AA981" s="26">
        <f t="shared" si="115"/>
        <v>0</v>
      </c>
      <c r="AB981" s="26" t="str">
        <f t="shared" si="116"/>
        <v/>
      </c>
      <c r="AC981" s="26" t="str">
        <f>IF(MATCH(AB981,AB$300:$AB982,0),"0",1)</f>
        <v>0</v>
      </c>
    </row>
    <row r="982" spans="2:29" x14ac:dyDescent="0.35">
      <c r="B982" s="219"/>
      <c r="C982" s="216" t="s">
        <v>1468</v>
      </c>
      <c r="D982" s="216"/>
      <c r="E982" s="220"/>
      <c r="F982" s="220"/>
      <c r="G982" s="220"/>
      <c r="H982" s="220" t="str">
        <f t="shared" si="117"/>
        <v/>
      </c>
      <c r="I982" s="460"/>
      <c r="J982" s="460"/>
      <c r="K982" s="460"/>
      <c r="L982" s="460"/>
      <c r="M982" s="460"/>
      <c r="N982" s="220"/>
      <c r="O982" s="220"/>
      <c r="P982" s="220"/>
      <c r="Q982" s="220"/>
      <c r="R982" s="221"/>
      <c r="S982" s="221"/>
      <c r="T982" s="316">
        <f t="shared" si="111"/>
        <v>0</v>
      </c>
      <c r="U982" s="217">
        <f t="shared" si="112"/>
        <v>0</v>
      </c>
      <c r="X982" s="26" t="str">
        <f t="shared" si="113"/>
        <v/>
      </c>
      <c r="Y982" s="21" t="str">
        <f>IF(MATCH(X982,X$300:$X983,0),"Si",1)</f>
        <v>Si</v>
      </c>
      <c r="Z982" s="26">
        <f t="shared" si="114"/>
        <v>0</v>
      </c>
      <c r="AA982" s="26">
        <f t="shared" si="115"/>
        <v>0</v>
      </c>
      <c r="AB982" s="26" t="str">
        <f t="shared" si="116"/>
        <v/>
      </c>
      <c r="AC982" s="26" t="str">
        <f>IF(MATCH(AB982,AB$300:$AB983,0),"0",1)</f>
        <v>0</v>
      </c>
    </row>
    <row r="983" spans="2:29" x14ac:dyDescent="0.35">
      <c r="B983" s="219"/>
      <c r="C983" s="216" t="s">
        <v>1469</v>
      </c>
      <c r="D983" s="216"/>
      <c r="E983" s="220"/>
      <c r="F983" s="220"/>
      <c r="G983" s="220"/>
      <c r="H983" s="220" t="str">
        <f t="shared" si="117"/>
        <v/>
      </c>
      <c r="I983" s="460"/>
      <c r="J983" s="460"/>
      <c r="K983" s="460"/>
      <c r="L983" s="460"/>
      <c r="M983" s="460"/>
      <c r="N983" s="220"/>
      <c r="O983" s="220"/>
      <c r="P983" s="220"/>
      <c r="Q983" s="220"/>
      <c r="R983" s="221"/>
      <c r="S983" s="221"/>
      <c r="T983" s="316">
        <f t="shared" si="111"/>
        <v>0</v>
      </c>
      <c r="U983" s="217">
        <f t="shared" si="112"/>
        <v>0</v>
      </c>
      <c r="X983" s="26" t="str">
        <f t="shared" si="113"/>
        <v/>
      </c>
      <c r="Y983" s="21" t="str">
        <f>IF(MATCH(X983,X$300:$X984,0),"Si",1)</f>
        <v>Si</v>
      </c>
      <c r="Z983" s="26">
        <f t="shared" si="114"/>
        <v>0</v>
      </c>
      <c r="AA983" s="26">
        <f t="shared" si="115"/>
        <v>0</v>
      </c>
      <c r="AB983" s="26" t="str">
        <f t="shared" si="116"/>
        <v/>
      </c>
      <c r="AC983" s="26" t="str">
        <f>IF(MATCH(AB983,AB$300:$AB984,0),"0",1)</f>
        <v>0</v>
      </c>
    </row>
    <row r="984" spans="2:29" x14ac:dyDescent="0.35">
      <c r="B984" s="219"/>
      <c r="C984" s="216" t="s">
        <v>1470</v>
      </c>
      <c r="D984" s="216"/>
      <c r="E984" s="220"/>
      <c r="F984" s="220"/>
      <c r="G984" s="220"/>
      <c r="H984" s="220" t="str">
        <f t="shared" si="117"/>
        <v/>
      </c>
      <c r="I984" s="460"/>
      <c r="J984" s="460"/>
      <c r="K984" s="460"/>
      <c r="L984" s="460"/>
      <c r="M984" s="460"/>
      <c r="N984" s="220"/>
      <c r="O984" s="220"/>
      <c r="P984" s="220"/>
      <c r="Q984" s="220"/>
      <c r="R984" s="221"/>
      <c r="S984" s="221"/>
      <c r="T984" s="316">
        <f t="shared" si="111"/>
        <v>0</v>
      </c>
      <c r="U984" s="217">
        <f t="shared" si="112"/>
        <v>0</v>
      </c>
      <c r="X984" s="26" t="str">
        <f t="shared" si="113"/>
        <v/>
      </c>
      <c r="Y984" s="21" t="str">
        <f>IF(MATCH(X984,X$300:$X985,0),"Si",1)</f>
        <v>Si</v>
      </c>
      <c r="Z984" s="26">
        <f t="shared" si="114"/>
        <v>0</v>
      </c>
      <c r="AA984" s="26">
        <f t="shared" si="115"/>
        <v>0</v>
      </c>
      <c r="AB984" s="26" t="str">
        <f t="shared" si="116"/>
        <v/>
      </c>
      <c r="AC984" s="26" t="str">
        <f>IF(MATCH(AB984,AB$300:$AB985,0),"0",1)</f>
        <v>0</v>
      </c>
    </row>
    <row r="985" spans="2:29" x14ac:dyDescent="0.35">
      <c r="B985" s="219"/>
      <c r="C985" s="216" t="s">
        <v>1471</v>
      </c>
      <c r="D985" s="216"/>
      <c r="E985" s="220"/>
      <c r="F985" s="220"/>
      <c r="G985" s="220"/>
      <c r="H985" s="220" t="str">
        <f t="shared" si="117"/>
        <v/>
      </c>
      <c r="I985" s="460"/>
      <c r="J985" s="460"/>
      <c r="K985" s="460"/>
      <c r="L985" s="460"/>
      <c r="M985" s="460"/>
      <c r="N985" s="220"/>
      <c r="O985" s="220"/>
      <c r="P985" s="220"/>
      <c r="Q985" s="220"/>
      <c r="R985" s="221"/>
      <c r="S985" s="221"/>
      <c r="T985" s="316">
        <f t="shared" si="111"/>
        <v>0</v>
      </c>
      <c r="U985" s="217">
        <f t="shared" si="112"/>
        <v>0</v>
      </c>
      <c r="X985" s="26" t="str">
        <f t="shared" si="113"/>
        <v/>
      </c>
      <c r="Y985" s="21" t="str">
        <f>IF(MATCH(X985,X$300:$X986,0),"Si",1)</f>
        <v>Si</v>
      </c>
      <c r="Z985" s="26">
        <f t="shared" si="114"/>
        <v>0</v>
      </c>
      <c r="AA985" s="26">
        <f t="shared" si="115"/>
        <v>0</v>
      </c>
      <c r="AB985" s="26" t="str">
        <f t="shared" si="116"/>
        <v/>
      </c>
      <c r="AC985" s="26" t="str">
        <f>IF(MATCH(AB985,AB$300:$AB986,0),"0",1)</f>
        <v>0</v>
      </c>
    </row>
    <row r="986" spans="2:29" x14ac:dyDescent="0.35">
      <c r="B986" s="219"/>
      <c r="C986" s="216" t="s">
        <v>1472</v>
      </c>
      <c r="D986" s="216"/>
      <c r="E986" s="220"/>
      <c r="F986" s="220"/>
      <c r="G986" s="220"/>
      <c r="H986" s="220" t="str">
        <f t="shared" si="117"/>
        <v/>
      </c>
      <c r="I986" s="460"/>
      <c r="J986" s="460"/>
      <c r="K986" s="460"/>
      <c r="L986" s="460"/>
      <c r="M986" s="460"/>
      <c r="N986" s="220"/>
      <c r="O986" s="220"/>
      <c r="P986" s="220"/>
      <c r="Q986" s="220"/>
      <c r="R986" s="221"/>
      <c r="S986" s="221"/>
      <c r="T986" s="316">
        <f t="shared" si="111"/>
        <v>0</v>
      </c>
      <c r="U986" s="217">
        <f t="shared" si="112"/>
        <v>0</v>
      </c>
      <c r="X986" s="26" t="str">
        <f t="shared" si="113"/>
        <v/>
      </c>
      <c r="Y986" s="21" t="str">
        <f>IF(MATCH(X986,X$300:$X987,0),"Si",1)</f>
        <v>Si</v>
      </c>
      <c r="Z986" s="26">
        <f t="shared" si="114"/>
        <v>0</v>
      </c>
      <c r="AA986" s="26">
        <f t="shared" si="115"/>
        <v>0</v>
      </c>
      <c r="AB986" s="26" t="str">
        <f t="shared" si="116"/>
        <v/>
      </c>
      <c r="AC986" s="26" t="str">
        <f>IF(MATCH(AB986,AB$300:$AB987,0),"0",1)</f>
        <v>0</v>
      </c>
    </row>
    <row r="987" spans="2:29" x14ac:dyDescent="0.35">
      <c r="B987" s="219"/>
      <c r="C987" s="216" t="s">
        <v>1473</v>
      </c>
      <c r="D987" s="216"/>
      <c r="E987" s="220"/>
      <c r="F987" s="220"/>
      <c r="G987" s="220"/>
      <c r="H987" s="220" t="str">
        <f t="shared" si="117"/>
        <v/>
      </c>
      <c r="I987" s="460"/>
      <c r="J987" s="460"/>
      <c r="K987" s="460"/>
      <c r="L987" s="460"/>
      <c r="M987" s="460"/>
      <c r="N987" s="220"/>
      <c r="O987" s="220"/>
      <c r="P987" s="220"/>
      <c r="Q987" s="220"/>
      <c r="R987" s="221"/>
      <c r="S987" s="221"/>
      <c r="T987" s="316">
        <f t="shared" ref="T987:T1024" si="118">IF(S987=0,0,IF(S987&lt;R987,"Error en fecha solución",IFERROR(AC987,NETWORKDAYS(R987,S987)-1)))</f>
        <v>0</v>
      </c>
      <c r="U987" s="217">
        <f t="shared" ref="U987:U1024" si="119">IFERROR(T987*8,"Error")</f>
        <v>0</v>
      </c>
      <c r="X987" s="26" t="str">
        <f t="shared" ref="X987:X1024" si="120">CONCATENATE(H987,O987,R987,S987)</f>
        <v/>
      </c>
      <c r="Y987" s="21" t="str">
        <f>IF(MATCH(X987,X$300:$X988,0),"Si",1)</f>
        <v>Si</v>
      </c>
      <c r="Z987" s="26">
        <f t="shared" ref="Z987:Z1024" si="121">IF(S987=0,0,IF(S987&lt;R987,"Error en fecha solución",IF(Y987="Si",0,IFERROR(Y987,NETWORKDAYS(R987,S987)-1))))</f>
        <v>0</v>
      </c>
      <c r="AA987" s="26">
        <f t="shared" ref="AA987:AA1024" si="122">IF(S987=0,0,IF(S987&lt;R987,"Error en fecha solución",IFERROR(Z987,NETWORKDAYS(R987,S987)-1)))</f>
        <v>0</v>
      </c>
      <c r="AB987" s="26" t="str">
        <f t="shared" ref="AB987:AB1024" si="123">CONCATENATE(R987,S987)</f>
        <v/>
      </c>
      <c r="AC987" s="26" t="str">
        <f>IF(MATCH(AB987,AB$300:$AB988,0),"0",1)</f>
        <v>0</v>
      </c>
    </row>
    <row r="988" spans="2:29" x14ac:dyDescent="0.35">
      <c r="B988" s="219"/>
      <c r="C988" s="216" t="s">
        <v>1474</v>
      </c>
      <c r="D988" s="216"/>
      <c r="E988" s="220"/>
      <c r="F988" s="220"/>
      <c r="G988" s="220"/>
      <c r="H988" s="220" t="str">
        <f t="shared" si="117"/>
        <v/>
      </c>
      <c r="I988" s="460"/>
      <c r="J988" s="460"/>
      <c r="K988" s="460"/>
      <c r="L988" s="460"/>
      <c r="M988" s="460"/>
      <c r="N988" s="220"/>
      <c r="O988" s="220"/>
      <c r="P988" s="220"/>
      <c r="Q988" s="220"/>
      <c r="R988" s="221"/>
      <c r="S988" s="221"/>
      <c r="T988" s="316">
        <f t="shared" si="118"/>
        <v>0</v>
      </c>
      <c r="U988" s="217">
        <f t="shared" si="119"/>
        <v>0</v>
      </c>
      <c r="X988" s="26" t="str">
        <f t="shared" si="120"/>
        <v/>
      </c>
      <c r="Y988" s="21" t="str">
        <f>IF(MATCH(X988,X$300:$X989,0),"Si",1)</f>
        <v>Si</v>
      </c>
      <c r="Z988" s="26">
        <f t="shared" si="121"/>
        <v>0</v>
      </c>
      <c r="AA988" s="26">
        <f t="shared" si="122"/>
        <v>0</v>
      </c>
      <c r="AB988" s="26" t="str">
        <f t="shared" si="123"/>
        <v/>
      </c>
      <c r="AC988" s="26" t="str">
        <f>IF(MATCH(AB988,AB$300:$AB989,0),"0",1)</f>
        <v>0</v>
      </c>
    </row>
    <row r="989" spans="2:29" x14ac:dyDescent="0.35">
      <c r="B989" s="219"/>
      <c r="C989" s="216" t="s">
        <v>1475</v>
      </c>
      <c r="D989" s="216"/>
      <c r="E989" s="220"/>
      <c r="F989" s="220"/>
      <c r="G989" s="220"/>
      <c r="H989" s="220" t="str">
        <f t="shared" si="117"/>
        <v/>
      </c>
      <c r="I989" s="460"/>
      <c r="J989" s="460"/>
      <c r="K989" s="460"/>
      <c r="L989" s="460"/>
      <c r="M989" s="460"/>
      <c r="N989" s="220"/>
      <c r="O989" s="220"/>
      <c r="P989" s="220"/>
      <c r="Q989" s="220"/>
      <c r="R989" s="221"/>
      <c r="S989" s="221"/>
      <c r="T989" s="316">
        <f t="shared" si="118"/>
        <v>0</v>
      </c>
      <c r="U989" s="217">
        <f t="shared" si="119"/>
        <v>0</v>
      </c>
      <c r="X989" s="26" t="str">
        <f t="shared" si="120"/>
        <v/>
      </c>
      <c r="Y989" s="21" t="str">
        <f>IF(MATCH(X989,X$300:$X990,0),"Si",1)</f>
        <v>Si</v>
      </c>
      <c r="Z989" s="26">
        <f t="shared" si="121"/>
        <v>0</v>
      </c>
      <c r="AA989" s="26">
        <f t="shared" si="122"/>
        <v>0</v>
      </c>
      <c r="AB989" s="26" t="str">
        <f t="shared" si="123"/>
        <v/>
      </c>
      <c r="AC989" s="26" t="str">
        <f>IF(MATCH(AB989,AB$300:$AB990,0),"0",1)</f>
        <v>0</v>
      </c>
    </row>
    <row r="990" spans="2:29" x14ac:dyDescent="0.35">
      <c r="B990" s="219"/>
      <c r="C990" s="216" t="s">
        <v>1476</v>
      </c>
      <c r="D990" s="216"/>
      <c r="E990" s="220"/>
      <c r="F990" s="220"/>
      <c r="G990" s="220"/>
      <c r="H990" s="220" t="str">
        <f t="shared" si="117"/>
        <v/>
      </c>
      <c r="I990" s="460"/>
      <c r="J990" s="460"/>
      <c r="K990" s="460"/>
      <c r="L990" s="460"/>
      <c r="M990" s="460"/>
      <c r="N990" s="220"/>
      <c r="O990" s="220"/>
      <c r="P990" s="220"/>
      <c r="Q990" s="220"/>
      <c r="R990" s="221"/>
      <c r="S990" s="221"/>
      <c r="T990" s="316">
        <f t="shared" si="118"/>
        <v>0</v>
      </c>
      <c r="U990" s="217">
        <f t="shared" si="119"/>
        <v>0</v>
      </c>
      <c r="X990" s="26" t="str">
        <f t="shared" si="120"/>
        <v/>
      </c>
      <c r="Y990" s="21" t="str">
        <f>IF(MATCH(X990,X$300:$X991,0),"Si",1)</f>
        <v>Si</v>
      </c>
      <c r="Z990" s="26">
        <f t="shared" si="121"/>
        <v>0</v>
      </c>
      <c r="AA990" s="26">
        <f t="shared" si="122"/>
        <v>0</v>
      </c>
      <c r="AB990" s="26" t="str">
        <f t="shared" si="123"/>
        <v/>
      </c>
      <c r="AC990" s="26" t="str">
        <f>IF(MATCH(AB990,AB$300:$AB991,0),"0",1)</f>
        <v>0</v>
      </c>
    </row>
    <row r="991" spans="2:29" x14ac:dyDescent="0.35">
      <c r="B991" s="219"/>
      <c r="C991" s="216" t="s">
        <v>1477</v>
      </c>
      <c r="D991" s="216"/>
      <c r="E991" s="220"/>
      <c r="F991" s="220"/>
      <c r="G991" s="220"/>
      <c r="H991" s="220" t="str">
        <f t="shared" si="117"/>
        <v/>
      </c>
      <c r="I991" s="460"/>
      <c r="J991" s="460"/>
      <c r="K991" s="460"/>
      <c r="L991" s="460"/>
      <c r="M991" s="460"/>
      <c r="N991" s="220"/>
      <c r="O991" s="220"/>
      <c r="P991" s="220"/>
      <c r="Q991" s="220"/>
      <c r="R991" s="221"/>
      <c r="S991" s="221"/>
      <c r="T991" s="316">
        <f t="shared" si="118"/>
        <v>0</v>
      </c>
      <c r="U991" s="217">
        <f t="shared" si="119"/>
        <v>0</v>
      </c>
      <c r="X991" s="26" t="str">
        <f t="shared" si="120"/>
        <v/>
      </c>
      <c r="Y991" s="21" t="str">
        <f>IF(MATCH(X991,X$300:$X992,0),"Si",1)</f>
        <v>Si</v>
      </c>
      <c r="Z991" s="26">
        <f t="shared" si="121"/>
        <v>0</v>
      </c>
      <c r="AA991" s="26">
        <f t="shared" si="122"/>
        <v>0</v>
      </c>
      <c r="AB991" s="26" t="str">
        <f t="shared" si="123"/>
        <v/>
      </c>
      <c r="AC991" s="26" t="str">
        <f>IF(MATCH(AB991,AB$300:$AB992,0),"0",1)</f>
        <v>0</v>
      </c>
    </row>
    <row r="992" spans="2:29" x14ac:dyDescent="0.35">
      <c r="B992" s="219"/>
      <c r="C992" s="216" t="s">
        <v>1478</v>
      </c>
      <c r="D992" s="216"/>
      <c r="E992" s="220"/>
      <c r="F992" s="220"/>
      <c r="G992" s="220"/>
      <c r="H992" s="220" t="str">
        <f t="shared" si="117"/>
        <v/>
      </c>
      <c r="I992" s="460"/>
      <c r="J992" s="460"/>
      <c r="K992" s="460"/>
      <c r="L992" s="460"/>
      <c r="M992" s="460"/>
      <c r="N992" s="220"/>
      <c r="O992" s="220"/>
      <c r="P992" s="220"/>
      <c r="Q992" s="220"/>
      <c r="R992" s="221"/>
      <c r="S992" s="221"/>
      <c r="T992" s="316">
        <f t="shared" si="118"/>
        <v>0</v>
      </c>
      <c r="U992" s="217">
        <f t="shared" si="119"/>
        <v>0</v>
      </c>
      <c r="X992" s="26" t="str">
        <f t="shared" si="120"/>
        <v/>
      </c>
      <c r="Y992" s="21" t="str">
        <f>IF(MATCH(X992,X$300:$X993,0),"Si",1)</f>
        <v>Si</v>
      </c>
      <c r="Z992" s="26">
        <f t="shared" si="121"/>
        <v>0</v>
      </c>
      <c r="AA992" s="26">
        <f t="shared" si="122"/>
        <v>0</v>
      </c>
      <c r="AB992" s="26" t="str">
        <f t="shared" si="123"/>
        <v/>
      </c>
      <c r="AC992" s="26" t="str">
        <f>IF(MATCH(AB992,AB$300:$AB993,0),"0",1)</f>
        <v>0</v>
      </c>
    </row>
    <row r="993" spans="2:29" x14ac:dyDescent="0.35">
      <c r="B993" s="219"/>
      <c r="C993" s="216" t="s">
        <v>1479</v>
      </c>
      <c r="D993" s="216"/>
      <c r="E993" s="220"/>
      <c r="F993" s="220"/>
      <c r="G993" s="220"/>
      <c r="H993" s="220" t="str">
        <f t="shared" si="117"/>
        <v/>
      </c>
      <c r="I993" s="460"/>
      <c r="J993" s="460"/>
      <c r="K993" s="460"/>
      <c r="L993" s="460"/>
      <c r="M993" s="460"/>
      <c r="N993" s="220"/>
      <c r="O993" s="220"/>
      <c r="P993" s="220"/>
      <c r="Q993" s="220"/>
      <c r="R993" s="221"/>
      <c r="S993" s="221"/>
      <c r="T993" s="316">
        <f t="shared" si="118"/>
        <v>0</v>
      </c>
      <c r="U993" s="217">
        <f t="shared" si="119"/>
        <v>0</v>
      </c>
      <c r="X993" s="26" t="str">
        <f t="shared" si="120"/>
        <v/>
      </c>
      <c r="Y993" s="21" t="str">
        <f>IF(MATCH(X993,X$300:$X994,0),"Si",1)</f>
        <v>Si</v>
      </c>
      <c r="Z993" s="26">
        <f t="shared" si="121"/>
        <v>0</v>
      </c>
      <c r="AA993" s="26">
        <f t="shared" si="122"/>
        <v>0</v>
      </c>
      <c r="AB993" s="26" t="str">
        <f t="shared" si="123"/>
        <v/>
      </c>
      <c r="AC993" s="26" t="str">
        <f>IF(MATCH(AB993,AB$300:$AB994,0),"0",1)</f>
        <v>0</v>
      </c>
    </row>
    <row r="994" spans="2:29" x14ac:dyDescent="0.35">
      <c r="B994" s="219"/>
      <c r="C994" s="216" t="s">
        <v>1480</v>
      </c>
      <c r="D994" s="216"/>
      <c r="E994" s="220"/>
      <c r="F994" s="220"/>
      <c r="G994" s="220"/>
      <c r="H994" s="220" t="str">
        <f t="shared" si="117"/>
        <v/>
      </c>
      <c r="I994" s="460"/>
      <c r="J994" s="460"/>
      <c r="K994" s="460"/>
      <c r="L994" s="460"/>
      <c r="M994" s="460"/>
      <c r="N994" s="220"/>
      <c r="O994" s="220"/>
      <c r="P994" s="220"/>
      <c r="Q994" s="220"/>
      <c r="R994" s="221"/>
      <c r="S994" s="221"/>
      <c r="T994" s="316">
        <f t="shared" si="118"/>
        <v>0</v>
      </c>
      <c r="U994" s="217">
        <f t="shared" si="119"/>
        <v>0</v>
      </c>
      <c r="X994" s="26" t="str">
        <f t="shared" si="120"/>
        <v/>
      </c>
      <c r="Y994" s="21" t="str">
        <f>IF(MATCH(X994,X$300:$X995,0),"Si",1)</f>
        <v>Si</v>
      </c>
      <c r="Z994" s="26">
        <f t="shared" si="121"/>
        <v>0</v>
      </c>
      <c r="AA994" s="26">
        <f t="shared" si="122"/>
        <v>0</v>
      </c>
      <c r="AB994" s="26" t="str">
        <f t="shared" si="123"/>
        <v/>
      </c>
      <c r="AC994" s="26" t="str">
        <f>IF(MATCH(AB994,AB$300:$AB995,0),"0",1)</f>
        <v>0</v>
      </c>
    </row>
    <row r="995" spans="2:29" x14ac:dyDescent="0.35">
      <c r="B995" s="219"/>
      <c r="C995" s="216" t="s">
        <v>1481</v>
      </c>
      <c r="D995" s="216"/>
      <c r="E995" s="220"/>
      <c r="F995" s="220"/>
      <c r="G995" s="220"/>
      <c r="H995" s="220" t="str">
        <f t="shared" si="117"/>
        <v/>
      </c>
      <c r="I995" s="460"/>
      <c r="J995" s="460"/>
      <c r="K995" s="460"/>
      <c r="L995" s="460"/>
      <c r="M995" s="460"/>
      <c r="N995" s="220"/>
      <c r="O995" s="220"/>
      <c r="P995" s="220"/>
      <c r="Q995" s="220"/>
      <c r="R995" s="221"/>
      <c r="S995" s="221"/>
      <c r="T995" s="316">
        <f t="shared" si="118"/>
        <v>0</v>
      </c>
      <c r="U995" s="217">
        <f t="shared" si="119"/>
        <v>0</v>
      </c>
      <c r="X995" s="26" t="str">
        <f t="shared" si="120"/>
        <v/>
      </c>
      <c r="Y995" s="21" t="str">
        <f>IF(MATCH(X995,X$300:$X996,0),"Si",1)</f>
        <v>Si</v>
      </c>
      <c r="Z995" s="26">
        <f t="shared" si="121"/>
        <v>0</v>
      </c>
      <c r="AA995" s="26">
        <f t="shared" si="122"/>
        <v>0</v>
      </c>
      <c r="AB995" s="26" t="str">
        <f t="shared" si="123"/>
        <v/>
      </c>
      <c r="AC995" s="26" t="str">
        <f>IF(MATCH(AB995,AB$300:$AB996,0),"0",1)</f>
        <v>0</v>
      </c>
    </row>
    <row r="996" spans="2:29" x14ac:dyDescent="0.35">
      <c r="B996" s="219"/>
      <c r="C996" s="216" t="s">
        <v>1482</v>
      </c>
      <c r="D996" s="216"/>
      <c r="E996" s="220"/>
      <c r="F996" s="220"/>
      <c r="G996" s="220"/>
      <c r="H996" s="220" t="str">
        <f t="shared" si="117"/>
        <v/>
      </c>
      <c r="I996" s="460"/>
      <c r="J996" s="460"/>
      <c r="K996" s="460"/>
      <c r="L996" s="460"/>
      <c r="M996" s="460"/>
      <c r="N996" s="220"/>
      <c r="O996" s="220"/>
      <c r="P996" s="220"/>
      <c r="Q996" s="220"/>
      <c r="R996" s="221"/>
      <c r="S996" s="221"/>
      <c r="T996" s="316">
        <f t="shared" si="118"/>
        <v>0</v>
      </c>
      <c r="U996" s="217">
        <f t="shared" si="119"/>
        <v>0</v>
      </c>
      <c r="X996" s="26" t="str">
        <f t="shared" si="120"/>
        <v/>
      </c>
      <c r="Y996" s="21" t="str">
        <f>IF(MATCH(X996,X$300:$X997,0),"Si",1)</f>
        <v>Si</v>
      </c>
      <c r="Z996" s="26">
        <f t="shared" si="121"/>
        <v>0</v>
      </c>
      <c r="AA996" s="26">
        <f t="shared" si="122"/>
        <v>0</v>
      </c>
      <c r="AB996" s="26" t="str">
        <f t="shared" si="123"/>
        <v/>
      </c>
      <c r="AC996" s="26" t="str">
        <f>IF(MATCH(AB996,AB$300:$AB997,0),"0",1)</f>
        <v>0</v>
      </c>
    </row>
    <row r="997" spans="2:29" x14ac:dyDescent="0.35">
      <c r="B997" s="219"/>
      <c r="C997" s="216" t="s">
        <v>1483</v>
      </c>
      <c r="D997" s="216"/>
      <c r="E997" s="220"/>
      <c r="F997" s="220"/>
      <c r="G997" s="220"/>
      <c r="H997" s="220" t="str">
        <f t="shared" si="117"/>
        <v/>
      </c>
      <c r="I997" s="460"/>
      <c r="J997" s="460"/>
      <c r="K997" s="460"/>
      <c r="L997" s="460"/>
      <c r="M997" s="460"/>
      <c r="N997" s="220"/>
      <c r="O997" s="220"/>
      <c r="P997" s="220"/>
      <c r="Q997" s="220"/>
      <c r="R997" s="221"/>
      <c r="S997" s="221"/>
      <c r="T997" s="316">
        <f t="shared" si="118"/>
        <v>0</v>
      </c>
      <c r="U997" s="217">
        <f t="shared" si="119"/>
        <v>0</v>
      </c>
      <c r="X997" s="26" t="str">
        <f t="shared" si="120"/>
        <v/>
      </c>
      <c r="Y997" s="21" t="str">
        <f>IF(MATCH(X997,X$300:$X998,0),"Si",1)</f>
        <v>Si</v>
      </c>
      <c r="Z997" s="26">
        <f t="shared" si="121"/>
        <v>0</v>
      </c>
      <c r="AA997" s="26">
        <f t="shared" si="122"/>
        <v>0</v>
      </c>
      <c r="AB997" s="26" t="str">
        <f t="shared" si="123"/>
        <v/>
      </c>
      <c r="AC997" s="26" t="str">
        <f>IF(MATCH(AB997,AB$300:$AB998,0),"0",1)</f>
        <v>0</v>
      </c>
    </row>
    <row r="998" spans="2:29" x14ac:dyDescent="0.35">
      <c r="B998" s="219"/>
      <c r="C998" s="216" t="s">
        <v>1484</v>
      </c>
      <c r="D998" s="216"/>
      <c r="E998" s="220"/>
      <c r="F998" s="220"/>
      <c r="G998" s="220"/>
      <c r="H998" s="220" t="str">
        <f t="shared" si="117"/>
        <v/>
      </c>
      <c r="I998" s="460"/>
      <c r="J998" s="460"/>
      <c r="K998" s="460"/>
      <c r="L998" s="460"/>
      <c r="M998" s="460"/>
      <c r="N998" s="220"/>
      <c r="O998" s="220"/>
      <c r="P998" s="220"/>
      <c r="Q998" s="220"/>
      <c r="R998" s="221"/>
      <c r="S998" s="221"/>
      <c r="T998" s="316">
        <f t="shared" si="118"/>
        <v>0</v>
      </c>
      <c r="U998" s="217">
        <f t="shared" si="119"/>
        <v>0</v>
      </c>
      <c r="X998" s="26" t="str">
        <f t="shared" si="120"/>
        <v/>
      </c>
      <c r="Y998" s="21" t="str">
        <f>IF(MATCH(X998,X$300:$X999,0),"Si",1)</f>
        <v>Si</v>
      </c>
      <c r="Z998" s="26">
        <f t="shared" si="121"/>
        <v>0</v>
      </c>
      <c r="AA998" s="26">
        <f t="shared" si="122"/>
        <v>0</v>
      </c>
      <c r="AB998" s="26" t="str">
        <f t="shared" si="123"/>
        <v/>
      </c>
      <c r="AC998" s="26" t="str">
        <f>IF(MATCH(AB998,AB$300:$AB999,0),"0",1)</f>
        <v>0</v>
      </c>
    </row>
    <row r="999" spans="2:29" x14ac:dyDescent="0.35">
      <c r="B999" s="219"/>
      <c r="C999" s="216" t="s">
        <v>1485</v>
      </c>
      <c r="D999" s="216"/>
      <c r="E999" s="220"/>
      <c r="F999" s="220"/>
      <c r="G999" s="220"/>
      <c r="H999" s="220" t="str">
        <f t="shared" si="117"/>
        <v/>
      </c>
      <c r="I999" s="460"/>
      <c r="J999" s="460"/>
      <c r="K999" s="460"/>
      <c r="L999" s="460"/>
      <c r="M999" s="460"/>
      <c r="N999" s="220"/>
      <c r="O999" s="220"/>
      <c r="P999" s="220"/>
      <c r="Q999" s="220"/>
      <c r="R999" s="221"/>
      <c r="S999" s="221"/>
      <c r="T999" s="316">
        <f t="shared" si="118"/>
        <v>0</v>
      </c>
      <c r="U999" s="217">
        <f t="shared" si="119"/>
        <v>0</v>
      </c>
      <c r="X999" s="26" t="str">
        <f t="shared" si="120"/>
        <v/>
      </c>
      <c r="Y999" s="21" t="str">
        <f>IF(MATCH(X999,X$300:$X1000,0),"Si",1)</f>
        <v>Si</v>
      </c>
      <c r="Z999" s="26">
        <f t="shared" si="121"/>
        <v>0</v>
      </c>
      <c r="AA999" s="26">
        <f t="shared" si="122"/>
        <v>0</v>
      </c>
      <c r="AB999" s="26" t="str">
        <f t="shared" si="123"/>
        <v/>
      </c>
      <c r="AC999" s="26" t="str">
        <f>IF(MATCH(AB999,AB$300:$AB1000,0),"0",1)</f>
        <v>0</v>
      </c>
    </row>
    <row r="1000" spans="2:29" x14ac:dyDescent="0.35">
      <c r="B1000" s="219"/>
      <c r="C1000" s="216" t="s">
        <v>1486</v>
      </c>
      <c r="D1000" s="216"/>
      <c r="E1000" s="220"/>
      <c r="F1000" s="220"/>
      <c r="G1000" s="220"/>
      <c r="H1000" s="220" t="str">
        <f t="shared" si="117"/>
        <v/>
      </c>
      <c r="I1000" s="460"/>
      <c r="J1000" s="460"/>
      <c r="K1000" s="460"/>
      <c r="L1000" s="460"/>
      <c r="M1000" s="460"/>
      <c r="N1000" s="220"/>
      <c r="O1000" s="220"/>
      <c r="P1000" s="220"/>
      <c r="Q1000" s="220"/>
      <c r="R1000" s="221"/>
      <c r="S1000" s="221"/>
      <c r="T1000" s="316">
        <f t="shared" si="118"/>
        <v>0</v>
      </c>
      <c r="U1000" s="217">
        <f t="shared" si="119"/>
        <v>0</v>
      </c>
      <c r="X1000" s="26" t="str">
        <f t="shared" si="120"/>
        <v/>
      </c>
      <c r="Y1000" s="21" t="str">
        <f>IF(MATCH(X1000,X$300:$X1001,0),"Si",1)</f>
        <v>Si</v>
      </c>
      <c r="Z1000" s="26">
        <f t="shared" si="121"/>
        <v>0</v>
      </c>
      <c r="AA1000" s="26">
        <f t="shared" si="122"/>
        <v>0</v>
      </c>
      <c r="AB1000" s="26" t="str">
        <f t="shared" si="123"/>
        <v/>
      </c>
      <c r="AC1000" s="26" t="str">
        <f>IF(MATCH(AB1000,AB$300:$AB1001,0),"0",1)</f>
        <v>0</v>
      </c>
    </row>
    <row r="1001" spans="2:29" x14ac:dyDescent="0.35">
      <c r="B1001" s="219"/>
      <c r="C1001" s="216" t="s">
        <v>1487</v>
      </c>
      <c r="D1001" s="216"/>
      <c r="E1001" s="220"/>
      <c r="F1001" s="220"/>
      <c r="G1001" s="220"/>
      <c r="H1001" s="220" t="str">
        <f t="shared" si="117"/>
        <v/>
      </c>
      <c r="I1001" s="460"/>
      <c r="J1001" s="460"/>
      <c r="K1001" s="460"/>
      <c r="L1001" s="460"/>
      <c r="M1001" s="460"/>
      <c r="N1001" s="220"/>
      <c r="O1001" s="220"/>
      <c r="P1001" s="220"/>
      <c r="Q1001" s="220"/>
      <c r="R1001" s="221"/>
      <c r="S1001" s="221"/>
      <c r="T1001" s="316">
        <f t="shared" si="118"/>
        <v>0</v>
      </c>
      <c r="U1001" s="217">
        <f t="shared" si="119"/>
        <v>0</v>
      </c>
      <c r="X1001" s="26" t="str">
        <f t="shared" si="120"/>
        <v/>
      </c>
      <c r="Y1001" s="21" t="str">
        <f>IF(MATCH(X1001,X$300:$X1002,0),"Si",1)</f>
        <v>Si</v>
      </c>
      <c r="Z1001" s="26">
        <f t="shared" si="121"/>
        <v>0</v>
      </c>
      <c r="AA1001" s="26">
        <f t="shared" si="122"/>
        <v>0</v>
      </c>
      <c r="AB1001" s="26" t="str">
        <f t="shared" si="123"/>
        <v/>
      </c>
      <c r="AC1001" s="26" t="str">
        <f>IF(MATCH(AB1001,AB$300:$AB1002,0),"0",1)</f>
        <v>0</v>
      </c>
    </row>
    <row r="1002" spans="2:29" x14ac:dyDescent="0.35">
      <c r="B1002" s="219"/>
      <c r="C1002" s="216" t="s">
        <v>1488</v>
      </c>
      <c r="D1002" s="216"/>
      <c r="E1002" s="220"/>
      <c r="F1002" s="220"/>
      <c r="G1002" s="220"/>
      <c r="H1002" s="220" t="str">
        <f t="shared" si="117"/>
        <v/>
      </c>
      <c r="I1002" s="460"/>
      <c r="J1002" s="460"/>
      <c r="K1002" s="460"/>
      <c r="L1002" s="460"/>
      <c r="M1002" s="460"/>
      <c r="N1002" s="220"/>
      <c r="O1002" s="220"/>
      <c r="P1002" s="220"/>
      <c r="Q1002" s="220"/>
      <c r="R1002" s="221"/>
      <c r="S1002" s="221"/>
      <c r="T1002" s="316">
        <f t="shared" si="118"/>
        <v>0</v>
      </c>
      <c r="U1002" s="217">
        <f t="shared" si="119"/>
        <v>0</v>
      </c>
      <c r="X1002" s="26" t="str">
        <f t="shared" si="120"/>
        <v/>
      </c>
      <c r="Y1002" s="21" t="str">
        <f>IF(MATCH(X1002,X$300:$X1003,0),"Si",1)</f>
        <v>Si</v>
      </c>
      <c r="Z1002" s="26">
        <f t="shared" si="121"/>
        <v>0</v>
      </c>
      <c r="AA1002" s="26">
        <f t="shared" si="122"/>
        <v>0</v>
      </c>
      <c r="AB1002" s="26" t="str">
        <f t="shared" si="123"/>
        <v/>
      </c>
      <c r="AC1002" s="26" t="str">
        <f>IF(MATCH(AB1002,AB$300:$AB1003,0),"0",1)</f>
        <v>0</v>
      </c>
    </row>
    <row r="1003" spans="2:29" x14ac:dyDescent="0.35">
      <c r="B1003" s="219"/>
      <c r="C1003" s="216" t="s">
        <v>1489</v>
      </c>
      <c r="D1003" s="216"/>
      <c r="E1003" s="220"/>
      <c r="F1003" s="220"/>
      <c r="G1003" s="220"/>
      <c r="H1003" s="220" t="str">
        <f t="shared" si="117"/>
        <v/>
      </c>
      <c r="I1003" s="460"/>
      <c r="J1003" s="460"/>
      <c r="K1003" s="460"/>
      <c r="L1003" s="460"/>
      <c r="M1003" s="460"/>
      <c r="N1003" s="220"/>
      <c r="O1003" s="220"/>
      <c r="P1003" s="220"/>
      <c r="Q1003" s="220"/>
      <c r="R1003" s="221"/>
      <c r="S1003" s="221"/>
      <c r="T1003" s="316">
        <f t="shared" si="118"/>
        <v>0</v>
      </c>
      <c r="U1003" s="217">
        <f t="shared" si="119"/>
        <v>0</v>
      </c>
      <c r="X1003" s="26" t="str">
        <f t="shared" si="120"/>
        <v/>
      </c>
      <c r="Y1003" s="21" t="str">
        <f>IF(MATCH(X1003,X$300:$X1004,0),"Si",1)</f>
        <v>Si</v>
      </c>
      <c r="Z1003" s="26">
        <f t="shared" si="121"/>
        <v>0</v>
      </c>
      <c r="AA1003" s="26">
        <f t="shared" si="122"/>
        <v>0</v>
      </c>
      <c r="AB1003" s="26" t="str">
        <f t="shared" si="123"/>
        <v/>
      </c>
      <c r="AC1003" s="26" t="str">
        <f>IF(MATCH(AB1003,AB$300:$AB1004,0),"0",1)</f>
        <v>0</v>
      </c>
    </row>
    <row r="1004" spans="2:29" x14ac:dyDescent="0.35">
      <c r="B1004" s="219"/>
      <c r="C1004" s="216" t="s">
        <v>1490</v>
      </c>
      <c r="D1004" s="216"/>
      <c r="E1004" s="220"/>
      <c r="F1004" s="220"/>
      <c r="G1004" s="220"/>
      <c r="H1004" s="220" t="str">
        <f t="shared" si="117"/>
        <v/>
      </c>
      <c r="I1004" s="460"/>
      <c r="J1004" s="460"/>
      <c r="K1004" s="460"/>
      <c r="L1004" s="460"/>
      <c r="M1004" s="460"/>
      <c r="N1004" s="220"/>
      <c r="O1004" s="220"/>
      <c r="P1004" s="220"/>
      <c r="Q1004" s="220"/>
      <c r="R1004" s="221"/>
      <c r="S1004" s="221"/>
      <c r="T1004" s="316">
        <f t="shared" si="118"/>
        <v>0</v>
      </c>
      <c r="U1004" s="217">
        <f t="shared" si="119"/>
        <v>0</v>
      </c>
      <c r="X1004" s="26" t="str">
        <f t="shared" si="120"/>
        <v/>
      </c>
      <c r="Y1004" s="21" t="str">
        <f>IF(MATCH(X1004,X$300:$X1005,0),"Si",1)</f>
        <v>Si</v>
      </c>
      <c r="Z1004" s="26">
        <f t="shared" si="121"/>
        <v>0</v>
      </c>
      <c r="AA1004" s="26">
        <f t="shared" si="122"/>
        <v>0</v>
      </c>
      <c r="AB1004" s="26" t="str">
        <f t="shared" si="123"/>
        <v/>
      </c>
      <c r="AC1004" s="26" t="str">
        <f>IF(MATCH(AB1004,AB$300:$AB1005,0),"0",1)</f>
        <v>0</v>
      </c>
    </row>
    <row r="1005" spans="2:29" x14ac:dyDescent="0.35">
      <c r="B1005" s="219"/>
      <c r="C1005" s="216" t="s">
        <v>1491</v>
      </c>
      <c r="D1005" s="216"/>
      <c r="E1005" s="220"/>
      <c r="F1005" s="220"/>
      <c r="G1005" s="220"/>
      <c r="H1005" s="220" t="str">
        <f t="shared" si="117"/>
        <v/>
      </c>
      <c r="I1005" s="460"/>
      <c r="J1005" s="460"/>
      <c r="K1005" s="460"/>
      <c r="L1005" s="460"/>
      <c r="M1005" s="460"/>
      <c r="N1005" s="220"/>
      <c r="O1005" s="220"/>
      <c r="P1005" s="220"/>
      <c r="Q1005" s="220"/>
      <c r="R1005" s="221"/>
      <c r="S1005" s="221"/>
      <c r="T1005" s="316">
        <f t="shared" si="118"/>
        <v>0</v>
      </c>
      <c r="U1005" s="217">
        <f t="shared" si="119"/>
        <v>0</v>
      </c>
      <c r="X1005" s="26" t="str">
        <f t="shared" si="120"/>
        <v/>
      </c>
      <c r="Y1005" s="21" t="str">
        <f>IF(MATCH(X1005,X$300:$X1006,0),"Si",1)</f>
        <v>Si</v>
      </c>
      <c r="Z1005" s="26">
        <f t="shared" si="121"/>
        <v>0</v>
      </c>
      <c r="AA1005" s="26">
        <f t="shared" si="122"/>
        <v>0</v>
      </c>
      <c r="AB1005" s="26" t="str">
        <f t="shared" si="123"/>
        <v/>
      </c>
      <c r="AC1005" s="26" t="str">
        <f>IF(MATCH(AB1005,AB$300:$AB1006,0),"0",1)</f>
        <v>0</v>
      </c>
    </row>
    <row r="1006" spans="2:29" x14ac:dyDescent="0.35">
      <c r="B1006" s="219"/>
      <c r="C1006" s="216" t="s">
        <v>1492</v>
      </c>
      <c r="D1006" s="216"/>
      <c r="E1006" s="220"/>
      <c r="F1006" s="220"/>
      <c r="G1006" s="220"/>
      <c r="H1006" s="220" t="str">
        <f t="shared" si="117"/>
        <v/>
      </c>
      <c r="I1006" s="460"/>
      <c r="J1006" s="460"/>
      <c r="K1006" s="460"/>
      <c r="L1006" s="460"/>
      <c r="M1006" s="460"/>
      <c r="N1006" s="220"/>
      <c r="O1006" s="220"/>
      <c r="P1006" s="220"/>
      <c r="Q1006" s="220"/>
      <c r="R1006" s="221"/>
      <c r="S1006" s="221"/>
      <c r="T1006" s="316">
        <f t="shared" si="118"/>
        <v>0</v>
      </c>
      <c r="U1006" s="217">
        <f t="shared" si="119"/>
        <v>0</v>
      </c>
      <c r="X1006" s="26" t="str">
        <f t="shared" si="120"/>
        <v/>
      </c>
      <c r="Y1006" s="21" t="str">
        <f>IF(MATCH(X1006,X$300:$X1007,0),"Si",1)</f>
        <v>Si</v>
      </c>
      <c r="Z1006" s="26">
        <f t="shared" si="121"/>
        <v>0</v>
      </c>
      <c r="AA1006" s="26">
        <f t="shared" si="122"/>
        <v>0</v>
      </c>
      <c r="AB1006" s="26" t="str">
        <f t="shared" si="123"/>
        <v/>
      </c>
      <c r="AC1006" s="26" t="str">
        <f>IF(MATCH(AB1006,AB$300:$AB1007,0),"0",1)</f>
        <v>0</v>
      </c>
    </row>
    <row r="1007" spans="2:29" x14ac:dyDescent="0.35">
      <c r="B1007" s="219"/>
      <c r="C1007" s="216" t="s">
        <v>1493</v>
      </c>
      <c r="D1007" s="216"/>
      <c r="E1007" s="220"/>
      <c r="F1007" s="220"/>
      <c r="G1007" s="220"/>
      <c r="H1007" s="220" t="str">
        <f t="shared" si="117"/>
        <v/>
      </c>
      <c r="I1007" s="460"/>
      <c r="J1007" s="460"/>
      <c r="K1007" s="460"/>
      <c r="L1007" s="460"/>
      <c r="M1007" s="460"/>
      <c r="N1007" s="220"/>
      <c r="O1007" s="220"/>
      <c r="P1007" s="220"/>
      <c r="Q1007" s="220"/>
      <c r="R1007" s="221"/>
      <c r="S1007" s="221"/>
      <c r="T1007" s="316">
        <f t="shared" si="118"/>
        <v>0</v>
      </c>
      <c r="U1007" s="217">
        <f t="shared" si="119"/>
        <v>0</v>
      </c>
      <c r="X1007" s="26" t="str">
        <f t="shared" si="120"/>
        <v/>
      </c>
      <c r="Y1007" s="21" t="str">
        <f>IF(MATCH(X1007,X$300:$X1008,0),"Si",1)</f>
        <v>Si</v>
      </c>
      <c r="Z1007" s="26">
        <f t="shared" si="121"/>
        <v>0</v>
      </c>
      <c r="AA1007" s="26">
        <f t="shared" si="122"/>
        <v>0</v>
      </c>
      <c r="AB1007" s="26" t="str">
        <f t="shared" si="123"/>
        <v/>
      </c>
      <c r="AC1007" s="26" t="str">
        <f>IF(MATCH(AB1007,AB$300:$AB1008,0),"0",1)</f>
        <v>0</v>
      </c>
    </row>
    <row r="1008" spans="2:29" x14ac:dyDescent="0.35">
      <c r="B1008" s="219"/>
      <c r="C1008" s="216" t="s">
        <v>1494</v>
      </c>
      <c r="D1008" s="216"/>
      <c r="E1008" s="220"/>
      <c r="F1008" s="220"/>
      <c r="G1008" s="220"/>
      <c r="H1008" s="220" t="str">
        <f t="shared" si="117"/>
        <v/>
      </c>
      <c r="I1008" s="460"/>
      <c r="J1008" s="460"/>
      <c r="K1008" s="460"/>
      <c r="L1008" s="460"/>
      <c r="M1008" s="460"/>
      <c r="N1008" s="220"/>
      <c r="O1008" s="220"/>
      <c r="P1008" s="220"/>
      <c r="Q1008" s="220"/>
      <c r="R1008" s="221"/>
      <c r="S1008" s="221"/>
      <c r="T1008" s="316">
        <f t="shared" si="118"/>
        <v>0</v>
      </c>
      <c r="U1008" s="217">
        <f t="shared" si="119"/>
        <v>0</v>
      </c>
      <c r="X1008" s="26" t="str">
        <f t="shared" si="120"/>
        <v/>
      </c>
      <c r="Y1008" s="21" t="str">
        <f>IF(MATCH(X1008,X$300:$X1009,0),"Si",1)</f>
        <v>Si</v>
      </c>
      <c r="Z1008" s="26">
        <f t="shared" si="121"/>
        <v>0</v>
      </c>
      <c r="AA1008" s="26">
        <f t="shared" si="122"/>
        <v>0</v>
      </c>
      <c r="AB1008" s="26" t="str">
        <f t="shared" si="123"/>
        <v/>
      </c>
      <c r="AC1008" s="26" t="str">
        <f>IF(MATCH(AB1008,AB$300:$AB1009,0),"0",1)</f>
        <v>0</v>
      </c>
    </row>
    <row r="1009" spans="2:29" x14ac:dyDescent="0.35">
      <c r="B1009" s="219"/>
      <c r="C1009" s="216" t="s">
        <v>1495</v>
      </c>
      <c r="D1009" s="216"/>
      <c r="E1009" s="220"/>
      <c r="F1009" s="220"/>
      <c r="G1009" s="220"/>
      <c r="H1009" s="220" t="str">
        <f t="shared" si="117"/>
        <v/>
      </c>
      <c r="I1009" s="460"/>
      <c r="J1009" s="460"/>
      <c r="K1009" s="460"/>
      <c r="L1009" s="460"/>
      <c r="M1009" s="460"/>
      <c r="N1009" s="220"/>
      <c r="O1009" s="220"/>
      <c r="P1009" s="220"/>
      <c r="Q1009" s="220"/>
      <c r="R1009" s="221"/>
      <c r="S1009" s="221"/>
      <c r="T1009" s="316">
        <f t="shared" si="118"/>
        <v>0</v>
      </c>
      <c r="U1009" s="217">
        <f t="shared" si="119"/>
        <v>0</v>
      </c>
      <c r="X1009" s="26" t="str">
        <f t="shared" si="120"/>
        <v/>
      </c>
      <c r="Y1009" s="21" t="str">
        <f>IF(MATCH(X1009,X$300:$X1010,0),"Si",1)</f>
        <v>Si</v>
      </c>
      <c r="Z1009" s="26">
        <f t="shared" si="121"/>
        <v>0</v>
      </c>
      <c r="AA1009" s="26">
        <f t="shared" si="122"/>
        <v>0</v>
      </c>
      <c r="AB1009" s="26" t="str">
        <f t="shared" si="123"/>
        <v/>
      </c>
      <c r="AC1009" s="26" t="str">
        <f>IF(MATCH(AB1009,AB$300:$AB1010,0),"0",1)</f>
        <v>0</v>
      </c>
    </row>
    <row r="1010" spans="2:29" x14ac:dyDescent="0.35">
      <c r="B1010" s="219"/>
      <c r="C1010" s="216" t="s">
        <v>1496</v>
      </c>
      <c r="D1010" s="216"/>
      <c r="E1010" s="220"/>
      <c r="F1010" s="220"/>
      <c r="G1010" s="220"/>
      <c r="H1010" s="220" t="str">
        <f t="shared" si="117"/>
        <v/>
      </c>
      <c r="I1010" s="460"/>
      <c r="J1010" s="460"/>
      <c r="K1010" s="460"/>
      <c r="L1010" s="460"/>
      <c r="M1010" s="460"/>
      <c r="N1010" s="220"/>
      <c r="O1010" s="220"/>
      <c r="P1010" s="220"/>
      <c r="Q1010" s="220"/>
      <c r="R1010" s="221"/>
      <c r="S1010" s="221"/>
      <c r="T1010" s="316">
        <f t="shared" si="118"/>
        <v>0</v>
      </c>
      <c r="U1010" s="217">
        <f t="shared" si="119"/>
        <v>0</v>
      </c>
      <c r="X1010" s="26" t="str">
        <f t="shared" si="120"/>
        <v/>
      </c>
      <c r="Y1010" s="21" t="str">
        <f>IF(MATCH(X1010,X$300:$X1011,0),"Si",1)</f>
        <v>Si</v>
      </c>
      <c r="Z1010" s="26">
        <f t="shared" si="121"/>
        <v>0</v>
      </c>
      <c r="AA1010" s="26">
        <f t="shared" si="122"/>
        <v>0</v>
      </c>
      <c r="AB1010" s="26" t="str">
        <f t="shared" si="123"/>
        <v/>
      </c>
      <c r="AC1010" s="26" t="str">
        <f>IF(MATCH(AB1010,AB$300:$AB1011,0),"0",1)</f>
        <v>0</v>
      </c>
    </row>
    <row r="1011" spans="2:29" x14ac:dyDescent="0.35">
      <c r="B1011" s="219"/>
      <c r="C1011" s="216" t="s">
        <v>1497</v>
      </c>
      <c r="D1011" s="216"/>
      <c r="E1011" s="220"/>
      <c r="F1011" s="220"/>
      <c r="G1011" s="220"/>
      <c r="H1011" s="220" t="str">
        <f t="shared" si="117"/>
        <v/>
      </c>
      <c r="I1011" s="460"/>
      <c r="J1011" s="460"/>
      <c r="K1011" s="460"/>
      <c r="L1011" s="460"/>
      <c r="M1011" s="460"/>
      <c r="N1011" s="220"/>
      <c r="O1011" s="220"/>
      <c r="P1011" s="220"/>
      <c r="Q1011" s="220"/>
      <c r="R1011" s="221"/>
      <c r="S1011" s="221"/>
      <c r="T1011" s="316">
        <f t="shared" si="118"/>
        <v>0</v>
      </c>
      <c r="U1011" s="217">
        <f t="shared" si="119"/>
        <v>0</v>
      </c>
      <c r="X1011" s="26" t="str">
        <f t="shared" si="120"/>
        <v/>
      </c>
      <c r="Y1011" s="21" t="str">
        <f>IF(MATCH(X1011,X$300:$X1012,0),"Si",1)</f>
        <v>Si</v>
      </c>
      <c r="Z1011" s="26">
        <f t="shared" si="121"/>
        <v>0</v>
      </c>
      <c r="AA1011" s="26">
        <f t="shared" si="122"/>
        <v>0</v>
      </c>
      <c r="AB1011" s="26" t="str">
        <f t="shared" si="123"/>
        <v/>
      </c>
      <c r="AC1011" s="26" t="str">
        <f>IF(MATCH(AB1011,AB$300:$AB1012,0),"0",1)</f>
        <v>0</v>
      </c>
    </row>
    <row r="1012" spans="2:29" x14ac:dyDescent="0.35">
      <c r="B1012" s="219"/>
      <c r="C1012" s="216" t="s">
        <v>1498</v>
      </c>
      <c r="D1012" s="216"/>
      <c r="E1012" s="220"/>
      <c r="F1012" s="220"/>
      <c r="G1012" s="220"/>
      <c r="H1012" s="220" t="str">
        <f t="shared" si="117"/>
        <v/>
      </c>
      <c r="I1012" s="460"/>
      <c r="J1012" s="460"/>
      <c r="K1012" s="460"/>
      <c r="L1012" s="460"/>
      <c r="M1012" s="460"/>
      <c r="N1012" s="220"/>
      <c r="O1012" s="220"/>
      <c r="P1012" s="220"/>
      <c r="Q1012" s="220"/>
      <c r="R1012" s="221"/>
      <c r="S1012" s="221"/>
      <c r="T1012" s="316">
        <f t="shared" si="118"/>
        <v>0</v>
      </c>
      <c r="U1012" s="217">
        <f t="shared" si="119"/>
        <v>0</v>
      </c>
      <c r="X1012" s="26" t="str">
        <f t="shared" si="120"/>
        <v/>
      </c>
      <c r="Y1012" s="21" t="str">
        <f>IF(MATCH(X1012,X$300:$X1013,0),"Si",1)</f>
        <v>Si</v>
      </c>
      <c r="Z1012" s="26">
        <f t="shared" si="121"/>
        <v>0</v>
      </c>
      <c r="AA1012" s="26">
        <f t="shared" si="122"/>
        <v>0</v>
      </c>
      <c r="AB1012" s="26" t="str">
        <f t="shared" si="123"/>
        <v/>
      </c>
      <c r="AC1012" s="26" t="str">
        <f>IF(MATCH(AB1012,AB$300:$AB1013,0),"0",1)</f>
        <v>0</v>
      </c>
    </row>
    <row r="1013" spans="2:29" x14ac:dyDescent="0.35">
      <c r="B1013" s="219"/>
      <c r="C1013" s="216" t="s">
        <v>1499</v>
      </c>
      <c r="D1013" s="216"/>
      <c r="E1013" s="220"/>
      <c r="F1013" s="220"/>
      <c r="G1013" s="220"/>
      <c r="H1013" s="220" t="str">
        <f t="shared" si="117"/>
        <v/>
      </c>
      <c r="I1013" s="460"/>
      <c r="J1013" s="460"/>
      <c r="K1013" s="460"/>
      <c r="L1013" s="460"/>
      <c r="M1013" s="460"/>
      <c r="N1013" s="220"/>
      <c r="O1013" s="220"/>
      <c r="P1013" s="220"/>
      <c r="Q1013" s="220"/>
      <c r="R1013" s="221"/>
      <c r="S1013" s="221"/>
      <c r="T1013" s="316">
        <f t="shared" si="118"/>
        <v>0</v>
      </c>
      <c r="U1013" s="217">
        <f t="shared" si="119"/>
        <v>0</v>
      </c>
      <c r="X1013" s="26" t="str">
        <f t="shared" si="120"/>
        <v/>
      </c>
      <c r="Y1013" s="21" t="str">
        <f>IF(MATCH(X1013,X$300:$X1014,0),"Si",1)</f>
        <v>Si</v>
      </c>
      <c r="Z1013" s="26">
        <f t="shared" si="121"/>
        <v>0</v>
      </c>
      <c r="AA1013" s="26">
        <f t="shared" si="122"/>
        <v>0</v>
      </c>
      <c r="AB1013" s="26" t="str">
        <f t="shared" si="123"/>
        <v/>
      </c>
      <c r="AC1013" s="26" t="str">
        <f>IF(MATCH(AB1013,AB$300:$AB1014,0),"0",1)</f>
        <v>0</v>
      </c>
    </row>
    <row r="1014" spans="2:29" x14ac:dyDescent="0.35">
      <c r="B1014" s="219"/>
      <c r="C1014" s="216" t="s">
        <v>1500</v>
      </c>
      <c r="D1014" s="216"/>
      <c r="E1014" s="220"/>
      <c r="F1014" s="220"/>
      <c r="G1014" s="220"/>
      <c r="H1014" s="220" t="str">
        <f t="shared" si="117"/>
        <v/>
      </c>
      <c r="I1014" s="460"/>
      <c r="J1014" s="460"/>
      <c r="K1014" s="460"/>
      <c r="L1014" s="460"/>
      <c r="M1014" s="460"/>
      <c r="N1014" s="220"/>
      <c r="O1014" s="220"/>
      <c r="P1014" s="220"/>
      <c r="Q1014" s="220"/>
      <c r="R1014" s="221"/>
      <c r="S1014" s="221"/>
      <c r="T1014" s="316">
        <f t="shared" si="118"/>
        <v>0</v>
      </c>
      <c r="U1014" s="217">
        <f t="shared" si="119"/>
        <v>0</v>
      </c>
      <c r="X1014" s="26" t="str">
        <f t="shared" si="120"/>
        <v/>
      </c>
      <c r="Y1014" s="21" t="str">
        <f>IF(MATCH(X1014,X$300:$X1015,0),"Si",1)</f>
        <v>Si</v>
      </c>
      <c r="Z1014" s="26">
        <f t="shared" si="121"/>
        <v>0</v>
      </c>
      <c r="AA1014" s="26">
        <f t="shared" si="122"/>
        <v>0</v>
      </c>
      <c r="AB1014" s="26" t="str">
        <f t="shared" si="123"/>
        <v/>
      </c>
      <c r="AC1014" s="26" t="str">
        <f>IF(MATCH(AB1014,AB$300:$AB1015,0),"0",1)</f>
        <v>0</v>
      </c>
    </row>
    <row r="1015" spans="2:29" x14ac:dyDescent="0.35">
      <c r="B1015" s="219"/>
      <c r="C1015" s="216" t="s">
        <v>1501</v>
      </c>
      <c r="D1015" s="216"/>
      <c r="E1015" s="220"/>
      <c r="F1015" s="220"/>
      <c r="G1015" s="220"/>
      <c r="H1015" s="220" t="str">
        <f t="shared" si="117"/>
        <v/>
      </c>
      <c r="I1015" s="460"/>
      <c r="J1015" s="460"/>
      <c r="K1015" s="460"/>
      <c r="L1015" s="460"/>
      <c r="M1015" s="460"/>
      <c r="N1015" s="220"/>
      <c r="O1015" s="220"/>
      <c r="P1015" s="220"/>
      <c r="Q1015" s="220"/>
      <c r="R1015" s="221"/>
      <c r="S1015" s="221"/>
      <c r="T1015" s="316">
        <f t="shared" si="118"/>
        <v>0</v>
      </c>
      <c r="U1015" s="217">
        <f t="shared" si="119"/>
        <v>0</v>
      </c>
      <c r="X1015" s="26" t="str">
        <f t="shared" si="120"/>
        <v/>
      </c>
      <c r="Y1015" s="21" t="str">
        <f>IF(MATCH(X1015,X$300:$X1016,0),"Si",1)</f>
        <v>Si</v>
      </c>
      <c r="Z1015" s="26">
        <f t="shared" si="121"/>
        <v>0</v>
      </c>
      <c r="AA1015" s="26">
        <f t="shared" si="122"/>
        <v>0</v>
      </c>
      <c r="AB1015" s="26" t="str">
        <f t="shared" si="123"/>
        <v/>
      </c>
      <c r="AC1015" s="26" t="str">
        <f>IF(MATCH(AB1015,AB$300:$AB1016,0),"0",1)</f>
        <v>0</v>
      </c>
    </row>
    <row r="1016" spans="2:29" x14ac:dyDescent="0.35">
      <c r="B1016" s="219"/>
      <c r="C1016" s="216" t="s">
        <v>1502</v>
      </c>
      <c r="D1016" s="216"/>
      <c r="E1016" s="220"/>
      <c r="F1016" s="220"/>
      <c r="G1016" s="220"/>
      <c r="H1016" s="220" t="str">
        <f t="shared" si="117"/>
        <v/>
      </c>
      <c r="I1016" s="460"/>
      <c r="J1016" s="460"/>
      <c r="K1016" s="460"/>
      <c r="L1016" s="460"/>
      <c r="M1016" s="460"/>
      <c r="N1016" s="220"/>
      <c r="O1016" s="220"/>
      <c r="P1016" s="220"/>
      <c r="Q1016" s="220"/>
      <c r="R1016" s="221"/>
      <c r="S1016" s="221"/>
      <c r="T1016" s="316">
        <f t="shared" si="118"/>
        <v>0</v>
      </c>
      <c r="U1016" s="217">
        <f t="shared" si="119"/>
        <v>0</v>
      </c>
      <c r="X1016" s="26" t="str">
        <f t="shared" si="120"/>
        <v/>
      </c>
      <c r="Y1016" s="21" t="str">
        <f>IF(MATCH(X1016,X$300:$X1017,0),"Si",1)</f>
        <v>Si</v>
      </c>
      <c r="Z1016" s="26">
        <f t="shared" si="121"/>
        <v>0</v>
      </c>
      <c r="AA1016" s="26">
        <f t="shared" si="122"/>
        <v>0</v>
      </c>
      <c r="AB1016" s="26" t="str">
        <f t="shared" si="123"/>
        <v/>
      </c>
      <c r="AC1016" s="26" t="str">
        <f>IF(MATCH(AB1016,AB$300:$AB1017,0),"0",1)</f>
        <v>0</v>
      </c>
    </row>
    <row r="1017" spans="2:29" x14ac:dyDescent="0.35">
      <c r="B1017" s="219"/>
      <c r="C1017" s="216" t="s">
        <v>1503</v>
      </c>
      <c r="D1017" s="216"/>
      <c r="E1017" s="220"/>
      <c r="F1017" s="220"/>
      <c r="G1017" s="220"/>
      <c r="H1017" s="220" t="str">
        <f t="shared" si="117"/>
        <v/>
      </c>
      <c r="I1017" s="460"/>
      <c r="J1017" s="460"/>
      <c r="K1017" s="460"/>
      <c r="L1017" s="460"/>
      <c r="M1017" s="460"/>
      <c r="N1017" s="220"/>
      <c r="O1017" s="220"/>
      <c r="P1017" s="220"/>
      <c r="Q1017" s="220"/>
      <c r="R1017" s="221"/>
      <c r="S1017" s="221"/>
      <c r="T1017" s="316">
        <f t="shared" si="118"/>
        <v>0</v>
      </c>
      <c r="U1017" s="217">
        <f t="shared" si="119"/>
        <v>0</v>
      </c>
      <c r="X1017" s="26" t="str">
        <f t="shared" si="120"/>
        <v/>
      </c>
      <c r="Y1017" s="21" t="str">
        <f>IF(MATCH(X1017,X$300:$X1018,0),"Si",1)</f>
        <v>Si</v>
      </c>
      <c r="Z1017" s="26">
        <f t="shared" si="121"/>
        <v>0</v>
      </c>
      <c r="AA1017" s="26">
        <f t="shared" si="122"/>
        <v>0</v>
      </c>
      <c r="AB1017" s="26" t="str">
        <f t="shared" si="123"/>
        <v/>
      </c>
      <c r="AC1017" s="26" t="str">
        <f>IF(MATCH(AB1017,AB$300:$AB1018,0),"0",1)</f>
        <v>0</v>
      </c>
    </row>
    <row r="1018" spans="2:29" x14ac:dyDescent="0.35">
      <c r="B1018" s="219"/>
      <c r="C1018" s="216" t="s">
        <v>1504</v>
      </c>
      <c r="D1018" s="216"/>
      <c r="E1018" s="220"/>
      <c r="F1018" s="220"/>
      <c r="G1018" s="220"/>
      <c r="H1018" s="220" t="str">
        <f t="shared" si="117"/>
        <v/>
      </c>
      <c r="I1018" s="460"/>
      <c r="J1018" s="460"/>
      <c r="K1018" s="460"/>
      <c r="L1018" s="460"/>
      <c r="M1018" s="460"/>
      <c r="N1018" s="220"/>
      <c r="O1018" s="220"/>
      <c r="P1018" s="220"/>
      <c r="Q1018" s="220"/>
      <c r="R1018" s="221"/>
      <c r="S1018" s="221"/>
      <c r="T1018" s="316">
        <f t="shared" si="118"/>
        <v>0</v>
      </c>
      <c r="U1018" s="217">
        <f t="shared" si="119"/>
        <v>0</v>
      </c>
      <c r="X1018" s="26" t="str">
        <f t="shared" si="120"/>
        <v/>
      </c>
      <c r="Y1018" s="21" t="str">
        <f>IF(MATCH(X1018,X$300:$X1019,0),"Si",1)</f>
        <v>Si</v>
      </c>
      <c r="Z1018" s="26">
        <f t="shared" si="121"/>
        <v>0</v>
      </c>
      <c r="AA1018" s="26">
        <f t="shared" si="122"/>
        <v>0</v>
      </c>
      <c r="AB1018" s="26" t="str">
        <f t="shared" si="123"/>
        <v/>
      </c>
      <c r="AC1018" s="26" t="str">
        <f>IF(MATCH(AB1018,AB$300:$AB1019,0),"0",1)</f>
        <v>0</v>
      </c>
    </row>
    <row r="1019" spans="2:29" x14ac:dyDescent="0.35">
      <c r="B1019" s="219"/>
      <c r="C1019" s="216" t="s">
        <v>1505</v>
      </c>
      <c r="D1019" s="216"/>
      <c r="E1019" s="220"/>
      <c r="F1019" s="220"/>
      <c r="G1019" s="220"/>
      <c r="H1019" s="220" t="str">
        <f t="shared" si="117"/>
        <v/>
      </c>
      <c r="I1019" s="460"/>
      <c r="J1019" s="460"/>
      <c r="K1019" s="460"/>
      <c r="L1019" s="460"/>
      <c r="M1019" s="460"/>
      <c r="N1019" s="220"/>
      <c r="O1019" s="220"/>
      <c r="P1019" s="220"/>
      <c r="Q1019" s="220"/>
      <c r="R1019" s="221"/>
      <c r="S1019" s="221"/>
      <c r="T1019" s="316">
        <f t="shared" si="118"/>
        <v>0</v>
      </c>
      <c r="U1019" s="217">
        <f t="shared" si="119"/>
        <v>0</v>
      </c>
      <c r="X1019" s="26" t="str">
        <f t="shared" si="120"/>
        <v/>
      </c>
      <c r="Y1019" s="21" t="str">
        <f>IF(MATCH(X1019,X$300:$X1020,0),"Si",1)</f>
        <v>Si</v>
      </c>
      <c r="Z1019" s="26">
        <f t="shared" si="121"/>
        <v>0</v>
      </c>
      <c r="AA1019" s="26">
        <f t="shared" si="122"/>
        <v>0</v>
      </c>
      <c r="AB1019" s="26" t="str">
        <f t="shared" si="123"/>
        <v/>
      </c>
      <c r="AC1019" s="26" t="str">
        <f>IF(MATCH(AB1019,AB$300:$AB1020,0),"0",1)</f>
        <v>0</v>
      </c>
    </row>
    <row r="1020" spans="2:29" x14ac:dyDescent="0.35">
      <c r="B1020" s="219"/>
      <c r="C1020" s="216" t="s">
        <v>1506</v>
      </c>
      <c r="D1020" s="216"/>
      <c r="E1020" s="220"/>
      <c r="F1020" s="220"/>
      <c r="G1020" s="220"/>
      <c r="H1020" s="220" t="str">
        <f t="shared" si="117"/>
        <v/>
      </c>
      <c r="I1020" s="460"/>
      <c r="J1020" s="460"/>
      <c r="K1020" s="460"/>
      <c r="L1020" s="460"/>
      <c r="M1020" s="460"/>
      <c r="N1020" s="220"/>
      <c r="O1020" s="220"/>
      <c r="P1020" s="220"/>
      <c r="Q1020" s="220"/>
      <c r="R1020" s="221"/>
      <c r="S1020" s="221"/>
      <c r="T1020" s="316">
        <f t="shared" si="118"/>
        <v>0</v>
      </c>
      <c r="U1020" s="217">
        <f t="shared" si="119"/>
        <v>0</v>
      </c>
      <c r="X1020" s="26" t="str">
        <f t="shared" si="120"/>
        <v/>
      </c>
      <c r="Y1020" s="21" t="str">
        <f>IF(MATCH(X1020,X$300:$X1021,0),"Si",1)</f>
        <v>Si</v>
      </c>
      <c r="Z1020" s="26">
        <f t="shared" si="121"/>
        <v>0</v>
      </c>
      <c r="AA1020" s="26">
        <f t="shared" si="122"/>
        <v>0</v>
      </c>
      <c r="AB1020" s="26" t="str">
        <f t="shared" si="123"/>
        <v/>
      </c>
      <c r="AC1020" s="26" t="str">
        <f>IF(MATCH(AB1020,AB$300:$AB1021,0),"0",1)</f>
        <v>0</v>
      </c>
    </row>
    <row r="1021" spans="2:29" x14ac:dyDescent="0.35">
      <c r="B1021" s="219"/>
      <c r="C1021" s="216" t="s">
        <v>1507</v>
      </c>
      <c r="D1021" s="216"/>
      <c r="E1021" s="220"/>
      <c r="F1021" s="220"/>
      <c r="G1021" s="220"/>
      <c r="H1021" s="220" t="str">
        <f t="shared" si="117"/>
        <v/>
      </c>
      <c r="I1021" s="460"/>
      <c r="J1021" s="460"/>
      <c r="K1021" s="460"/>
      <c r="L1021" s="460"/>
      <c r="M1021" s="460"/>
      <c r="N1021" s="220"/>
      <c r="O1021" s="220"/>
      <c r="P1021" s="220"/>
      <c r="Q1021" s="220"/>
      <c r="R1021" s="221"/>
      <c r="S1021" s="221"/>
      <c r="T1021" s="316">
        <f t="shared" si="118"/>
        <v>0</v>
      </c>
      <c r="U1021" s="217">
        <f t="shared" si="119"/>
        <v>0</v>
      </c>
      <c r="X1021" s="26" t="str">
        <f t="shared" si="120"/>
        <v/>
      </c>
      <c r="Y1021" s="21" t="str">
        <f>IF(MATCH(X1021,X$300:$X1022,0),"Si",1)</f>
        <v>Si</v>
      </c>
      <c r="Z1021" s="26">
        <f t="shared" si="121"/>
        <v>0</v>
      </c>
      <c r="AA1021" s="26">
        <f t="shared" si="122"/>
        <v>0</v>
      </c>
      <c r="AB1021" s="26" t="str">
        <f t="shared" si="123"/>
        <v/>
      </c>
      <c r="AC1021" s="26" t="str">
        <f>IF(MATCH(AB1021,AB$300:$AB1022,0),"0",1)</f>
        <v>0</v>
      </c>
    </row>
    <row r="1022" spans="2:29" x14ac:dyDescent="0.35">
      <c r="B1022" s="219"/>
      <c r="C1022" s="216" t="s">
        <v>1508</v>
      </c>
      <c r="D1022" s="216"/>
      <c r="E1022" s="220"/>
      <c r="F1022" s="220"/>
      <c r="G1022" s="220"/>
      <c r="H1022" s="220" t="str">
        <f t="shared" si="117"/>
        <v/>
      </c>
      <c r="I1022" s="460"/>
      <c r="J1022" s="460"/>
      <c r="K1022" s="460"/>
      <c r="L1022" s="460"/>
      <c r="M1022" s="460"/>
      <c r="N1022" s="220"/>
      <c r="O1022" s="220"/>
      <c r="P1022" s="220"/>
      <c r="Q1022" s="220"/>
      <c r="R1022" s="221"/>
      <c r="S1022" s="221"/>
      <c r="T1022" s="316">
        <f t="shared" si="118"/>
        <v>0</v>
      </c>
      <c r="U1022" s="217">
        <f t="shared" si="119"/>
        <v>0</v>
      </c>
      <c r="X1022" s="26" t="str">
        <f t="shared" si="120"/>
        <v/>
      </c>
      <c r="Y1022" s="21" t="str">
        <f>IF(MATCH(X1022,X$300:$X1023,0),"Si",1)</f>
        <v>Si</v>
      </c>
      <c r="Z1022" s="26">
        <f t="shared" si="121"/>
        <v>0</v>
      </c>
      <c r="AA1022" s="26">
        <f t="shared" si="122"/>
        <v>0</v>
      </c>
      <c r="AB1022" s="26" t="str">
        <f t="shared" si="123"/>
        <v/>
      </c>
      <c r="AC1022" s="26" t="str">
        <f>IF(MATCH(AB1022,AB$300:$AB1023,0),"0",1)</f>
        <v>0</v>
      </c>
    </row>
    <row r="1023" spans="2:29" x14ac:dyDescent="0.35">
      <c r="B1023" s="219"/>
      <c r="C1023" s="216" t="s">
        <v>1509</v>
      </c>
      <c r="D1023" s="216"/>
      <c r="E1023" s="220"/>
      <c r="F1023" s="220"/>
      <c r="G1023" s="220"/>
      <c r="H1023" s="220" t="str">
        <f t="shared" si="117"/>
        <v/>
      </c>
      <c r="I1023" s="460"/>
      <c r="J1023" s="460"/>
      <c r="K1023" s="460"/>
      <c r="L1023" s="460"/>
      <c r="M1023" s="460"/>
      <c r="N1023" s="220"/>
      <c r="O1023" s="220"/>
      <c r="P1023" s="220"/>
      <c r="Q1023" s="220"/>
      <c r="R1023" s="221"/>
      <c r="S1023" s="221"/>
      <c r="T1023" s="316">
        <f t="shared" si="118"/>
        <v>0</v>
      </c>
      <c r="U1023" s="217">
        <f t="shared" si="119"/>
        <v>0</v>
      </c>
      <c r="X1023" s="26" t="str">
        <f t="shared" si="120"/>
        <v/>
      </c>
      <c r="Y1023" s="21" t="str">
        <f>IF(MATCH(X1023,X$300:$X1024,0),"Si",1)</f>
        <v>Si</v>
      </c>
      <c r="Z1023" s="26">
        <f t="shared" si="121"/>
        <v>0</v>
      </c>
      <c r="AA1023" s="26">
        <f t="shared" si="122"/>
        <v>0</v>
      </c>
      <c r="AB1023" s="26" t="str">
        <f t="shared" si="123"/>
        <v/>
      </c>
      <c r="AC1023" s="26" t="str">
        <f>IF(MATCH(AB1023,AB$300:$AB1024,0),"0",1)</f>
        <v>0</v>
      </c>
    </row>
    <row r="1024" spans="2:29" x14ac:dyDescent="0.35">
      <c r="B1024" s="219"/>
      <c r="C1024" s="216" t="s">
        <v>1510</v>
      </c>
      <c r="D1024" s="216"/>
      <c r="E1024" s="220"/>
      <c r="F1024" s="220"/>
      <c r="G1024" s="220"/>
      <c r="H1024" s="220" t="str">
        <f t="shared" si="117"/>
        <v/>
      </c>
      <c r="I1024" s="460"/>
      <c r="J1024" s="460"/>
      <c r="K1024" s="460"/>
      <c r="L1024" s="460"/>
      <c r="M1024" s="460"/>
      <c r="N1024" s="220"/>
      <c r="O1024" s="220"/>
      <c r="P1024" s="220"/>
      <c r="Q1024" s="220"/>
      <c r="R1024" s="221"/>
      <c r="S1024" s="221"/>
      <c r="T1024" s="316">
        <f t="shared" si="118"/>
        <v>0</v>
      </c>
      <c r="U1024" s="217">
        <f t="shared" si="119"/>
        <v>0</v>
      </c>
      <c r="X1024" s="26" t="str">
        <f t="shared" si="120"/>
        <v/>
      </c>
      <c r="Y1024" s="21" t="str">
        <f>IF(MATCH(X1024,X$300:$X1025,0),"Si",1)</f>
        <v>Si</v>
      </c>
      <c r="Z1024" s="26">
        <f t="shared" si="121"/>
        <v>0</v>
      </c>
      <c r="AA1024" s="26">
        <f t="shared" si="122"/>
        <v>0</v>
      </c>
      <c r="AB1024" s="26" t="str">
        <f t="shared" si="123"/>
        <v/>
      </c>
      <c r="AC1024" s="26" t="str">
        <f>IF(MATCH(AB1024,AB$300:$AB1025,0),"0",1)</f>
        <v>0</v>
      </c>
    </row>
  </sheetData>
  <sheetProtection algorithmName="SHA-512" hashValue="NHfCvBdynZJC3zT7uiXDbg+IQLw1Xs8gT0Y8LWpgGOjn5+7osLuQhEBnDSJH71FMadjEkFP9vzWEdnJ+vjxkWw==" saltValue="biNkoSSmz9bBAfjO+7t3ag==" spinCount="100000" sheet="1" objects="1" scenarios="1" formatCells="0" formatColumns="0" formatRows="0" insertColumns="0" insertRows="0" insertHyperlinks="0" deleteColumns="0" deleteRows="0" sort="0" autoFilter="0" pivotTables="0"/>
  <autoFilter ref="N16:O17"/>
  <dataConsolidate/>
  <mergeCells count="1057">
    <mergeCell ref="I275:M275"/>
    <mergeCell ref="I276:M276"/>
    <mergeCell ref="I277:M277"/>
    <mergeCell ref="I278:M278"/>
    <mergeCell ref="I279:M279"/>
    <mergeCell ref="I270:M270"/>
    <mergeCell ref="I271:M271"/>
    <mergeCell ref="I272:M272"/>
    <mergeCell ref="I273:M273"/>
    <mergeCell ref="I274:M274"/>
    <mergeCell ref="I265:M265"/>
    <mergeCell ref="I266:M266"/>
    <mergeCell ref="I267:M267"/>
    <mergeCell ref="I268:M268"/>
    <mergeCell ref="I269:M269"/>
    <mergeCell ref="I250:M250"/>
    <mergeCell ref="I251:M251"/>
    <mergeCell ref="I252:M252"/>
    <mergeCell ref="I253:M253"/>
    <mergeCell ref="I254:M254"/>
    <mergeCell ref="I260:M260"/>
    <mergeCell ref="I261:M261"/>
    <mergeCell ref="I262:M262"/>
    <mergeCell ref="I263:M263"/>
    <mergeCell ref="I264:M264"/>
    <mergeCell ref="I255:M255"/>
    <mergeCell ref="I256:M256"/>
    <mergeCell ref="I257:M257"/>
    <mergeCell ref="I258:M258"/>
    <mergeCell ref="I259:M259"/>
    <mergeCell ref="C1:S1"/>
    <mergeCell ref="C2:S2"/>
    <mergeCell ref="B1:B2"/>
    <mergeCell ref="B6:E6"/>
    <mergeCell ref="B7:C7"/>
    <mergeCell ref="B8:C8"/>
    <mergeCell ref="B9:C9"/>
    <mergeCell ref="B13:C13"/>
    <mergeCell ref="B12:C12"/>
    <mergeCell ref="B11:C11"/>
    <mergeCell ref="B10:C10"/>
    <mergeCell ref="F6:G6"/>
    <mergeCell ref="H16:H17"/>
    <mergeCell ref="D16:D17"/>
    <mergeCell ref="S4:U4"/>
    <mergeCell ref="N4:Q4"/>
    <mergeCell ref="T1:U2"/>
    <mergeCell ref="I7:J7"/>
    <mergeCell ref="I8:J8"/>
    <mergeCell ref="I9:J9"/>
    <mergeCell ref="I10:J10"/>
    <mergeCell ref="I11:J11"/>
    <mergeCell ref="I12:J12"/>
    <mergeCell ref="I300:M300"/>
    <mergeCell ref="I315:M315"/>
    <mergeCell ref="I293:M293"/>
    <mergeCell ref="I294:M294"/>
    <mergeCell ref="I285:M285"/>
    <mergeCell ref="I286:M286"/>
    <mergeCell ref="I287:M287"/>
    <mergeCell ref="I288:M288"/>
    <mergeCell ref="I289:M289"/>
    <mergeCell ref="I301:M301"/>
    <mergeCell ref="I302:M302"/>
    <mergeCell ref="I280:M280"/>
    <mergeCell ref="I281:M281"/>
    <mergeCell ref="I282:M282"/>
    <mergeCell ref="I283:M283"/>
    <mergeCell ref="I284:M284"/>
    <mergeCell ref="I290:M290"/>
    <mergeCell ref="I291:M291"/>
    <mergeCell ref="I292:M292"/>
    <mergeCell ref="I227:M227"/>
    <mergeCell ref="I228:M228"/>
    <mergeCell ref="I229:M229"/>
    <mergeCell ref="I240:M240"/>
    <mergeCell ref="I241:M241"/>
    <mergeCell ref="I242:M242"/>
    <mergeCell ref="I243:M243"/>
    <mergeCell ref="I244:M244"/>
    <mergeCell ref="I235:M235"/>
    <mergeCell ref="I236:M236"/>
    <mergeCell ref="I237:M237"/>
    <mergeCell ref="I238:M238"/>
    <mergeCell ref="I239:M239"/>
    <mergeCell ref="I316:M316"/>
    <mergeCell ref="I317:M317"/>
    <mergeCell ref="I310:M310"/>
    <mergeCell ref="I311:M311"/>
    <mergeCell ref="I312:M312"/>
    <mergeCell ref="I313:M313"/>
    <mergeCell ref="I314:M314"/>
    <mergeCell ref="I305:M305"/>
    <mergeCell ref="I306:M306"/>
    <mergeCell ref="I307:M307"/>
    <mergeCell ref="I308:M308"/>
    <mergeCell ref="I309:M309"/>
    <mergeCell ref="I303:M303"/>
    <mergeCell ref="I304:M304"/>
    <mergeCell ref="I295:M295"/>
    <mergeCell ref="I296:M296"/>
    <mergeCell ref="I297:M297"/>
    <mergeCell ref="I298:M298"/>
    <mergeCell ref="I299:M299"/>
    <mergeCell ref="I245:M245"/>
    <mergeCell ref="I246:M246"/>
    <mergeCell ref="I247:M247"/>
    <mergeCell ref="I248:M248"/>
    <mergeCell ref="I249:M249"/>
    <mergeCell ref="I210:M210"/>
    <mergeCell ref="I211:M211"/>
    <mergeCell ref="I212:M212"/>
    <mergeCell ref="I213:M213"/>
    <mergeCell ref="I214:M214"/>
    <mergeCell ref="I205:M205"/>
    <mergeCell ref="I206:M206"/>
    <mergeCell ref="I207:M207"/>
    <mergeCell ref="I208:M208"/>
    <mergeCell ref="I209:M209"/>
    <mergeCell ref="I220:M220"/>
    <mergeCell ref="I221:M221"/>
    <mergeCell ref="I222:M222"/>
    <mergeCell ref="I223:M223"/>
    <mergeCell ref="I224:M224"/>
    <mergeCell ref="I215:M215"/>
    <mergeCell ref="I216:M216"/>
    <mergeCell ref="I217:M217"/>
    <mergeCell ref="I218:M218"/>
    <mergeCell ref="I219:M219"/>
    <mergeCell ref="I230:M230"/>
    <mergeCell ref="I231:M231"/>
    <mergeCell ref="I232:M232"/>
    <mergeCell ref="I233:M233"/>
    <mergeCell ref="I234:M234"/>
    <mergeCell ref="I225:M225"/>
    <mergeCell ref="I226:M226"/>
    <mergeCell ref="I190:M190"/>
    <mergeCell ref="I191:M191"/>
    <mergeCell ref="I192:M192"/>
    <mergeCell ref="I193:M193"/>
    <mergeCell ref="I194:M194"/>
    <mergeCell ref="I185:M185"/>
    <mergeCell ref="I186:M186"/>
    <mergeCell ref="I187:M187"/>
    <mergeCell ref="I188:M188"/>
    <mergeCell ref="I189:M189"/>
    <mergeCell ref="I200:M200"/>
    <mergeCell ref="I201:M201"/>
    <mergeCell ref="I202:M202"/>
    <mergeCell ref="I203:M203"/>
    <mergeCell ref="I204:M204"/>
    <mergeCell ref="I195:M195"/>
    <mergeCell ref="I196:M196"/>
    <mergeCell ref="I197:M197"/>
    <mergeCell ref="I198:M198"/>
    <mergeCell ref="I199:M199"/>
    <mergeCell ref="I170:M170"/>
    <mergeCell ref="I171:M171"/>
    <mergeCell ref="I172:M172"/>
    <mergeCell ref="I173:M173"/>
    <mergeCell ref="I174:M174"/>
    <mergeCell ref="I165:M165"/>
    <mergeCell ref="I166:M166"/>
    <mergeCell ref="I167:M167"/>
    <mergeCell ref="I168:M168"/>
    <mergeCell ref="I169:M169"/>
    <mergeCell ref="I180:M180"/>
    <mergeCell ref="I181:M181"/>
    <mergeCell ref="I182:M182"/>
    <mergeCell ref="I183:M183"/>
    <mergeCell ref="I184:M184"/>
    <mergeCell ref="I175:M175"/>
    <mergeCell ref="I176:M176"/>
    <mergeCell ref="I177:M177"/>
    <mergeCell ref="I178:M178"/>
    <mergeCell ref="I179:M179"/>
    <mergeCell ref="I150:M150"/>
    <mergeCell ref="I151:M151"/>
    <mergeCell ref="I152:M152"/>
    <mergeCell ref="I153:M153"/>
    <mergeCell ref="I154:M154"/>
    <mergeCell ref="I145:M145"/>
    <mergeCell ref="I146:M146"/>
    <mergeCell ref="I147:M147"/>
    <mergeCell ref="I148:M148"/>
    <mergeCell ref="I149:M149"/>
    <mergeCell ref="I160:M160"/>
    <mergeCell ref="I161:M161"/>
    <mergeCell ref="I162:M162"/>
    <mergeCell ref="I163:M163"/>
    <mergeCell ref="I164:M164"/>
    <mergeCell ref="I155:M155"/>
    <mergeCell ref="I156:M156"/>
    <mergeCell ref="I157:M157"/>
    <mergeCell ref="I158:M158"/>
    <mergeCell ref="I159:M159"/>
    <mergeCell ref="I130:M130"/>
    <mergeCell ref="I131:M131"/>
    <mergeCell ref="I132:M132"/>
    <mergeCell ref="I133:M133"/>
    <mergeCell ref="I134:M134"/>
    <mergeCell ref="I125:M125"/>
    <mergeCell ref="I126:M126"/>
    <mergeCell ref="I127:M127"/>
    <mergeCell ref="I128:M128"/>
    <mergeCell ref="I129:M129"/>
    <mergeCell ref="I140:M140"/>
    <mergeCell ref="I141:M141"/>
    <mergeCell ref="I142:M142"/>
    <mergeCell ref="I143:M143"/>
    <mergeCell ref="I144:M144"/>
    <mergeCell ref="I135:M135"/>
    <mergeCell ref="I136:M136"/>
    <mergeCell ref="I137:M137"/>
    <mergeCell ref="I138:M138"/>
    <mergeCell ref="I139:M139"/>
    <mergeCell ref="I110:M110"/>
    <mergeCell ref="I111:M111"/>
    <mergeCell ref="I112:M112"/>
    <mergeCell ref="I113:M113"/>
    <mergeCell ref="I114:M114"/>
    <mergeCell ref="I105:M105"/>
    <mergeCell ref="I106:M106"/>
    <mergeCell ref="I107:M107"/>
    <mergeCell ref="I108:M108"/>
    <mergeCell ref="I109:M109"/>
    <mergeCell ref="I120:M120"/>
    <mergeCell ref="I121:M121"/>
    <mergeCell ref="I122:M122"/>
    <mergeCell ref="I123:M123"/>
    <mergeCell ref="I124:M124"/>
    <mergeCell ref="I115:M115"/>
    <mergeCell ref="I116:M116"/>
    <mergeCell ref="I117:M117"/>
    <mergeCell ref="I118:M118"/>
    <mergeCell ref="I119:M119"/>
    <mergeCell ref="I90:M90"/>
    <mergeCell ref="I91:M91"/>
    <mergeCell ref="I92:M92"/>
    <mergeCell ref="I93:M93"/>
    <mergeCell ref="I94:M94"/>
    <mergeCell ref="I85:M85"/>
    <mergeCell ref="I86:M86"/>
    <mergeCell ref="I87:M87"/>
    <mergeCell ref="I88:M88"/>
    <mergeCell ref="I89:M89"/>
    <mergeCell ref="I100:M100"/>
    <mergeCell ref="I101:M101"/>
    <mergeCell ref="I102:M102"/>
    <mergeCell ref="I103:M103"/>
    <mergeCell ref="I104:M104"/>
    <mergeCell ref="I95:M95"/>
    <mergeCell ref="I96:M96"/>
    <mergeCell ref="I97:M97"/>
    <mergeCell ref="I98:M98"/>
    <mergeCell ref="I99:M99"/>
    <mergeCell ref="I70:M70"/>
    <mergeCell ref="I71:M71"/>
    <mergeCell ref="I72:M72"/>
    <mergeCell ref="I73:M73"/>
    <mergeCell ref="I74:M74"/>
    <mergeCell ref="I65:M65"/>
    <mergeCell ref="I66:M66"/>
    <mergeCell ref="I67:M67"/>
    <mergeCell ref="I68:M68"/>
    <mergeCell ref="I69:M69"/>
    <mergeCell ref="I80:M80"/>
    <mergeCell ref="I81:M81"/>
    <mergeCell ref="I82:M82"/>
    <mergeCell ref="I83:M83"/>
    <mergeCell ref="I84:M84"/>
    <mergeCell ref="I75:M75"/>
    <mergeCell ref="I76:M76"/>
    <mergeCell ref="I77:M77"/>
    <mergeCell ref="I78:M78"/>
    <mergeCell ref="I79:M79"/>
    <mergeCell ref="I39:M39"/>
    <mergeCell ref="I50:M50"/>
    <mergeCell ref="I51:M51"/>
    <mergeCell ref="I52:M52"/>
    <mergeCell ref="I53:M53"/>
    <mergeCell ref="I54:M54"/>
    <mergeCell ref="I45:M45"/>
    <mergeCell ref="I46:M46"/>
    <mergeCell ref="I47:M47"/>
    <mergeCell ref="I48:M48"/>
    <mergeCell ref="I49:M49"/>
    <mergeCell ref="I60:M60"/>
    <mergeCell ref="I61:M61"/>
    <mergeCell ref="I62:M62"/>
    <mergeCell ref="I63:M63"/>
    <mergeCell ref="I64:M64"/>
    <mergeCell ref="I55:M55"/>
    <mergeCell ref="I56:M56"/>
    <mergeCell ref="I57:M57"/>
    <mergeCell ref="I58:M58"/>
    <mergeCell ref="I59:M59"/>
    <mergeCell ref="I27:M27"/>
    <mergeCell ref="I18:M18"/>
    <mergeCell ref="I19:M19"/>
    <mergeCell ref="I20:M20"/>
    <mergeCell ref="I21:M21"/>
    <mergeCell ref="S16:S17"/>
    <mergeCell ref="T16:U16"/>
    <mergeCell ref="N16:N17"/>
    <mergeCell ref="P13:Q13"/>
    <mergeCell ref="P5:Q5"/>
    <mergeCell ref="P6:Q6"/>
    <mergeCell ref="P7:Q7"/>
    <mergeCell ref="P8:Q8"/>
    <mergeCell ref="P9:Q9"/>
    <mergeCell ref="P10:Q10"/>
    <mergeCell ref="P11:Q11"/>
    <mergeCell ref="P12:Q12"/>
    <mergeCell ref="I13:J13"/>
    <mergeCell ref="Q16:Q17"/>
    <mergeCell ref="B15:U15"/>
    <mergeCell ref="C16:C17"/>
    <mergeCell ref="O16:O17"/>
    <mergeCell ref="R16:R17"/>
    <mergeCell ref="S12:U12"/>
    <mergeCell ref="T13:U13"/>
    <mergeCell ref="B16:B17"/>
    <mergeCell ref="I318:M318"/>
    <mergeCell ref="I319:M319"/>
    <mergeCell ref="I320:M320"/>
    <mergeCell ref="I321:M321"/>
    <mergeCell ref="I322:M322"/>
    <mergeCell ref="I323:M323"/>
    <mergeCell ref="I324:M324"/>
    <mergeCell ref="I16:M17"/>
    <mergeCell ref="E16:E17"/>
    <mergeCell ref="F16:F17"/>
    <mergeCell ref="G16:G17"/>
    <mergeCell ref="I40:M40"/>
    <mergeCell ref="I41:M41"/>
    <mergeCell ref="I42:M42"/>
    <mergeCell ref="I43:M43"/>
    <mergeCell ref="I44:M44"/>
    <mergeCell ref="I35:M35"/>
    <mergeCell ref="I36:M36"/>
    <mergeCell ref="I37:M37"/>
    <mergeCell ref="I38:M38"/>
    <mergeCell ref="I33:M33"/>
    <mergeCell ref="I34:M34"/>
    <mergeCell ref="I22:M22"/>
    <mergeCell ref="I23:M23"/>
    <mergeCell ref="I24:M24"/>
    <mergeCell ref="I25:M25"/>
    <mergeCell ref="I26:M26"/>
    <mergeCell ref="I28:M28"/>
    <mergeCell ref="I29:M29"/>
    <mergeCell ref="I30:M30"/>
    <mergeCell ref="I31:M31"/>
    <mergeCell ref="I32:M32"/>
    <mergeCell ref="I334:M334"/>
    <mergeCell ref="I335:M335"/>
    <mergeCell ref="I336:M336"/>
    <mergeCell ref="I337:M337"/>
    <mergeCell ref="I338:M338"/>
    <mergeCell ref="I339:M339"/>
    <mergeCell ref="I340:M340"/>
    <mergeCell ref="I341:M341"/>
    <mergeCell ref="I342:M342"/>
    <mergeCell ref="I325:M325"/>
    <mergeCell ref="I326:M326"/>
    <mergeCell ref="I327:M327"/>
    <mergeCell ref="I328:M328"/>
    <mergeCell ref="I329:M329"/>
    <mergeCell ref="I330:M330"/>
    <mergeCell ref="I331:M331"/>
    <mergeCell ref="I332:M332"/>
    <mergeCell ref="I333:M333"/>
    <mergeCell ref="I352:M352"/>
    <mergeCell ref="I353:M353"/>
    <mergeCell ref="I354:M354"/>
    <mergeCell ref="I355:M355"/>
    <mergeCell ref="I356:M356"/>
    <mergeCell ref="I357:M357"/>
    <mergeCell ref="I358:M358"/>
    <mergeCell ref="I359:M359"/>
    <mergeCell ref="I360:M360"/>
    <mergeCell ref="I343:M343"/>
    <mergeCell ref="I344:M344"/>
    <mergeCell ref="I345:M345"/>
    <mergeCell ref="I346:M346"/>
    <mergeCell ref="I347:M347"/>
    <mergeCell ref="I348:M348"/>
    <mergeCell ref="I349:M349"/>
    <mergeCell ref="I350:M350"/>
    <mergeCell ref="I351:M351"/>
    <mergeCell ref="I370:M370"/>
    <mergeCell ref="I371:M371"/>
    <mergeCell ref="I372:M372"/>
    <mergeCell ref="I373:M373"/>
    <mergeCell ref="I374:M374"/>
    <mergeCell ref="I375:M375"/>
    <mergeCell ref="I376:M376"/>
    <mergeCell ref="I377:M377"/>
    <mergeCell ref="I378:M378"/>
    <mergeCell ref="I361:M361"/>
    <mergeCell ref="I362:M362"/>
    <mergeCell ref="I363:M363"/>
    <mergeCell ref="I364:M364"/>
    <mergeCell ref="I365:M365"/>
    <mergeCell ref="I366:M366"/>
    <mergeCell ref="I367:M367"/>
    <mergeCell ref="I368:M368"/>
    <mergeCell ref="I369:M369"/>
    <mergeCell ref="I388:M388"/>
    <mergeCell ref="I389:M389"/>
    <mergeCell ref="I390:M390"/>
    <mergeCell ref="I391:M391"/>
    <mergeCell ref="I392:M392"/>
    <mergeCell ref="I393:M393"/>
    <mergeCell ref="I394:M394"/>
    <mergeCell ref="I395:M395"/>
    <mergeCell ref="I396:M396"/>
    <mergeCell ref="I379:M379"/>
    <mergeCell ref="I380:M380"/>
    <mergeCell ref="I381:M381"/>
    <mergeCell ref="I382:M382"/>
    <mergeCell ref="I383:M383"/>
    <mergeCell ref="I384:M384"/>
    <mergeCell ref="I385:M385"/>
    <mergeCell ref="I386:M386"/>
    <mergeCell ref="I387:M387"/>
    <mergeCell ref="I418:M418"/>
    <mergeCell ref="I419:M419"/>
    <mergeCell ref="I420:M420"/>
    <mergeCell ref="I421:M421"/>
    <mergeCell ref="I422:M422"/>
    <mergeCell ref="I423:M423"/>
    <mergeCell ref="I424:M424"/>
    <mergeCell ref="I425:M425"/>
    <mergeCell ref="I426:M426"/>
    <mergeCell ref="I417:M417"/>
    <mergeCell ref="P16:P17"/>
    <mergeCell ref="I6:L6"/>
    <mergeCell ref="I408:M408"/>
    <mergeCell ref="I409:M409"/>
    <mergeCell ref="I397:M397"/>
    <mergeCell ref="I398:M398"/>
    <mergeCell ref="I410:M410"/>
    <mergeCell ref="I411:M411"/>
    <mergeCell ref="I412:M412"/>
    <mergeCell ref="I413:M413"/>
    <mergeCell ref="I414:M414"/>
    <mergeCell ref="I415:M415"/>
    <mergeCell ref="I416:M416"/>
    <mergeCell ref="I399:M399"/>
    <mergeCell ref="I400:M400"/>
    <mergeCell ref="I401:M401"/>
    <mergeCell ref="I402:M402"/>
    <mergeCell ref="I403:M403"/>
    <mergeCell ref="I404:M404"/>
    <mergeCell ref="I405:M405"/>
    <mergeCell ref="I406:M406"/>
    <mergeCell ref="I407:M407"/>
    <mergeCell ref="I436:M436"/>
    <mergeCell ref="I437:M437"/>
    <mergeCell ref="I438:M438"/>
    <mergeCell ref="I439:M439"/>
    <mergeCell ref="I440:M440"/>
    <mergeCell ref="I441:M441"/>
    <mergeCell ref="I442:M442"/>
    <mergeCell ref="I443:M443"/>
    <mergeCell ref="I444:M444"/>
    <mergeCell ref="I427:M427"/>
    <mergeCell ref="I428:M428"/>
    <mergeCell ref="I429:M429"/>
    <mergeCell ref="I430:M430"/>
    <mergeCell ref="I431:M431"/>
    <mergeCell ref="I432:M432"/>
    <mergeCell ref="I433:M433"/>
    <mergeCell ref="I434:M434"/>
    <mergeCell ref="I435:M435"/>
    <mergeCell ref="I454:M454"/>
    <mergeCell ref="I455:M455"/>
    <mergeCell ref="I456:M456"/>
    <mergeCell ref="I457:M457"/>
    <mergeCell ref="I458:M458"/>
    <mergeCell ref="I459:M459"/>
    <mergeCell ref="I460:M460"/>
    <mergeCell ref="I461:M461"/>
    <mergeCell ref="I462:M462"/>
    <mergeCell ref="I445:M445"/>
    <mergeCell ref="I446:M446"/>
    <mergeCell ref="I447:M447"/>
    <mergeCell ref="I448:M448"/>
    <mergeCell ref="I449:M449"/>
    <mergeCell ref="I450:M450"/>
    <mergeCell ref="I451:M451"/>
    <mergeCell ref="I452:M452"/>
    <mergeCell ref="I453:M453"/>
    <mergeCell ref="I472:M472"/>
    <mergeCell ref="I473:M473"/>
    <mergeCell ref="I474:M474"/>
    <mergeCell ref="I475:M475"/>
    <mergeCell ref="I476:M476"/>
    <mergeCell ref="I477:M477"/>
    <mergeCell ref="I478:M478"/>
    <mergeCell ref="I479:M479"/>
    <mergeCell ref="I480:M480"/>
    <mergeCell ref="I463:M463"/>
    <mergeCell ref="I464:M464"/>
    <mergeCell ref="I465:M465"/>
    <mergeCell ref="I466:M466"/>
    <mergeCell ref="I467:M467"/>
    <mergeCell ref="I468:M468"/>
    <mergeCell ref="I469:M469"/>
    <mergeCell ref="I470:M470"/>
    <mergeCell ref="I471:M471"/>
    <mergeCell ref="I490:M490"/>
    <mergeCell ref="I491:M491"/>
    <mergeCell ref="I492:M492"/>
    <mergeCell ref="I493:M493"/>
    <mergeCell ref="I494:M494"/>
    <mergeCell ref="I495:M495"/>
    <mergeCell ref="I496:M496"/>
    <mergeCell ref="I497:M497"/>
    <mergeCell ref="I498:M498"/>
    <mergeCell ref="I481:M481"/>
    <mergeCell ref="I482:M482"/>
    <mergeCell ref="I483:M483"/>
    <mergeCell ref="I484:M484"/>
    <mergeCell ref="I485:M485"/>
    <mergeCell ref="I486:M486"/>
    <mergeCell ref="I487:M487"/>
    <mergeCell ref="I488:M488"/>
    <mergeCell ref="I489:M489"/>
    <mergeCell ref="I508:M508"/>
    <mergeCell ref="I509:M509"/>
    <mergeCell ref="I510:M510"/>
    <mergeCell ref="I511:M511"/>
    <mergeCell ref="I512:M512"/>
    <mergeCell ref="I513:M513"/>
    <mergeCell ref="I514:M514"/>
    <mergeCell ref="I515:M515"/>
    <mergeCell ref="I516:M516"/>
    <mergeCell ref="I499:M499"/>
    <mergeCell ref="I500:M500"/>
    <mergeCell ref="I501:M501"/>
    <mergeCell ref="I502:M502"/>
    <mergeCell ref="I503:M503"/>
    <mergeCell ref="I504:M504"/>
    <mergeCell ref="I505:M505"/>
    <mergeCell ref="I506:M506"/>
    <mergeCell ref="I507:M507"/>
    <mergeCell ref="I526:M526"/>
    <mergeCell ref="I527:M527"/>
    <mergeCell ref="I528:M528"/>
    <mergeCell ref="I529:M529"/>
    <mergeCell ref="I530:M530"/>
    <mergeCell ref="I531:M531"/>
    <mergeCell ref="I532:M532"/>
    <mergeCell ref="I533:M533"/>
    <mergeCell ref="I534:M534"/>
    <mergeCell ref="I517:M517"/>
    <mergeCell ref="I518:M518"/>
    <mergeCell ref="I519:M519"/>
    <mergeCell ref="I520:M520"/>
    <mergeCell ref="I521:M521"/>
    <mergeCell ref="I522:M522"/>
    <mergeCell ref="I523:M523"/>
    <mergeCell ref="I524:M524"/>
    <mergeCell ref="I525:M525"/>
    <mergeCell ref="I544:M544"/>
    <mergeCell ref="I545:M545"/>
    <mergeCell ref="I546:M546"/>
    <mergeCell ref="I547:M547"/>
    <mergeCell ref="I548:M548"/>
    <mergeCell ref="I549:M549"/>
    <mergeCell ref="I550:M550"/>
    <mergeCell ref="I551:M551"/>
    <mergeCell ref="I552:M552"/>
    <mergeCell ref="I535:M535"/>
    <mergeCell ref="I536:M536"/>
    <mergeCell ref="I537:M537"/>
    <mergeCell ref="I538:M538"/>
    <mergeCell ref="I539:M539"/>
    <mergeCell ref="I540:M540"/>
    <mergeCell ref="I541:M541"/>
    <mergeCell ref="I542:M542"/>
    <mergeCell ref="I543:M543"/>
    <mergeCell ref="I562:M562"/>
    <mergeCell ref="I563:M563"/>
    <mergeCell ref="I564:M564"/>
    <mergeCell ref="I565:M565"/>
    <mergeCell ref="I566:M566"/>
    <mergeCell ref="I567:M567"/>
    <mergeCell ref="I568:M568"/>
    <mergeCell ref="I569:M569"/>
    <mergeCell ref="I570:M570"/>
    <mergeCell ref="I553:M553"/>
    <mergeCell ref="I554:M554"/>
    <mergeCell ref="I555:M555"/>
    <mergeCell ref="I556:M556"/>
    <mergeCell ref="I557:M557"/>
    <mergeCell ref="I558:M558"/>
    <mergeCell ref="I559:M559"/>
    <mergeCell ref="I560:M560"/>
    <mergeCell ref="I561:M561"/>
    <mergeCell ref="I580:M580"/>
    <mergeCell ref="I581:M581"/>
    <mergeCell ref="I582:M582"/>
    <mergeCell ref="I583:M583"/>
    <mergeCell ref="I584:M584"/>
    <mergeCell ref="I585:M585"/>
    <mergeCell ref="I586:M586"/>
    <mergeCell ref="I587:M587"/>
    <mergeCell ref="I588:M588"/>
    <mergeCell ref="I571:M571"/>
    <mergeCell ref="I572:M572"/>
    <mergeCell ref="I573:M573"/>
    <mergeCell ref="I574:M574"/>
    <mergeCell ref="I575:M575"/>
    <mergeCell ref="I576:M576"/>
    <mergeCell ref="I577:M577"/>
    <mergeCell ref="I578:M578"/>
    <mergeCell ref="I579:M579"/>
    <mergeCell ref="I598:M598"/>
    <mergeCell ref="I599:M599"/>
    <mergeCell ref="I600:M600"/>
    <mergeCell ref="I601:M601"/>
    <mergeCell ref="I602:M602"/>
    <mergeCell ref="I603:M603"/>
    <mergeCell ref="I604:M604"/>
    <mergeCell ref="I605:M605"/>
    <mergeCell ref="I606:M606"/>
    <mergeCell ref="I589:M589"/>
    <mergeCell ref="I590:M590"/>
    <mergeCell ref="I591:M591"/>
    <mergeCell ref="I592:M592"/>
    <mergeCell ref="I593:M593"/>
    <mergeCell ref="I594:M594"/>
    <mergeCell ref="I595:M595"/>
    <mergeCell ref="I596:M596"/>
    <mergeCell ref="I597:M597"/>
    <mergeCell ref="I616:M616"/>
    <mergeCell ref="I617:M617"/>
    <mergeCell ref="I618:M618"/>
    <mergeCell ref="I619:M619"/>
    <mergeCell ref="I620:M620"/>
    <mergeCell ref="I621:M621"/>
    <mergeCell ref="I622:M622"/>
    <mergeCell ref="I623:M623"/>
    <mergeCell ref="I624:M624"/>
    <mergeCell ref="I607:M607"/>
    <mergeCell ref="I608:M608"/>
    <mergeCell ref="I609:M609"/>
    <mergeCell ref="I610:M610"/>
    <mergeCell ref="I611:M611"/>
    <mergeCell ref="I612:M612"/>
    <mergeCell ref="I613:M613"/>
    <mergeCell ref="I614:M614"/>
    <mergeCell ref="I615:M615"/>
    <mergeCell ref="I634:M634"/>
    <mergeCell ref="I635:M635"/>
    <mergeCell ref="I636:M636"/>
    <mergeCell ref="I637:M637"/>
    <mergeCell ref="I638:M638"/>
    <mergeCell ref="I639:M639"/>
    <mergeCell ref="I640:M640"/>
    <mergeCell ref="I641:M641"/>
    <mergeCell ref="I642:M642"/>
    <mergeCell ref="I625:M625"/>
    <mergeCell ref="I626:M626"/>
    <mergeCell ref="I627:M627"/>
    <mergeCell ref="I628:M628"/>
    <mergeCell ref="I629:M629"/>
    <mergeCell ref="I630:M630"/>
    <mergeCell ref="I631:M631"/>
    <mergeCell ref="I632:M632"/>
    <mergeCell ref="I633:M633"/>
    <mergeCell ref="I652:M652"/>
    <mergeCell ref="I653:M653"/>
    <mergeCell ref="I654:M654"/>
    <mergeCell ref="I655:M655"/>
    <mergeCell ref="I656:M656"/>
    <mergeCell ref="I657:M657"/>
    <mergeCell ref="I658:M658"/>
    <mergeCell ref="I659:M659"/>
    <mergeCell ref="I660:M660"/>
    <mergeCell ref="I643:M643"/>
    <mergeCell ref="I644:M644"/>
    <mergeCell ref="I645:M645"/>
    <mergeCell ref="I646:M646"/>
    <mergeCell ref="I647:M647"/>
    <mergeCell ref="I648:M648"/>
    <mergeCell ref="I649:M649"/>
    <mergeCell ref="I650:M650"/>
    <mergeCell ref="I651:M651"/>
    <mergeCell ref="I670:M670"/>
    <mergeCell ref="I671:M671"/>
    <mergeCell ref="I672:M672"/>
    <mergeCell ref="I673:M673"/>
    <mergeCell ref="I674:M674"/>
    <mergeCell ref="I675:M675"/>
    <mergeCell ref="I676:M676"/>
    <mergeCell ref="I677:M677"/>
    <mergeCell ref="I678:M678"/>
    <mergeCell ref="I661:M661"/>
    <mergeCell ref="I662:M662"/>
    <mergeCell ref="I663:M663"/>
    <mergeCell ref="I664:M664"/>
    <mergeCell ref="I665:M665"/>
    <mergeCell ref="I666:M666"/>
    <mergeCell ref="I667:M667"/>
    <mergeCell ref="I668:M668"/>
    <mergeCell ref="I669:M669"/>
    <mergeCell ref="I688:M688"/>
    <mergeCell ref="I689:M689"/>
    <mergeCell ref="I690:M690"/>
    <mergeCell ref="I691:M691"/>
    <mergeCell ref="I692:M692"/>
    <mergeCell ref="I693:M693"/>
    <mergeCell ref="I694:M694"/>
    <mergeCell ref="I695:M695"/>
    <mergeCell ref="I696:M696"/>
    <mergeCell ref="I679:M679"/>
    <mergeCell ref="I680:M680"/>
    <mergeCell ref="I681:M681"/>
    <mergeCell ref="I682:M682"/>
    <mergeCell ref="I683:M683"/>
    <mergeCell ref="I684:M684"/>
    <mergeCell ref="I685:M685"/>
    <mergeCell ref="I686:M686"/>
    <mergeCell ref="I687:M687"/>
    <mergeCell ref="I706:M706"/>
    <mergeCell ref="I707:M707"/>
    <mergeCell ref="I708:M708"/>
    <mergeCell ref="I709:M709"/>
    <mergeCell ref="I710:M710"/>
    <mergeCell ref="I711:M711"/>
    <mergeCell ref="I712:M712"/>
    <mergeCell ref="I713:M713"/>
    <mergeCell ref="I714:M714"/>
    <mergeCell ref="I697:M697"/>
    <mergeCell ref="I698:M698"/>
    <mergeCell ref="I699:M699"/>
    <mergeCell ref="I700:M700"/>
    <mergeCell ref="I701:M701"/>
    <mergeCell ref="I702:M702"/>
    <mergeCell ref="I703:M703"/>
    <mergeCell ref="I704:M704"/>
    <mergeCell ref="I705:M705"/>
    <mergeCell ref="I724:M724"/>
    <mergeCell ref="I725:M725"/>
    <mergeCell ref="I726:M726"/>
    <mergeCell ref="I727:M727"/>
    <mergeCell ref="I728:M728"/>
    <mergeCell ref="I729:M729"/>
    <mergeCell ref="I730:M730"/>
    <mergeCell ref="I731:M731"/>
    <mergeCell ref="I732:M732"/>
    <mergeCell ref="I715:M715"/>
    <mergeCell ref="I716:M716"/>
    <mergeCell ref="I717:M717"/>
    <mergeCell ref="I718:M718"/>
    <mergeCell ref="I719:M719"/>
    <mergeCell ref="I720:M720"/>
    <mergeCell ref="I721:M721"/>
    <mergeCell ref="I722:M722"/>
    <mergeCell ref="I723:M723"/>
    <mergeCell ref="I742:M742"/>
    <mergeCell ref="I743:M743"/>
    <mergeCell ref="I744:M744"/>
    <mergeCell ref="I745:M745"/>
    <mergeCell ref="I746:M746"/>
    <mergeCell ref="I747:M747"/>
    <mergeCell ref="I748:M748"/>
    <mergeCell ref="I749:M749"/>
    <mergeCell ref="I750:M750"/>
    <mergeCell ref="I733:M733"/>
    <mergeCell ref="I734:M734"/>
    <mergeCell ref="I735:M735"/>
    <mergeCell ref="I736:M736"/>
    <mergeCell ref="I737:M737"/>
    <mergeCell ref="I738:M738"/>
    <mergeCell ref="I739:M739"/>
    <mergeCell ref="I740:M740"/>
    <mergeCell ref="I741:M741"/>
    <mergeCell ref="I760:M760"/>
    <mergeCell ref="I761:M761"/>
    <mergeCell ref="I762:M762"/>
    <mergeCell ref="I763:M763"/>
    <mergeCell ref="I764:M764"/>
    <mergeCell ref="I765:M765"/>
    <mergeCell ref="I766:M766"/>
    <mergeCell ref="I767:M767"/>
    <mergeCell ref="I768:M768"/>
    <mergeCell ref="I751:M751"/>
    <mergeCell ref="I752:M752"/>
    <mergeCell ref="I753:M753"/>
    <mergeCell ref="I754:M754"/>
    <mergeCell ref="I755:M755"/>
    <mergeCell ref="I756:M756"/>
    <mergeCell ref="I757:M757"/>
    <mergeCell ref="I758:M758"/>
    <mergeCell ref="I759:M759"/>
    <mergeCell ref="I778:M778"/>
    <mergeCell ref="I779:M779"/>
    <mergeCell ref="I780:M780"/>
    <mergeCell ref="I781:M781"/>
    <mergeCell ref="I782:M782"/>
    <mergeCell ref="I783:M783"/>
    <mergeCell ref="I784:M784"/>
    <mergeCell ref="I785:M785"/>
    <mergeCell ref="I786:M786"/>
    <mergeCell ref="I769:M769"/>
    <mergeCell ref="I770:M770"/>
    <mergeCell ref="I771:M771"/>
    <mergeCell ref="I772:M772"/>
    <mergeCell ref="I773:M773"/>
    <mergeCell ref="I774:M774"/>
    <mergeCell ref="I775:M775"/>
    <mergeCell ref="I776:M776"/>
    <mergeCell ref="I777:M777"/>
    <mergeCell ref="I796:M796"/>
    <mergeCell ref="I797:M797"/>
    <mergeCell ref="I798:M798"/>
    <mergeCell ref="I799:M799"/>
    <mergeCell ref="I800:M800"/>
    <mergeCell ref="I801:M801"/>
    <mergeCell ref="I802:M802"/>
    <mergeCell ref="I803:M803"/>
    <mergeCell ref="I804:M804"/>
    <mergeCell ref="I787:M787"/>
    <mergeCell ref="I788:M788"/>
    <mergeCell ref="I789:M789"/>
    <mergeCell ref="I790:M790"/>
    <mergeCell ref="I791:M791"/>
    <mergeCell ref="I792:M792"/>
    <mergeCell ref="I793:M793"/>
    <mergeCell ref="I794:M794"/>
    <mergeCell ref="I795:M795"/>
    <mergeCell ref="I814:M814"/>
    <mergeCell ref="I815:M815"/>
    <mergeCell ref="I816:M816"/>
    <mergeCell ref="I817:M817"/>
    <mergeCell ref="I818:M818"/>
    <mergeCell ref="I819:M819"/>
    <mergeCell ref="I820:M820"/>
    <mergeCell ref="I821:M821"/>
    <mergeCell ref="I822:M822"/>
    <mergeCell ref="I805:M805"/>
    <mergeCell ref="I806:M806"/>
    <mergeCell ref="I807:M807"/>
    <mergeCell ref="I808:M808"/>
    <mergeCell ref="I809:M809"/>
    <mergeCell ref="I810:M810"/>
    <mergeCell ref="I811:M811"/>
    <mergeCell ref="I812:M812"/>
    <mergeCell ref="I813:M813"/>
    <mergeCell ref="I832:M832"/>
    <mergeCell ref="I833:M833"/>
    <mergeCell ref="I834:M834"/>
    <mergeCell ref="I835:M835"/>
    <mergeCell ref="I836:M836"/>
    <mergeCell ref="I837:M837"/>
    <mergeCell ref="I838:M838"/>
    <mergeCell ref="I839:M839"/>
    <mergeCell ref="I840:M840"/>
    <mergeCell ref="I823:M823"/>
    <mergeCell ref="I824:M824"/>
    <mergeCell ref="I825:M825"/>
    <mergeCell ref="I826:M826"/>
    <mergeCell ref="I827:M827"/>
    <mergeCell ref="I828:M828"/>
    <mergeCell ref="I829:M829"/>
    <mergeCell ref="I830:M830"/>
    <mergeCell ref="I831:M831"/>
    <mergeCell ref="I850:M850"/>
    <mergeCell ref="I851:M851"/>
    <mergeCell ref="I852:M852"/>
    <mergeCell ref="I853:M853"/>
    <mergeCell ref="I854:M854"/>
    <mergeCell ref="I855:M855"/>
    <mergeCell ref="I856:M856"/>
    <mergeCell ref="I857:M857"/>
    <mergeCell ref="I858:M858"/>
    <mergeCell ref="I841:M841"/>
    <mergeCell ref="I842:M842"/>
    <mergeCell ref="I843:M843"/>
    <mergeCell ref="I844:M844"/>
    <mergeCell ref="I845:M845"/>
    <mergeCell ref="I846:M846"/>
    <mergeCell ref="I847:M847"/>
    <mergeCell ref="I848:M848"/>
    <mergeCell ref="I849:M849"/>
    <mergeCell ref="I868:M868"/>
    <mergeCell ref="I869:M869"/>
    <mergeCell ref="I870:M870"/>
    <mergeCell ref="I871:M871"/>
    <mergeCell ref="I872:M872"/>
    <mergeCell ref="I873:M873"/>
    <mergeCell ref="I874:M874"/>
    <mergeCell ref="I875:M875"/>
    <mergeCell ref="I876:M876"/>
    <mergeCell ref="I859:M859"/>
    <mergeCell ref="I860:M860"/>
    <mergeCell ref="I861:M861"/>
    <mergeCell ref="I862:M862"/>
    <mergeCell ref="I863:M863"/>
    <mergeCell ref="I864:M864"/>
    <mergeCell ref="I865:M865"/>
    <mergeCell ref="I866:M866"/>
    <mergeCell ref="I867:M867"/>
    <mergeCell ref="I886:M886"/>
    <mergeCell ref="I887:M887"/>
    <mergeCell ref="I888:M888"/>
    <mergeCell ref="I889:M889"/>
    <mergeCell ref="I890:M890"/>
    <mergeCell ref="I891:M891"/>
    <mergeCell ref="I892:M892"/>
    <mergeCell ref="I893:M893"/>
    <mergeCell ref="I894:M894"/>
    <mergeCell ref="I877:M877"/>
    <mergeCell ref="I878:M878"/>
    <mergeCell ref="I879:M879"/>
    <mergeCell ref="I880:M880"/>
    <mergeCell ref="I881:M881"/>
    <mergeCell ref="I882:M882"/>
    <mergeCell ref="I883:M883"/>
    <mergeCell ref="I884:M884"/>
    <mergeCell ref="I885:M885"/>
    <mergeCell ref="I904:M904"/>
    <mergeCell ref="I905:M905"/>
    <mergeCell ref="I906:M906"/>
    <mergeCell ref="I907:M907"/>
    <mergeCell ref="I908:M908"/>
    <mergeCell ref="I909:M909"/>
    <mergeCell ref="I910:M910"/>
    <mergeCell ref="I911:M911"/>
    <mergeCell ref="I912:M912"/>
    <mergeCell ref="I895:M895"/>
    <mergeCell ref="I896:M896"/>
    <mergeCell ref="I897:M897"/>
    <mergeCell ref="I898:M898"/>
    <mergeCell ref="I899:M899"/>
    <mergeCell ref="I900:M900"/>
    <mergeCell ref="I901:M901"/>
    <mergeCell ref="I902:M902"/>
    <mergeCell ref="I903:M903"/>
    <mergeCell ref="I922:M922"/>
    <mergeCell ref="I923:M923"/>
    <mergeCell ref="I924:M924"/>
    <mergeCell ref="I925:M925"/>
    <mergeCell ref="I926:M926"/>
    <mergeCell ref="I927:M927"/>
    <mergeCell ref="I928:M928"/>
    <mergeCell ref="I929:M929"/>
    <mergeCell ref="I930:M930"/>
    <mergeCell ref="I913:M913"/>
    <mergeCell ref="I914:M914"/>
    <mergeCell ref="I915:M915"/>
    <mergeCell ref="I916:M916"/>
    <mergeCell ref="I917:M917"/>
    <mergeCell ref="I918:M918"/>
    <mergeCell ref="I919:M919"/>
    <mergeCell ref="I920:M920"/>
    <mergeCell ref="I921:M921"/>
    <mergeCell ref="I940:M940"/>
    <mergeCell ref="I941:M941"/>
    <mergeCell ref="I942:M942"/>
    <mergeCell ref="I943:M943"/>
    <mergeCell ref="I944:M944"/>
    <mergeCell ref="I945:M945"/>
    <mergeCell ref="I946:M946"/>
    <mergeCell ref="I947:M947"/>
    <mergeCell ref="I948:M948"/>
    <mergeCell ref="I931:M931"/>
    <mergeCell ref="I932:M932"/>
    <mergeCell ref="I933:M933"/>
    <mergeCell ref="I934:M934"/>
    <mergeCell ref="I935:M935"/>
    <mergeCell ref="I936:M936"/>
    <mergeCell ref="I937:M937"/>
    <mergeCell ref="I938:M938"/>
    <mergeCell ref="I939:M939"/>
    <mergeCell ref="I958:M958"/>
    <mergeCell ref="I959:M959"/>
    <mergeCell ref="I960:M960"/>
    <mergeCell ref="I961:M961"/>
    <mergeCell ref="I962:M962"/>
    <mergeCell ref="I963:M963"/>
    <mergeCell ref="I964:M964"/>
    <mergeCell ref="I965:M965"/>
    <mergeCell ref="I966:M966"/>
    <mergeCell ref="I949:M949"/>
    <mergeCell ref="I950:M950"/>
    <mergeCell ref="I951:M951"/>
    <mergeCell ref="I952:M952"/>
    <mergeCell ref="I953:M953"/>
    <mergeCell ref="I954:M954"/>
    <mergeCell ref="I955:M955"/>
    <mergeCell ref="I956:M956"/>
    <mergeCell ref="I957:M957"/>
    <mergeCell ref="I976:M976"/>
    <mergeCell ref="I977:M977"/>
    <mergeCell ref="I978:M978"/>
    <mergeCell ref="I979:M979"/>
    <mergeCell ref="I980:M980"/>
    <mergeCell ref="I981:M981"/>
    <mergeCell ref="I982:M982"/>
    <mergeCell ref="I983:M983"/>
    <mergeCell ref="I984:M984"/>
    <mergeCell ref="I967:M967"/>
    <mergeCell ref="I968:M968"/>
    <mergeCell ref="I969:M969"/>
    <mergeCell ref="I970:M970"/>
    <mergeCell ref="I971:M971"/>
    <mergeCell ref="I972:M972"/>
    <mergeCell ref="I973:M973"/>
    <mergeCell ref="I974:M974"/>
    <mergeCell ref="I975:M975"/>
    <mergeCell ref="I994:M994"/>
    <mergeCell ref="I995:M995"/>
    <mergeCell ref="I996:M996"/>
    <mergeCell ref="I997:M997"/>
    <mergeCell ref="I998:M998"/>
    <mergeCell ref="I999:M999"/>
    <mergeCell ref="I1000:M1000"/>
    <mergeCell ref="I1001:M1001"/>
    <mergeCell ref="I1002:M1002"/>
    <mergeCell ref="I985:M985"/>
    <mergeCell ref="I986:M986"/>
    <mergeCell ref="I987:M987"/>
    <mergeCell ref="I988:M988"/>
    <mergeCell ref="I989:M989"/>
    <mergeCell ref="I990:M990"/>
    <mergeCell ref="I991:M991"/>
    <mergeCell ref="I992:M992"/>
    <mergeCell ref="I993:M993"/>
    <mergeCell ref="I1021:M1021"/>
    <mergeCell ref="I1022:M1022"/>
    <mergeCell ref="I1023:M1023"/>
    <mergeCell ref="I1024:M1024"/>
    <mergeCell ref="I1012:M1012"/>
    <mergeCell ref="I1013:M1013"/>
    <mergeCell ref="I1014:M1014"/>
    <mergeCell ref="I1015:M1015"/>
    <mergeCell ref="I1016:M1016"/>
    <mergeCell ref="I1017:M1017"/>
    <mergeCell ref="I1018:M1018"/>
    <mergeCell ref="I1019:M1019"/>
    <mergeCell ref="I1020:M1020"/>
    <mergeCell ref="I1003:M1003"/>
    <mergeCell ref="I1004:M1004"/>
    <mergeCell ref="I1005:M1005"/>
    <mergeCell ref="I1006:M1006"/>
    <mergeCell ref="I1007:M1007"/>
    <mergeCell ref="I1008:M1008"/>
    <mergeCell ref="I1009:M1009"/>
    <mergeCell ref="I1010:M1010"/>
    <mergeCell ref="I1011:M101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errorTitle="Error" error="Ingrese datos numéricos.">
          <x14:formula1>
            <xm:f>Param_General!$BE$4:$BE$30</xm:f>
          </x14:formula1>
          <xm:sqref>B18:B1024</xm:sqref>
        </x14:dataValidation>
        <x14:dataValidation type="list" allowBlank="1" showInputMessage="1" showErrorMessage="1">
          <x14:formula1>
            <xm:f>Param_General!$AM$4:$AM$8</xm:f>
          </x14:formula1>
          <xm:sqref>N18:N1024</xm:sqref>
        </x14:dataValidation>
        <x14:dataValidation type="list" allowBlank="1" showInputMessage="1" showErrorMessage="1">
          <x14:formula1>
            <xm:f>Param_General!$AB$5:$AB$8</xm:f>
          </x14:formula1>
          <xm:sqref>F18:F1024</xm:sqref>
        </x14:dataValidation>
        <x14:dataValidation type="list" allowBlank="1" showInputMessage="1" showErrorMessage="1">
          <x14:formula1>
            <xm:f>Param_General!$AO$4:$AO$7</xm:f>
          </x14:formula1>
          <xm:sqref>D18:D1024</xm:sqref>
        </x14:dataValidation>
        <x14:dataValidation type="list" allowBlank="1" showInputMessage="1" showErrorMessage="1">
          <x14:formula1>
            <xm:f>Param_General!$AJ$4:$AJ$8</xm:f>
          </x14:formula1>
          <xm:sqref>G18:G1024</xm:sqref>
        </x14:dataValidation>
        <x14:dataValidation type="list" allowBlank="1" showInputMessage="1" showErrorMessage="1">
          <x14:formula1>
            <xm:f>Param_General!$AL$4:$AL$5</xm:f>
          </x14:formula1>
          <xm:sqref>P18:P1024</xm:sqref>
        </x14:dataValidation>
        <x14:dataValidation type="list" allowBlank="1" showInputMessage="1" showErrorMessage="1">
          <x14:formula1>
            <xm:f>Param_General!$AH$4:$AH$10</xm:f>
          </x14:formula1>
          <xm:sqref>O18:O1024</xm:sqref>
        </x14:dataValidation>
        <x14:dataValidation type="list" allowBlank="1" showInputMessage="1" showErrorMessage="1">
          <x14:formula1>
            <xm:f>Param_General!$AD$5:$AD$6</xm:f>
          </x14:formula1>
          <xm:sqref>H18:H1024</xm:sqref>
        </x14:dataValidation>
        <x14:dataValidation type="list" allowBlank="1" showInputMessage="1" showErrorMessage="1">
          <x14:formula1>
            <xm:f>Param_General!$AP$4:$AP$8</xm:f>
          </x14:formula1>
          <xm:sqref>Q18:Q1024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C1:AQ124"/>
  <sheetViews>
    <sheetView topLeftCell="A7" zoomScale="85" zoomScaleNormal="85" workbookViewId="0">
      <selection activeCell="J16" sqref="J16"/>
    </sheetView>
  </sheetViews>
  <sheetFormatPr defaultColWidth="11.453125" defaultRowHeight="14.5" x14ac:dyDescent="0.35"/>
  <cols>
    <col min="1" max="1" width="3.54296875" style="55" customWidth="1"/>
    <col min="2" max="2" width="4" style="55" customWidth="1"/>
    <col min="3" max="3" width="15.54296875" style="55" customWidth="1"/>
    <col min="4" max="5" width="12.36328125" style="55" customWidth="1"/>
    <col min="6" max="6" width="10.6328125" style="55" customWidth="1"/>
    <col min="7" max="7" width="3.6328125" style="55" customWidth="1"/>
    <col min="8" max="8" width="12" style="55" customWidth="1"/>
    <col min="9" max="9" width="11.453125" style="55" customWidth="1"/>
    <col min="10" max="10" width="12.6328125" style="55" customWidth="1"/>
    <col min="11" max="11" width="14" style="55" customWidth="1"/>
    <col min="12" max="12" width="13.6328125" style="55" customWidth="1"/>
    <col min="13" max="13" width="14" style="55" customWidth="1"/>
    <col min="14" max="14" width="14.36328125" style="55" customWidth="1"/>
    <col min="15" max="15" width="13.36328125" style="55" customWidth="1"/>
    <col min="16" max="16" width="13.54296875" style="55" customWidth="1"/>
    <col min="17" max="17" width="6" style="55" customWidth="1"/>
    <col min="18" max="18" width="0.6328125" style="55" customWidth="1"/>
    <col min="19" max="19" width="6" style="55" customWidth="1"/>
    <col min="20" max="20" width="14.54296875" style="55" customWidth="1"/>
    <col min="21" max="21" width="11" style="55" customWidth="1"/>
    <col min="22" max="22" width="13.36328125" style="55" bestFit="1" customWidth="1"/>
    <col min="23" max="23" width="14.6328125" style="55" customWidth="1"/>
    <col min="24" max="24" width="13.453125" style="55" customWidth="1"/>
    <col min="25" max="25" width="7.36328125" style="55" customWidth="1"/>
    <col min="26" max="26" width="7.453125" style="55" customWidth="1"/>
    <col min="27" max="27" width="12.6328125" style="55" customWidth="1"/>
    <col min="28" max="28" width="11.36328125" style="55" customWidth="1"/>
    <col min="29" max="29" width="4.54296875" style="55" customWidth="1"/>
    <col min="30" max="30" width="3.6328125" style="55" customWidth="1"/>
    <col min="31" max="31" width="8.36328125" style="55" customWidth="1"/>
    <col min="32" max="32" width="8" style="55" customWidth="1"/>
    <col min="33" max="33" width="7.6328125" style="55" customWidth="1"/>
    <col min="34" max="34" width="5" style="55" customWidth="1"/>
    <col min="35" max="35" width="5.36328125" style="55" customWidth="1"/>
    <col min="36" max="36" width="19" style="55" customWidth="1"/>
    <col min="37" max="37" width="12.453125" style="55" customWidth="1"/>
    <col min="38" max="38" width="17.54296875" style="55" customWidth="1"/>
    <col min="39" max="39" width="12.453125" style="55" customWidth="1"/>
    <col min="40" max="40" width="5.36328125" style="55" customWidth="1"/>
    <col min="41" max="41" width="6.6328125" style="55" customWidth="1"/>
    <col min="42" max="16384" width="11.453125" style="55"/>
  </cols>
  <sheetData>
    <row r="1" spans="3:39" ht="27.75" customHeight="1" x14ac:dyDescent="0.35">
      <c r="C1" s="477"/>
      <c r="D1" s="477"/>
      <c r="E1" s="478" t="str">
        <f>Planeación!D1</f>
        <v>VERIFICACIÓN Y VALIDACIÓN</v>
      </c>
      <c r="F1" s="478"/>
      <c r="G1" s="478"/>
      <c r="H1" s="478"/>
      <c r="I1" s="478"/>
      <c r="J1" s="478"/>
      <c r="K1" s="478"/>
      <c r="L1" s="478"/>
      <c r="M1" s="478"/>
      <c r="N1" s="478"/>
      <c r="O1" s="478"/>
      <c r="P1" s="478"/>
      <c r="Q1" s="478"/>
      <c r="R1" s="478"/>
      <c r="S1" s="478"/>
      <c r="T1" s="478"/>
      <c r="U1" s="478"/>
      <c r="V1" s="478"/>
      <c r="W1" s="478"/>
      <c r="X1" s="478"/>
      <c r="Y1" s="478"/>
      <c r="Z1" s="478"/>
      <c r="AA1" s="478"/>
      <c r="AB1" s="478"/>
      <c r="AC1" s="478"/>
      <c r="AD1" s="478"/>
      <c r="AE1" s="478"/>
      <c r="AF1" s="478"/>
      <c r="AG1" s="478"/>
      <c r="AH1" s="478"/>
      <c r="AI1" s="478"/>
      <c r="AJ1" s="478"/>
      <c r="AK1" s="479" t="str">
        <f>Planeación!K1</f>
        <v>Versión: 10
Fecha de emisión:  21/03/2018
Código: F-TAI-010-001</v>
      </c>
      <c r="AL1" s="479"/>
      <c r="AM1" s="479"/>
    </row>
    <row r="2" spans="3:39" ht="33" customHeight="1" x14ac:dyDescent="0.35">
      <c r="C2" s="477"/>
      <c r="D2" s="477"/>
      <c r="E2" s="478" t="str">
        <f>Planeación!D2</f>
        <v>FORMATO: Prueba interna</v>
      </c>
      <c r="F2" s="478"/>
      <c r="G2" s="478"/>
      <c r="H2" s="478"/>
      <c r="I2" s="478"/>
      <c r="J2" s="478"/>
      <c r="K2" s="478"/>
      <c r="L2" s="478"/>
      <c r="M2" s="478"/>
      <c r="N2" s="478"/>
      <c r="O2" s="478"/>
      <c r="P2" s="478"/>
      <c r="Q2" s="478"/>
      <c r="R2" s="478"/>
      <c r="S2" s="478"/>
      <c r="T2" s="478"/>
      <c r="U2" s="478"/>
      <c r="V2" s="478"/>
      <c r="W2" s="478"/>
      <c r="X2" s="478"/>
      <c r="Y2" s="478"/>
      <c r="Z2" s="478"/>
      <c r="AA2" s="478"/>
      <c r="AB2" s="478"/>
      <c r="AC2" s="478"/>
      <c r="AD2" s="478"/>
      <c r="AE2" s="478"/>
      <c r="AF2" s="478"/>
      <c r="AG2" s="478"/>
      <c r="AH2" s="478"/>
      <c r="AI2" s="478"/>
      <c r="AJ2" s="478"/>
      <c r="AK2" s="479"/>
      <c r="AL2" s="479"/>
      <c r="AM2" s="479"/>
    </row>
    <row r="3" spans="3:39" ht="17.25" customHeight="1" x14ac:dyDescent="0.35">
      <c r="C3" s="480" t="s">
        <v>5</v>
      </c>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2"/>
      <c r="AH3" s="92"/>
      <c r="AI3" s="92"/>
      <c r="AJ3" s="92"/>
    </row>
    <row r="4" spans="3:39" ht="18.75" customHeight="1" x14ac:dyDescent="0.35">
      <c r="C4" s="481"/>
    </row>
    <row r="5" spans="3:39" ht="18.5" x14ac:dyDescent="0.45">
      <c r="C5" s="483" t="s">
        <v>1524</v>
      </c>
      <c r="D5" s="484"/>
      <c r="E5" s="484"/>
      <c r="F5" s="484"/>
      <c r="G5" s="484"/>
      <c r="H5" s="484"/>
      <c r="I5" s="484"/>
      <c r="J5" s="484"/>
      <c r="K5" s="484"/>
      <c r="L5" s="484"/>
      <c r="M5" s="484"/>
      <c r="N5" s="484"/>
      <c r="O5" s="484"/>
      <c r="P5" s="484"/>
      <c r="R5" s="93"/>
      <c r="T5" s="482" t="s">
        <v>523</v>
      </c>
      <c r="U5" s="482"/>
      <c r="V5" s="482"/>
      <c r="W5" s="482"/>
      <c r="X5" s="482"/>
      <c r="Y5" s="482"/>
      <c r="Z5" s="482"/>
      <c r="AA5" s="482"/>
      <c r="AB5" s="482"/>
      <c r="AC5" s="482"/>
      <c r="AD5" s="482"/>
      <c r="AE5" s="482"/>
      <c r="AF5" s="482"/>
      <c r="AG5" s="482"/>
      <c r="AH5" s="482"/>
      <c r="AI5" s="482"/>
      <c r="AJ5" s="482"/>
      <c r="AK5" s="482"/>
      <c r="AL5" s="482"/>
      <c r="AM5" s="482"/>
    </row>
    <row r="6" spans="3:39" ht="9.75" customHeight="1" x14ac:dyDescent="0.45">
      <c r="R6" s="93"/>
    </row>
    <row r="7" spans="3:39" ht="22.5" customHeight="1" x14ac:dyDescent="0.45">
      <c r="C7" s="310" t="s">
        <v>898</v>
      </c>
      <c r="D7" s="327">
        <v>1</v>
      </c>
      <c r="R7" s="93"/>
    </row>
    <row r="8" spans="3:39" ht="9.75" customHeight="1" x14ac:dyDescent="0.45">
      <c r="R8" s="93"/>
    </row>
    <row r="9" spans="3:39" ht="18.75" customHeight="1" x14ac:dyDescent="0.45">
      <c r="C9" s="491" t="s">
        <v>41</v>
      </c>
      <c r="D9" s="491"/>
      <c r="E9" s="491"/>
      <c r="F9" s="491"/>
      <c r="G9" s="491"/>
      <c r="H9" s="491"/>
      <c r="I9" s="491"/>
      <c r="J9" s="491"/>
      <c r="K9" s="491"/>
      <c r="L9" s="491"/>
      <c r="M9" s="491"/>
      <c r="R9" s="93"/>
    </row>
    <row r="10" spans="3:39" ht="32.25" customHeight="1" x14ac:dyDescent="0.45">
      <c r="C10" s="507" t="s">
        <v>42</v>
      </c>
      <c r="D10" s="506" t="s">
        <v>43</v>
      </c>
      <c r="E10" s="506" t="s">
        <v>44</v>
      </c>
      <c r="F10" s="506" t="s">
        <v>875</v>
      </c>
      <c r="G10" s="492" t="s">
        <v>45</v>
      </c>
      <c r="H10" s="493"/>
      <c r="I10" s="506" t="s">
        <v>46</v>
      </c>
      <c r="J10" s="506" t="s">
        <v>133</v>
      </c>
      <c r="K10" s="506" t="s">
        <v>134</v>
      </c>
      <c r="L10" s="506" t="s">
        <v>135</v>
      </c>
      <c r="M10" s="506" t="s">
        <v>136</v>
      </c>
      <c r="R10" s="93"/>
      <c r="T10" s="501" t="s">
        <v>520</v>
      </c>
      <c r="U10" s="502"/>
      <c r="V10" s="502"/>
      <c r="W10" s="502"/>
      <c r="X10" s="502"/>
      <c r="Y10" s="502"/>
      <c r="Z10" s="502"/>
      <c r="AA10" s="502"/>
      <c r="AB10" s="502"/>
      <c r="AC10" s="502"/>
      <c r="AD10" s="502"/>
      <c r="AE10" s="502"/>
      <c r="AF10" s="502"/>
      <c r="AG10" s="502"/>
      <c r="AH10" s="502"/>
      <c r="AI10" s="502"/>
      <c r="AJ10" s="502"/>
      <c r="AK10" s="502"/>
      <c r="AL10" s="502"/>
      <c r="AM10" s="502"/>
    </row>
    <row r="11" spans="3:39" ht="32.25" customHeight="1" x14ac:dyDescent="0.45">
      <c r="C11" s="508"/>
      <c r="D11" s="506"/>
      <c r="E11" s="506"/>
      <c r="F11" s="506"/>
      <c r="G11" s="494"/>
      <c r="H11" s="495"/>
      <c r="I11" s="506"/>
      <c r="J11" s="506"/>
      <c r="K11" s="506"/>
      <c r="L11" s="506"/>
      <c r="M11" s="506"/>
      <c r="R11" s="93"/>
      <c r="T11" s="488" t="s">
        <v>518</v>
      </c>
      <c r="U11" s="488" t="s">
        <v>764</v>
      </c>
      <c r="V11" s="503" t="s">
        <v>765</v>
      </c>
      <c r="W11" s="503"/>
      <c r="X11" s="503"/>
      <c r="Y11" s="488" t="s">
        <v>73</v>
      </c>
      <c r="Z11" s="488"/>
      <c r="AA11" s="488" t="s">
        <v>519</v>
      </c>
      <c r="AB11" s="488" t="s">
        <v>525</v>
      </c>
      <c r="AC11" s="487" t="s">
        <v>687</v>
      </c>
      <c r="AD11" s="487"/>
      <c r="AE11" s="487"/>
      <c r="AF11" s="487"/>
      <c r="AG11" s="487"/>
      <c r="AH11" s="488" t="s">
        <v>147</v>
      </c>
      <c r="AI11" s="488"/>
      <c r="AJ11" s="488" t="s">
        <v>71</v>
      </c>
      <c r="AK11" s="488" t="s">
        <v>526</v>
      </c>
      <c r="AL11" s="488" t="s">
        <v>72</v>
      </c>
      <c r="AM11" s="489" t="s">
        <v>527</v>
      </c>
    </row>
    <row r="12" spans="3:39" ht="18.75" customHeight="1" x14ac:dyDescent="0.45">
      <c r="C12" s="496">
        <f>COUNTIFS(Diseño!$B$11:$B$2994,Param_General!$C$74,Diseño!$M$11:$M$2994,"Exitoso")</f>
        <v>0</v>
      </c>
      <c r="D12" s="496">
        <f>COUNTIFS(Diseño!$B$11:$B$2994,Param_General!$C$74,Diseño!$M$11:$M$2994,"Fallido")</f>
        <v>0</v>
      </c>
      <c r="E12" s="496">
        <f>COUNTIFS(Diseño!$B$11:$B$2994,Param_General!$C$74,Diseño!$M$11:$M$2994,"No se pudo ejecutar")</f>
        <v>0</v>
      </c>
      <c r="F12" s="496">
        <f>G12-C12-D12-E12</f>
        <v>5</v>
      </c>
      <c r="G12" s="496">
        <f>COUNTIFS(Diseño!$E$11:$E$2994,"&gt;0",Diseño!$B$11:$B$2994,'Avance Agil'!D7)</f>
        <v>5</v>
      </c>
      <c r="H12" s="496"/>
      <c r="I12" s="496">
        <f>C12+D12+E12</f>
        <v>0</v>
      </c>
      <c r="J12" s="486">
        <f>C12/G12</f>
        <v>0</v>
      </c>
      <c r="K12" s="486">
        <f>D12/G12</f>
        <v>0</v>
      </c>
      <c r="L12" s="486">
        <f>I12/G12</f>
        <v>0</v>
      </c>
      <c r="M12" s="486">
        <f>F12/G12</f>
        <v>1</v>
      </c>
      <c r="R12" s="93"/>
      <c r="T12" s="488"/>
      <c r="U12" s="488"/>
      <c r="V12" s="321" t="s">
        <v>766</v>
      </c>
      <c r="W12" s="321" t="s">
        <v>767</v>
      </c>
      <c r="X12" s="321" t="s">
        <v>768</v>
      </c>
      <c r="Y12" s="488"/>
      <c r="Z12" s="488"/>
      <c r="AA12" s="488"/>
      <c r="AB12" s="488"/>
      <c r="AC12" s="485" t="s">
        <v>221</v>
      </c>
      <c r="AD12" s="485"/>
      <c r="AE12" s="324" t="s">
        <v>22</v>
      </c>
      <c r="AF12" s="324" t="s">
        <v>21</v>
      </c>
      <c r="AG12" s="324" t="s">
        <v>20</v>
      </c>
      <c r="AH12" s="488"/>
      <c r="AI12" s="488"/>
      <c r="AJ12" s="488"/>
      <c r="AK12" s="488"/>
      <c r="AL12" s="488"/>
      <c r="AM12" s="489"/>
    </row>
    <row r="13" spans="3:39" ht="18.5" x14ac:dyDescent="0.45">
      <c r="C13" s="496"/>
      <c r="D13" s="496"/>
      <c r="E13" s="496"/>
      <c r="F13" s="496"/>
      <c r="G13" s="496"/>
      <c r="H13" s="496"/>
      <c r="I13" s="496"/>
      <c r="J13" s="486"/>
      <c r="K13" s="486"/>
      <c r="L13" s="486"/>
      <c r="M13" s="486"/>
      <c r="R13" s="93"/>
      <c r="T13" s="318" t="str">
        <f>Planeación!H11</f>
        <v>Proveedor 1x</v>
      </c>
      <c r="U13" s="299">
        <f>Param_General!$I$51</f>
        <v>0</v>
      </c>
      <c r="V13" s="299">
        <f>Param_General!$M$51</f>
        <v>0</v>
      </c>
      <c r="W13" s="299">
        <f>Param_General!$O$51</f>
        <v>0</v>
      </c>
      <c r="X13" s="322">
        <f>Param_General!$P$51</f>
        <v>0</v>
      </c>
      <c r="Y13" s="500">
        <f>Param_General!$K$51</f>
        <v>0</v>
      </c>
      <c r="Z13" s="500"/>
      <c r="AA13" s="302">
        <v>1</v>
      </c>
      <c r="AB13" s="299">
        <f>Param_General!$H$51</f>
        <v>0</v>
      </c>
      <c r="AC13" s="496">
        <f>Param_General!$C$51</f>
        <v>0</v>
      </c>
      <c r="AD13" s="496"/>
      <c r="AE13" s="320">
        <f>Param_General!$D$51</f>
        <v>0</v>
      </c>
      <c r="AF13" s="320">
        <f>Param_General!$F$51</f>
        <v>0</v>
      </c>
      <c r="AG13" s="320">
        <f>Param_General!$G$51</f>
        <v>0</v>
      </c>
      <c r="AH13" s="490">
        <f>IF(U13+V13+W13+X13=0,0,IF(1-(((V13*2)+(W13*1)+(X13*0.5))/U13)&lt;0,0,1-(((V13*2)+(W13*1)+(X13*0.5))/U13)))</f>
        <v>0</v>
      </c>
      <c r="AI13" s="490"/>
      <c r="AJ13" s="203">
        <f>IF(U13=0,0,IF(AH13&lt;0,1,AH13))</f>
        <v>0</v>
      </c>
      <c r="AK13" s="323" t="str">
        <f>IF(AH13="","Alta",IF(OR(AH13=0%,AH13&lt;=60%),"Baja",IF(AH13&lt;75%,"Media",IF(AH13&gt;=75%,"Alta"))))</f>
        <v>Baja</v>
      </c>
      <c r="AL13" s="204">
        <f>IF(Y13=0,0,IF(AA13&lt;=3,IF(AB13=0,(((AE13+AC13)*2)+(AF13*1)+(AG13*0.5))/Y13,
(((AC13+AE13)*2)+(AF13*1)+(AG13*0.5)+(AB13*2))/Y13),
IF(AB13=0,((((AC13+AE13)*2)+(AF13*1)+(AG13*0.5))/Y13)*Param_General!L51,
((((AC13+AE13)*2)+(AF13*1)+(AG13*0.5)+(AB13*2))/Y13)*Param_General!L51)))</f>
        <v>0</v>
      </c>
      <c r="AM13" s="323" t="str">
        <f>IF(OR(AL13=0,AL13=""),"Alta",IF(AL13&lt;=0.2,"Alta",IF(AL13&lt;0.5,"Media",IF(AL13&gt;=0.5,"Baja"))))</f>
        <v>Alta</v>
      </c>
    </row>
    <row r="14" spans="3:39" ht="18.5" x14ac:dyDescent="0.45">
      <c r="R14" s="93"/>
      <c r="T14" s="318" t="str">
        <f>Planeación!K11</f>
        <v>Proveedor 2x</v>
      </c>
      <c r="U14" s="299">
        <f>Param_General!$I$52</f>
        <v>0</v>
      </c>
      <c r="V14" s="299">
        <f>Param_General!$M$52</f>
        <v>0</v>
      </c>
      <c r="W14" s="299">
        <f>Param_General!$O$52</f>
        <v>0</v>
      </c>
      <c r="X14" s="322">
        <f>Param_General!$P$52</f>
        <v>0</v>
      </c>
      <c r="Y14" s="500">
        <f>Param_General!$K$52</f>
        <v>0</v>
      </c>
      <c r="Z14" s="500"/>
      <c r="AA14" s="302"/>
      <c r="AB14" s="299">
        <f>Param_General!$H$52</f>
        <v>0</v>
      </c>
      <c r="AC14" s="496">
        <f>Param_General!$C$52</f>
        <v>0</v>
      </c>
      <c r="AD14" s="496"/>
      <c r="AE14" s="320">
        <f>Param_General!$D$52</f>
        <v>0</v>
      </c>
      <c r="AF14" s="320">
        <f>Param_General!$F$52</f>
        <v>0</v>
      </c>
      <c r="AG14" s="320">
        <f>Param_General!$G$52</f>
        <v>0</v>
      </c>
      <c r="AH14" s="490">
        <f>IF(U14+V14+W14+X14=0,0,IF(1-(((V14*2)+(W14*1)+(X14*0.5))/U14)&lt;0,0,1-(((V14*2)+(W14*1)+(X14*0.5))/U14)))</f>
        <v>0</v>
      </c>
      <c r="AI14" s="490"/>
      <c r="AJ14" s="203">
        <f t="shared" ref="AJ14" si="0">IF(U14=0,0,IF(AH14&lt;0,1,AH14))</f>
        <v>0</v>
      </c>
      <c r="AK14" s="323" t="str">
        <f t="shared" ref="AK14:AK16" si="1">IF(AH14="","Alta",IF(OR(AH14=0%,AH14&lt;=60%),"Baja",IF(AH14&lt;75%,"Media",IF(AH14&gt;=75%,"Alta"))))</f>
        <v>Baja</v>
      </c>
      <c r="AL14" s="204">
        <f>IF(Y14=0,0,IF(AA14&lt;=3,IF(AB14=0,(((AE14+AC14)*2)+(AF14*1)+(AG14*0.5))/Y14,
(((AC14+AE14)*2)+(AF14*1)+(AG14*0.5)+(AB14*2))/Y14),
IF(AB14=0,((((AC14+AE14)*2)+(AF14*1)+(AG14*0.5))/Y14)*Param_General!L52,
((((AC14+AE14)*2)+(AF14*1)+(AG14*0.5)+(AB14*2))/Y14)*Param_General!L52)))</f>
        <v>0</v>
      </c>
      <c r="AM14" s="323" t="str">
        <f t="shared" ref="AM14:AM16" si="2">IF(OR(AL14=0,AL14=""),"Alta",IF(AL14&lt;=0.2,"Alta",IF(AL14&lt;0.5,"Media",IF(AL14&gt;=0.5,"Baja"))))</f>
        <v>Alta</v>
      </c>
    </row>
    <row r="15" spans="3:39" ht="18.5" x14ac:dyDescent="0.45">
      <c r="C15" s="509" t="s">
        <v>714</v>
      </c>
      <c r="D15" s="509"/>
      <c r="E15" s="509"/>
      <c r="F15" s="509"/>
      <c r="G15" s="509"/>
      <c r="H15" s="509"/>
      <c r="I15" s="509"/>
      <c r="J15" s="509"/>
      <c r="K15" s="509"/>
      <c r="L15" s="509"/>
      <c r="M15" s="509"/>
      <c r="N15" s="509"/>
      <c r="O15" s="509"/>
      <c r="P15" s="510"/>
      <c r="R15" s="93"/>
      <c r="T15" s="318" t="str">
        <f>Planeación!H12</f>
        <v>Proveedor 3x</v>
      </c>
      <c r="U15" s="299">
        <f>Param_General!$I$53</f>
        <v>0</v>
      </c>
      <c r="V15" s="299">
        <f>Param_General!$M$53</f>
        <v>0</v>
      </c>
      <c r="W15" s="299">
        <f>Param_General!$O$53</f>
        <v>0</v>
      </c>
      <c r="X15" s="322">
        <f>Param_General!$P$53</f>
        <v>0</v>
      </c>
      <c r="Y15" s="500">
        <f>Param_General!$K$53</f>
        <v>0</v>
      </c>
      <c r="Z15" s="500"/>
      <c r="AA15" s="302"/>
      <c r="AB15" s="299">
        <f>Param_General!$H$53</f>
        <v>0</v>
      </c>
      <c r="AC15" s="496">
        <f>Param_General!$C$53</f>
        <v>0</v>
      </c>
      <c r="AD15" s="496"/>
      <c r="AE15" s="320">
        <f>Param_General!$D$53</f>
        <v>0</v>
      </c>
      <c r="AF15" s="320">
        <f>Param_General!$F$53</f>
        <v>0</v>
      </c>
      <c r="AG15" s="320">
        <f>Param_General!$G$53</f>
        <v>0</v>
      </c>
      <c r="AH15" s="490">
        <f t="shared" ref="AH15:AH16" si="3">IF(U15+V15+W15+X15=0,0,IF(1-(((V15*2)+(W15*1)+(X15*0.5))/U15)&lt;0,0,1-(((V15*2)+(W15*1)+(X15*0.5))/U15)))</f>
        <v>0</v>
      </c>
      <c r="AI15" s="490"/>
      <c r="AJ15" s="203">
        <f>IF(U15=0,0,IF(AH15&lt;0,1,AH15))</f>
        <v>0</v>
      </c>
      <c r="AK15" s="323" t="str">
        <f t="shared" si="1"/>
        <v>Baja</v>
      </c>
      <c r="AL15" s="204">
        <f>IF(Y15=0,0,IF(AA15&lt;=3,IF(AB15=0,(((AE15+AC15)*2)+(AF15*1)+(AG15*0.5))/Y15,
(((AC15+AE15)*2)+(AF15*1)+(AG15*0.5)+(AB15*2))/Y15),
IF(AB15=0,((((AC15+AE15)*2)+(AF15*1)+(AG15*0.5))/Y15)*Param_General!L53,
((((AC15+AE15)*2)+(AF15*1)+(AG15*0.5)+(AB15*2))/Y15)*Param_General!L53)))</f>
        <v>0</v>
      </c>
      <c r="AM15" s="323" t="str">
        <f t="shared" si="2"/>
        <v>Alta</v>
      </c>
    </row>
    <row r="16" spans="3:39" ht="17.25" customHeight="1" x14ac:dyDescent="0.45">
      <c r="C16" s="505" t="s">
        <v>686</v>
      </c>
      <c r="D16" s="505"/>
      <c r="E16" s="505"/>
      <c r="F16" s="505"/>
      <c r="G16" s="505"/>
      <c r="H16" s="325" t="s">
        <v>139</v>
      </c>
      <c r="I16" s="194" t="s">
        <v>140</v>
      </c>
      <c r="J16" s="325" t="s">
        <v>144</v>
      </c>
      <c r="K16" s="194" t="s">
        <v>143</v>
      </c>
      <c r="L16" s="194" t="s">
        <v>146</v>
      </c>
      <c r="M16" s="194" t="s">
        <v>145</v>
      </c>
      <c r="N16" s="194" t="s">
        <v>141</v>
      </c>
      <c r="O16" s="194" t="s">
        <v>717</v>
      </c>
      <c r="P16" s="194" t="s">
        <v>684</v>
      </c>
      <c r="R16" s="93"/>
      <c r="T16" s="318">
        <f>Planeación!K12</f>
        <v>0</v>
      </c>
      <c r="U16" s="299">
        <f>Param_General!$I$54</f>
        <v>0</v>
      </c>
      <c r="V16" s="299">
        <f>Param_General!$M$54</f>
        <v>0</v>
      </c>
      <c r="W16" s="299">
        <f>Param_General!$O$54</f>
        <v>0</v>
      </c>
      <c r="X16" s="322">
        <f>Param_General!$P$54</f>
        <v>0</v>
      </c>
      <c r="Y16" s="500">
        <f>Param_General!$K$54</f>
        <v>0</v>
      </c>
      <c r="Z16" s="500"/>
      <c r="AA16" s="302"/>
      <c r="AB16" s="299">
        <f>Param_General!$H$54</f>
        <v>0</v>
      </c>
      <c r="AC16" s="496">
        <f>Param_General!$C$54</f>
        <v>0</v>
      </c>
      <c r="AD16" s="496"/>
      <c r="AE16" s="320">
        <f>Param_General!$D$54</f>
        <v>0</v>
      </c>
      <c r="AF16" s="320">
        <f>Param_General!$F$54</f>
        <v>0</v>
      </c>
      <c r="AG16" s="320">
        <f>Param_General!$G$54</f>
        <v>0</v>
      </c>
      <c r="AH16" s="490">
        <f t="shared" si="3"/>
        <v>0</v>
      </c>
      <c r="AI16" s="490"/>
      <c r="AJ16" s="203">
        <f>IF(U16=0,0,IF(AH16&lt;0,1,AH16))</f>
        <v>0</v>
      </c>
      <c r="AK16" s="323" t="str">
        <f t="shared" si="1"/>
        <v>Baja</v>
      </c>
      <c r="AL16" s="204">
        <f>IF(Y16=0,0,IF(AA16&lt;=3,IF(AB16=0,(((AE16+AC16)*2)+(AF16*1)+(AG16*0.5))/Y16,
(((AC16+AE16)*2)+(AF16*1)+(AG16*0.5)+(AB16*2))/Y16),
IF(AB16=0,((((AC16+AE16)*2)+(AF16*1)+(AG16*0.5))/Y16)*Param_General!L54,
((((AC16+AE16)*2)+(AF16*1)+(AG16*0.5)+(AB16*2))/Y16)*Param_General!L54)))</f>
        <v>0</v>
      </c>
      <c r="AM16" s="323" t="str">
        <f t="shared" si="2"/>
        <v>Alta</v>
      </c>
    </row>
    <row r="17" spans="3:39" ht="18.5" x14ac:dyDescent="0.45">
      <c r="C17" s="446" t="s">
        <v>221</v>
      </c>
      <c r="D17" s="446"/>
      <c r="E17" s="446"/>
      <c r="F17" s="446"/>
      <c r="G17" s="446"/>
      <c r="H17" s="320">
        <f>Param_General!$C$77</f>
        <v>0</v>
      </c>
      <c r="I17" s="320">
        <f>Param_General!$D$77</f>
        <v>0</v>
      </c>
      <c r="J17" s="320">
        <f>Param_General!$F$77</f>
        <v>0</v>
      </c>
      <c r="K17" s="320">
        <f>Param_General!$G$77</f>
        <v>0</v>
      </c>
      <c r="L17" s="320">
        <f>Param_General!$H$77</f>
        <v>0</v>
      </c>
      <c r="M17" s="320">
        <f>Param_General!$J$77</f>
        <v>0</v>
      </c>
      <c r="N17" s="320">
        <f>Param_General!$K$77</f>
        <v>0</v>
      </c>
      <c r="O17" s="296">
        <f>SUM(J17:N17)</f>
        <v>0</v>
      </c>
      <c r="P17" s="320">
        <f>SUM(H17:N17)</f>
        <v>0</v>
      </c>
      <c r="R17" s="93"/>
    </row>
    <row r="18" spans="3:39" ht="17.25" customHeight="1" x14ac:dyDescent="0.45">
      <c r="C18" s="446" t="s">
        <v>22</v>
      </c>
      <c r="D18" s="446"/>
      <c r="E18" s="446"/>
      <c r="F18" s="446"/>
      <c r="G18" s="446"/>
      <c r="H18" s="320">
        <f>Param_General!$C$78</f>
        <v>0</v>
      </c>
      <c r="I18" s="320">
        <f>Param_General!$D$78</f>
        <v>0</v>
      </c>
      <c r="J18" s="320">
        <f>Param_General!$F$78</f>
        <v>0</v>
      </c>
      <c r="K18" s="320">
        <f>Param_General!$G$78</f>
        <v>0</v>
      </c>
      <c r="L18" s="320">
        <f>Param_General!$H$78</f>
        <v>0</v>
      </c>
      <c r="M18" s="320">
        <f>Param_General!$J$78</f>
        <v>0</v>
      </c>
      <c r="N18" s="320">
        <f>Param_General!$K$78</f>
        <v>0</v>
      </c>
      <c r="O18" s="296">
        <f>SUM(J18:N18)</f>
        <v>0</v>
      </c>
      <c r="P18" s="320">
        <f>SUM(H18:N18)</f>
        <v>0</v>
      </c>
      <c r="R18" s="93"/>
    </row>
    <row r="19" spans="3:39" ht="18.5" x14ac:dyDescent="0.45">
      <c r="C19" s="446" t="s">
        <v>21</v>
      </c>
      <c r="D19" s="446"/>
      <c r="E19" s="446"/>
      <c r="F19" s="446"/>
      <c r="G19" s="446"/>
      <c r="H19" s="320">
        <f>Param_General!$C$79</f>
        <v>0</v>
      </c>
      <c r="I19" s="320">
        <f>Param_General!$D$79</f>
        <v>0</v>
      </c>
      <c r="J19" s="320">
        <f>Param_General!$F$79</f>
        <v>0</v>
      </c>
      <c r="K19" s="320">
        <f>Param_General!$G$79</f>
        <v>0</v>
      </c>
      <c r="L19" s="320">
        <f>Param_General!$H$79</f>
        <v>0</v>
      </c>
      <c r="M19" s="320">
        <f>Param_General!$J$79</f>
        <v>0</v>
      </c>
      <c r="N19" s="320">
        <f>Param_General!$K$79</f>
        <v>0</v>
      </c>
      <c r="O19" s="296">
        <f t="shared" ref="O19" si="4">SUM(J19:N19)</f>
        <v>0</v>
      </c>
      <c r="P19" s="320">
        <f>SUM(H19:N19)</f>
        <v>0</v>
      </c>
      <c r="R19" s="93"/>
      <c r="T19" s="504" t="s">
        <v>562</v>
      </c>
      <c r="U19" s="504"/>
      <c r="V19" s="504"/>
      <c r="W19" s="504"/>
      <c r="X19" s="504"/>
      <c r="Y19" s="504" t="s">
        <v>545</v>
      </c>
      <c r="Z19" s="504"/>
      <c r="AA19" s="325" t="s">
        <v>546</v>
      </c>
      <c r="AB19" s="504" t="s">
        <v>547</v>
      </c>
      <c r="AC19" s="504"/>
      <c r="AD19" s="504"/>
      <c r="AE19" s="504" t="s">
        <v>548</v>
      </c>
      <c r="AF19" s="504"/>
      <c r="AG19" s="504"/>
      <c r="AH19" s="514" t="s">
        <v>1542</v>
      </c>
      <c r="AI19" s="514"/>
      <c r="AJ19" s="514"/>
      <c r="AK19" s="515" t="s">
        <v>1543</v>
      </c>
      <c r="AL19" s="516"/>
    </row>
    <row r="20" spans="3:39" ht="18.5" x14ac:dyDescent="0.45">
      <c r="C20" s="446" t="s">
        <v>20</v>
      </c>
      <c r="D20" s="446"/>
      <c r="E20" s="446"/>
      <c r="F20" s="446"/>
      <c r="G20" s="446"/>
      <c r="H20" s="320">
        <f>Param_General!$C$80</f>
        <v>0</v>
      </c>
      <c r="I20" s="320">
        <f>Param_General!$D$80</f>
        <v>0</v>
      </c>
      <c r="J20" s="320">
        <f>Param_General!$F$80</f>
        <v>0</v>
      </c>
      <c r="K20" s="320">
        <f>Param_General!$G$80</f>
        <v>0</v>
      </c>
      <c r="L20" s="320">
        <f>Param_General!$H$80</f>
        <v>0</v>
      </c>
      <c r="M20" s="320">
        <f>Param_General!$J$80</f>
        <v>0</v>
      </c>
      <c r="N20" s="320">
        <f>Param_General!$K$80</f>
        <v>0</v>
      </c>
      <c r="O20" s="296">
        <f>SUM(J20:N20)</f>
        <v>0</v>
      </c>
      <c r="P20" s="320">
        <f>SUM(H20:N20)</f>
        <v>0</v>
      </c>
      <c r="R20" s="93"/>
      <c r="T20" s="497" t="str">
        <f>Planeación!H11</f>
        <v>Proveedor 1x</v>
      </c>
      <c r="U20" s="497"/>
      <c r="V20" s="497"/>
      <c r="W20" s="497"/>
      <c r="X20" s="497"/>
      <c r="Y20" s="498">
        <f>AJ13</f>
        <v>0</v>
      </c>
      <c r="Z20" s="498"/>
      <c r="AA20" s="319" t="str">
        <f>AK13</f>
        <v>Baja</v>
      </c>
      <c r="AB20" s="499">
        <f>AL13</f>
        <v>0</v>
      </c>
      <c r="AC20" s="499"/>
      <c r="AD20" s="499"/>
      <c r="AE20" s="499" t="str">
        <f>AM13</f>
        <v>Alta</v>
      </c>
      <c r="AF20" s="499"/>
      <c r="AG20" s="499"/>
      <c r="AH20" s="490"/>
      <c r="AI20" s="490"/>
      <c r="AJ20" s="490"/>
      <c r="AK20" s="490"/>
      <c r="AL20" s="490"/>
    </row>
    <row r="21" spans="3:39" ht="18.5" x14ac:dyDescent="0.45">
      <c r="E21" s="504" t="s">
        <v>213</v>
      </c>
      <c r="F21" s="504"/>
      <c r="G21" s="504"/>
      <c r="H21" s="320">
        <f>SUM(H17:H20)</f>
        <v>0</v>
      </c>
      <c r="I21" s="320">
        <f>SUM(I17:I20)</f>
        <v>0</v>
      </c>
      <c r="J21" s="320">
        <f t="shared" ref="J21:P21" si="5">SUM(J17:J20)</f>
        <v>0</v>
      </c>
      <c r="K21" s="320">
        <f t="shared" si="5"/>
        <v>0</v>
      </c>
      <c r="L21" s="320">
        <f t="shared" si="5"/>
        <v>0</v>
      </c>
      <c r="M21" s="320">
        <f>SUM(M17:M20)</f>
        <v>0</v>
      </c>
      <c r="N21" s="320">
        <f>SUM(N17:N20)</f>
        <v>0</v>
      </c>
      <c r="O21" s="320">
        <f t="shared" si="5"/>
        <v>0</v>
      </c>
      <c r="P21" s="320">
        <f t="shared" si="5"/>
        <v>0</v>
      </c>
      <c r="R21" s="93"/>
      <c r="T21" s="497" t="str">
        <f>Planeación!K11</f>
        <v>Proveedor 2x</v>
      </c>
      <c r="U21" s="497"/>
      <c r="V21" s="497"/>
      <c r="W21" s="497"/>
      <c r="X21" s="497"/>
      <c r="Y21" s="498">
        <f t="shared" ref="Y21:Y22" si="6">AJ14</f>
        <v>0</v>
      </c>
      <c r="Z21" s="498"/>
      <c r="AA21" s="319" t="str">
        <f t="shared" ref="AA21:AB23" si="7">AK14</f>
        <v>Baja</v>
      </c>
      <c r="AB21" s="499">
        <f t="shared" si="7"/>
        <v>0</v>
      </c>
      <c r="AC21" s="499"/>
      <c r="AD21" s="499"/>
      <c r="AE21" s="499" t="str">
        <f t="shared" ref="AE21:AE23" si="8">AM14</f>
        <v>Alta</v>
      </c>
      <c r="AF21" s="499"/>
      <c r="AG21" s="499"/>
      <c r="AH21" s="490"/>
      <c r="AI21" s="490"/>
      <c r="AJ21" s="490"/>
      <c r="AK21" s="490"/>
      <c r="AL21" s="490"/>
    </row>
    <row r="22" spans="3:39" ht="18.5" x14ac:dyDescent="0.45">
      <c r="R22" s="93"/>
      <c r="T22" s="497" t="str">
        <f>Planeación!H12</f>
        <v>Proveedor 3x</v>
      </c>
      <c r="U22" s="497"/>
      <c r="V22" s="497"/>
      <c r="W22" s="497"/>
      <c r="X22" s="497"/>
      <c r="Y22" s="498">
        <f t="shared" si="6"/>
        <v>0</v>
      </c>
      <c r="Z22" s="498"/>
      <c r="AA22" s="319" t="str">
        <f t="shared" si="7"/>
        <v>Baja</v>
      </c>
      <c r="AB22" s="499">
        <f t="shared" si="7"/>
        <v>0</v>
      </c>
      <c r="AC22" s="499"/>
      <c r="AD22" s="499"/>
      <c r="AE22" s="499" t="str">
        <f t="shared" si="8"/>
        <v>Alta</v>
      </c>
      <c r="AF22" s="499"/>
      <c r="AG22" s="499"/>
      <c r="AH22" s="490"/>
      <c r="AI22" s="490"/>
      <c r="AJ22" s="490"/>
      <c r="AK22" s="490"/>
      <c r="AL22" s="490"/>
    </row>
    <row r="23" spans="3:39" ht="18.5" x14ac:dyDescent="0.45">
      <c r="C23" s="482" t="str">
        <f>CONCATENATE("INCIDENTES QUE APLICAN A CADA PROVEEDOR SPRINT ",$D$7)</f>
        <v>INCIDENTES QUE APLICAN A CADA PROVEEDOR SPRINT 1</v>
      </c>
      <c r="D23" s="482"/>
      <c r="E23" s="482"/>
      <c r="F23" s="482"/>
      <c r="G23" s="482"/>
      <c r="H23" s="482"/>
      <c r="I23" s="482"/>
      <c r="J23" s="482"/>
      <c r="K23" s="482"/>
      <c r="L23" s="482"/>
      <c r="M23" s="482"/>
      <c r="N23" s="482"/>
      <c r="O23" s="482"/>
      <c r="P23" s="482"/>
      <c r="R23" s="93"/>
      <c r="T23" s="497">
        <f>Planeación!K12</f>
        <v>0</v>
      </c>
      <c r="U23" s="497"/>
      <c r="V23" s="497"/>
      <c r="W23" s="497"/>
      <c r="X23" s="497"/>
      <c r="Y23" s="498">
        <f>AJ16</f>
        <v>0</v>
      </c>
      <c r="Z23" s="498"/>
      <c r="AA23" s="319" t="str">
        <f t="shared" si="7"/>
        <v>Baja</v>
      </c>
      <c r="AB23" s="499">
        <f t="shared" si="7"/>
        <v>0</v>
      </c>
      <c r="AC23" s="499"/>
      <c r="AD23" s="499"/>
      <c r="AE23" s="499" t="str">
        <f t="shared" si="8"/>
        <v>Alta</v>
      </c>
      <c r="AF23" s="499"/>
      <c r="AG23" s="499"/>
      <c r="AH23" s="490"/>
      <c r="AI23" s="490"/>
      <c r="AJ23" s="490"/>
      <c r="AK23" s="490"/>
      <c r="AL23" s="490"/>
    </row>
    <row r="24" spans="3:39" ht="18.5" x14ac:dyDescent="0.45">
      <c r="R24" s="93"/>
    </row>
    <row r="25" spans="3:39" ht="18.75" customHeight="1" x14ac:dyDescent="0.45">
      <c r="C25" s="491" t="str">
        <f>CONCATENATE("Incidentes aplicables Proveedor  1 - ",Planeación!H11)</f>
        <v>Incidentes aplicables Proveedor  1 - Proveedor 1x</v>
      </c>
      <c r="D25" s="491"/>
      <c r="E25" s="491"/>
      <c r="F25" s="491"/>
      <c r="G25" s="491"/>
      <c r="H25" s="491"/>
      <c r="I25" s="511"/>
      <c r="K25" s="491" t="str">
        <f>CONCATENATE("Incidentes aplicables Proveedor  2 - ",Planeación!K11)</f>
        <v>Incidentes aplicables Proveedor  2 - Proveedor 2x</v>
      </c>
      <c r="L25" s="491"/>
      <c r="M25" s="491"/>
      <c r="N25" s="491"/>
      <c r="O25" s="491"/>
      <c r="P25" s="511"/>
      <c r="R25" s="93"/>
      <c r="S25" s="39"/>
      <c r="T25" s="482" t="str">
        <f>CONCATENATE("GESTIÓN DE INCIDENTES SPRINT ",$D$7)</f>
        <v>GESTIÓN DE INCIDENTES SPRINT 1</v>
      </c>
      <c r="U25" s="482"/>
      <c r="V25" s="482"/>
      <c r="W25" s="482"/>
      <c r="X25" s="482"/>
      <c r="Y25" s="482"/>
      <c r="Z25" s="482"/>
      <c r="AA25" s="482"/>
      <c r="AB25" s="482"/>
      <c r="AC25" s="482"/>
      <c r="AD25" s="482"/>
      <c r="AE25" s="482"/>
      <c r="AF25" s="482"/>
      <c r="AG25" s="482"/>
      <c r="AH25" s="482"/>
      <c r="AI25" s="482"/>
      <c r="AJ25" s="482"/>
      <c r="AK25" s="482"/>
      <c r="AL25" s="482"/>
      <c r="AM25" s="482"/>
    </row>
    <row r="26" spans="3:39" ht="18.5" x14ac:dyDescent="0.45">
      <c r="C26" s="195" t="s">
        <v>715</v>
      </c>
      <c r="D26" s="325" t="s">
        <v>221</v>
      </c>
      <c r="E26" s="325" t="s">
        <v>22</v>
      </c>
      <c r="F26" s="504" t="s">
        <v>21</v>
      </c>
      <c r="G26" s="504"/>
      <c r="H26" s="325" t="s">
        <v>20</v>
      </c>
      <c r="I26" s="325" t="s">
        <v>684</v>
      </c>
      <c r="K26" s="195" t="s">
        <v>715</v>
      </c>
      <c r="L26" s="325" t="s">
        <v>221</v>
      </c>
      <c r="M26" s="325" t="s">
        <v>22</v>
      </c>
      <c r="N26" s="325" t="s">
        <v>21</v>
      </c>
      <c r="O26" s="325" t="s">
        <v>20</v>
      </c>
      <c r="P26" s="325" t="s">
        <v>684</v>
      </c>
      <c r="R26" s="93"/>
      <c r="S26" s="39"/>
      <c r="T26" s="512" t="s">
        <v>1536</v>
      </c>
      <c r="U26" s="512"/>
      <c r="V26" s="512"/>
      <c r="W26" s="512"/>
      <c r="X26" s="512"/>
      <c r="Y26" s="512"/>
      <c r="Z26" s="513" t="s">
        <v>1537</v>
      </c>
      <c r="AA26" s="513"/>
      <c r="AB26" s="513"/>
      <c r="AC26" s="513"/>
      <c r="AD26" s="513"/>
      <c r="AE26" s="513"/>
      <c r="AF26" s="513"/>
      <c r="AG26" s="513"/>
      <c r="AH26" s="328"/>
      <c r="AI26" s="512" t="s">
        <v>1538</v>
      </c>
      <c r="AJ26" s="512"/>
      <c r="AK26" s="512"/>
      <c r="AL26" s="512"/>
      <c r="AM26" s="512"/>
    </row>
    <row r="27" spans="3:39" ht="18.5" x14ac:dyDescent="0.45">
      <c r="C27" s="196" t="s">
        <v>144</v>
      </c>
      <c r="D27" s="320">
        <f>Param_General!$C$87</f>
        <v>0</v>
      </c>
      <c r="E27" s="320">
        <f>Param_General!$D$87</f>
        <v>0</v>
      </c>
      <c r="F27" s="496">
        <f>Param_General!$F$87</f>
        <v>0</v>
      </c>
      <c r="G27" s="496"/>
      <c r="H27" s="320">
        <f>Param_General!$G$87</f>
        <v>0</v>
      </c>
      <c r="I27" s="320">
        <f>SUM(D27:H27)</f>
        <v>0</v>
      </c>
      <c r="K27" s="196" t="s">
        <v>144</v>
      </c>
      <c r="L27" s="320">
        <f>Param_General!$C$88</f>
        <v>0</v>
      </c>
      <c r="M27" s="297">
        <f>Param_General!$D$88</f>
        <v>0</v>
      </c>
      <c r="N27" s="296">
        <f>Param_General!$F$88</f>
        <v>0</v>
      </c>
      <c r="O27" s="320">
        <f>Param_General!$G$88</f>
        <v>0</v>
      </c>
      <c r="P27" s="320">
        <f>SUM(L27:O27)</f>
        <v>0</v>
      </c>
      <c r="R27" s="93"/>
      <c r="S27" s="39"/>
    </row>
    <row r="28" spans="3:39" ht="18.75" customHeight="1" x14ac:dyDescent="0.45">
      <c r="C28" s="197" t="s">
        <v>145</v>
      </c>
      <c r="D28" s="320">
        <f>Param_General!$S$87</f>
        <v>0</v>
      </c>
      <c r="E28" s="320">
        <f>Param_General!$T$87</f>
        <v>0</v>
      </c>
      <c r="F28" s="496">
        <f>Param_General!$V$87</f>
        <v>0</v>
      </c>
      <c r="G28" s="496"/>
      <c r="H28" s="320">
        <f>Param_General!$Z$87</f>
        <v>0</v>
      </c>
      <c r="I28" s="320">
        <f>SUM(D28:H28)</f>
        <v>0</v>
      </c>
      <c r="K28" s="197" t="s">
        <v>145</v>
      </c>
      <c r="L28" s="320">
        <f>Param_General!$S$88</f>
        <v>0</v>
      </c>
      <c r="M28" s="320">
        <f>Param_General!$T$88</f>
        <v>0</v>
      </c>
      <c r="N28" s="296">
        <f>Param_General!$V$88</f>
        <v>0</v>
      </c>
      <c r="O28" s="320">
        <f>Param_General!$Z$88</f>
        <v>0</v>
      </c>
      <c r="P28" s="320">
        <f>SUM(L28:O28)</f>
        <v>0</v>
      </c>
      <c r="R28" s="93"/>
      <c r="S28" s="39"/>
    </row>
    <row r="29" spans="3:39" ht="18.75" customHeight="1" x14ac:dyDescent="0.45">
      <c r="C29" s="197" t="s">
        <v>141</v>
      </c>
      <c r="D29" s="320">
        <f>Param_General!$AA$87</f>
        <v>0</v>
      </c>
      <c r="E29" s="320">
        <f>Param_General!$AC$87</f>
        <v>0</v>
      </c>
      <c r="F29" s="496">
        <f>Param_General!$AE$87</f>
        <v>0</v>
      </c>
      <c r="G29" s="496"/>
      <c r="H29" s="320">
        <f>Param_General!$AH$87</f>
        <v>0</v>
      </c>
      <c r="I29" s="320">
        <f>SUM(D29:H29)</f>
        <v>0</v>
      </c>
      <c r="K29" s="197" t="s">
        <v>141</v>
      </c>
      <c r="L29" s="320">
        <f>Param_General!$AA$88</f>
        <v>0</v>
      </c>
      <c r="M29" s="320">
        <f>Param_General!$AC$88</f>
        <v>0</v>
      </c>
      <c r="N29" s="296">
        <f>Param_General!$AE$88</f>
        <v>0</v>
      </c>
      <c r="O29" s="320">
        <f>Param_General!$AH$88</f>
        <v>0</v>
      </c>
      <c r="P29" s="320">
        <f>SUM(L29:O29)</f>
        <v>0</v>
      </c>
      <c r="R29" s="93"/>
    </row>
    <row r="30" spans="3:39" ht="18.5" x14ac:dyDescent="0.45">
      <c r="C30" s="197" t="s">
        <v>143</v>
      </c>
      <c r="D30" s="320">
        <f>Param_General!$H$87</f>
        <v>0</v>
      </c>
      <c r="E30" s="320">
        <f>Param_General!$I$87</f>
        <v>0</v>
      </c>
      <c r="F30" s="496">
        <f>Param_General!$K$87</f>
        <v>0</v>
      </c>
      <c r="G30" s="496"/>
      <c r="H30" s="320">
        <f>Param_General!$L$87</f>
        <v>0</v>
      </c>
      <c r="I30" s="320">
        <f>SUM(D30:H30)</f>
        <v>0</v>
      </c>
      <c r="K30" s="197" t="s">
        <v>143</v>
      </c>
      <c r="L30" s="320">
        <f>Param_General!$H$88</f>
        <v>0</v>
      </c>
      <c r="M30" s="320">
        <f>Param_General!$I$88</f>
        <v>0</v>
      </c>
      <c r="N30" s="296">
        <f>Param_General!$K$88</f>
        <v>0</v>
      </c>
      <c r="O30" s="320">
        <f>Param_General!$L$88</f>
        <v>0</v>
      </c>
      <c r="P30" s="320">
        <f>SUM(L30:O30)</f>
        <v>0</v>
      </c>
      <c r="R30" s="93"/>
      <c r="AA30" s="96"/>
    </row>
    <row r="31" spans="3:39" ht="18.5" x14ac:dyDescent="0.45">
      <c r="C31" s="197" t="s">
        <v>146</v>
      </c>
      <c r="D31" s="320">
        <f>Param_General!$M$87</f>
        <v>0</v>
      </c>
      <c r="E31" s="320">
        <f>Param_General!$O$87</f>
        <v>0</v>
      </c>
      <c r="F31" s="496">
        <f>Param_General!$P$87</f>
        <v>0</v>
      </c>
      <c r="G31" s="496"/>
      <c r="H31" s="320">
        <f>Param_General!$Q$87</f>
        <v>0</v>
      </c>
      <c r="I31" s="320">
        <f>SUM(D31:H31)</f>
        <v>0</v>
      </c>
      <c r="K31" s="197" t="s">
        <v>146</v>
      </c>
      <c r="L31" s="320">
        <f>Param_General!$M$88</f>
        <v>0</v>
      </c>
      <c r="M31" s="320">
        <f>Param_General!$O$88</f>
        <v>0</v>
      </c>
      <c r="N31" s="296">
        <f>Param_General!$P$88</f>
        <v>0</v>
      </c>
      <c r="O31" s="320">
        <f>Param_General!$Q$88</f>
        <v>0</v>
      </c>
      <c r="P31" s="320">
        <f>SUM(L31:O31)</f>
        <v>0</v>
      </c>
      <c r="R31" s="93"/>
      <c r="Z31" s="137"/>
    </row>
    <row r="32" spans="3:39" ht="19.5" customHeight="1" x14ac:dyDescent="0.45">
      <c r="C32" s="325" t="s">
        <v>684</v>
      </c>
      <c r="D32" s="320">
        <f>SUM(D27:D31)</f>
        <v>0</v>
      </c>
      <c r="E32" s="320">
        <f>SUM(E27:E31)</f>
        <v>0</v>
      </c>
      <c r="F32" s="496">
        <f>SUM(F27:G31)</f>
        <v>0</v>
      </c>
      <c r="G32" s="496"/>
      <c r="H32" s="320">
        <f>SUM(H27:H31)</f>
        <v>0</v>
      </c>
      <c r="I32" s="198">
        <f>SUM(I27:I31)</f>
        <v>0</v>
      </c>
      <c r="K32" s="325" t="s">
        <v>684</v>
      </c>
      <c r="L32" s="296">
        <f>SUM(L27:L31)</f>
        <v>0</v>
      </c>
      <c r="M32" s="296">
        <f>SUM(M27:M31)</f>
        <v>0</v>
      </c>
      <c r="N32" s="296">
        <f>SUM(N27:N31)</f>
        <v>0</v>
      </c>
      <c r="O32" s="296">
        <f>SUM(O27:O31)</f>
        <v>0</v>
      </c>
      <c r="P32" s="199">
        <f>SUM(P27:P31)</f>
        <v>0</v>
      </c>
      <c r="R32" s="93"/>
    </row>
    <row r="33" spans="3:43" ht="24" customHeight="1" x14ac:dyDescent="0.45">
      <c r="C33" s="40"/>
      <c r="D33" s="40"/>
      <c r="E33" s="40"/>
      <c r="F33" s="40"/>
      <c r="G33" s="40"/>
      <c r="H33" s="40"/>
      <c r="I33" s="40"/>
      <c r="J33" s="40"/>
      <c r="K33" s="40"/>
      <c r="L33" s="40"/>
      <c r="M33" s="40"/>
      <c r="N33" s="40"/>
      <c r="O33" s="40"/>
      <c r="P33" s="40"/>
      <c r="R33" s="93"/>
    </row>
    <row r="34" spans="3:43" ht="18.5" x14ac:dyDescent="0.45">
      <c r="C34" s="491" t="str">
        <f>CONCATENATE("Incidentes aplicables Proveedor  3 - ",Planeación!H12)</f>
        <v>Incidentes aplicables Proveedor  3 - Proveedor 3x</v>
      </c>
      <c r="D34" s="491"/>
      <c r="E34" s="491"/>
      <c r="F34" s="491"/>
      <c r="G34" s="491"/>
      <c r="H34" s="491"/>
      <c r="I34" s="511"/>
      <c r="J34" s="40"/>
      <c r="K34" s="491" t="str">
        <f>CONCATENATE("Incidentes aplicables Proveedor  4 - ",Planeación!K12)</f>
        <v>Incidentes aplicables Proveedor  4 - 0</v>
      </c>
      <c r="L34" s="491"/>
      <c r="M34" s="491"/>
      <c r="N34" s="491"/>
      <c r="O34" s="491"/>
      <c r="P34" s="511"/>
      <c r="R34" s="93"/>
    </row>
    <row r="35" spans="3:43" ht="18.5" x14ac:dyDescent="0.45">
      <c r="C35" s="195" t="s">
        <v>715</v>
      </c>
      <c r="D35" s="325" t="s">
        <v>221</v>
      </c>
      <c r="E35" s="325" t="s">
        <v>22</v>
      </c>
      <c r="F35" s="504" t="s">
        <v>21</v>
      </c>
      <c r="G35" s="504"/>
      <c r="H35" s="325" t="s">
        <v>20</v>
      </c>
      <c r="I35" s="325" t="s">
        <v>684</v>
      </c>
      <c r="J35" s="40"/>
      <c r="K35" s="195" t="s">
        <v>715</v>
      </c>
      <c r="L35" s="325" t="s">
        <v>221</v>
      </c>
      <c r="M35" s="325" t="s">
        <v>22</v>
      </c>
      <c r="N35" s="325" t="s">
        <v>21</v>
      </c>
      <c r="O35" s="325" t="s">
        <v>20</v>
      </c>
      <c r="P35" s="325" t="s">
        <v>684</v>
      </c>
      <c r="R35" s="93"/>
    </row>
    <row r="36" spans="3:43" ht="18.5" x14ac:dyDescent="0.45">
      <c r="C36" s="196" t="s">
        <v>144</v>
      </c>
      <c r="D36" s="320">
        <f>Param_General!$C$89</f>
        <v>0</v>
      </c>
      <c r="E36" s="297">
        <f>Param_General!$D$89</f>
        <v>0</v>
      </c>
      <c r="F36" s="496">
        <f>Param_General!$F$89</f>
        <v>0</v>
      </c>
      <c r="G36" s="496"/>
      <c r="H36" s="320">
        <f>Param_General!$G$89</f>
        <v>0</v>
      </c>
      <c r="I36" s="320">
        <f>SUM(D36:H36)</f>
        <v>0</v>
      </c>
      <c r="J36" s="40"/>
      <c r="K36" s="196" t="s">
        <v>144</v>
      </c>
      <c r="L36" s="320">
        <f>Param_General!$C$90</f>
        <v>0</v>
      </c>
      <c r="M36" s="297">
        <f>Param_General!$D$90</f>
        <v>0</v>
      </c>
      <c r="N36" s="296">
        <f>Param_General!$F$90</f>
        <v>0</v>
      </c>
      <c r="O36" s="320">
        <f>Param_General!$G$90</f>
        <v>0</v>
      </c>
      <c r="P36" s="320">
        <f>SUM(L36:O36)</f>
        <v>0</v>
      </c>
      <c r="R36" s="93"/>
    </row>
    <row r="37" spans="3:43" ht="18.5" x14ac:dyDescent="0.45">
      <c r="C37" s="197" t="s">
        <v>145</v>
      </c>
      <c r="D37" s="320">
        <f>Param_General!$S$89</f>
        <v>0</v>
      </c>
      <c r="E37" s="320">
        <f>Param_General!$T$89</f>
        <v>0</v>
      </c>
      <c r="F37" s="496">
        <f>Param_General!$V$89</f>
        <v>0</v>
      </c>
      <c r="G37" s="496"/>
      <c r="H37" s="320">
        <f>Param_General!$Z$89</f>
        <v>0</v>
      </c>
      <c r="I37" s="320">
        <f t="shared" ref="I37:I38" si="9">SUM(D37:H37)</f>
        <v>0</v>
      </c>
      <c r="J37" s="40"/>
      <c r="K37" s="197" t="s">
        <v>145</v>
      </c>
      <c r="L37" s="320">
        <f>Param_General!$S$90</f>
        <v>0</v>
      </c>
      <c r="M37" s="320">
        <f>Param_General!$T$90</f>
        <v>0</v>
      </c>
      <c r="N37" s="296">
        <f>Param_General!$V$90</f>
        <v>0</v>
      </c>
      <c r="O37" s="320">
        <f>Param_General!$Z$90</f>
        <v>0</v>
      </c>
      <c r="P37" s="320">
        <f t="shared" ref="P37:P40" si="10">SUM(L37:O37)</f>
        <v>0</v>
      </c>
      <c r="R37" s="93"/>
    </row>
    <row r="38" spans="3:43" ht="18.5" x14ac:dyDescent="0.45">
      <c r="C38" s="197" t="s">
        <v>141</v>
      </c>
      <c r="D38" s="320">
        <f>Param_General!$AA$89</f>
        <v>0</v>
      </c>
      <c r="E38" s="320">
        <f>Param_General!$AC$89</f>
        <v>0</v>
      </c>
      <c r="F38" s="496">
        <f>Param_General!$AE$89</f>
        <v>0</v>
      </c>
      <c r="G38" s="496"/>
      <c r="H38" s="320">
        <f>Param_General!$AH$89</f>
        <v>0</v>
      </c>
      <c r="I38" s="320">
        <f t="shared" si="9"/>
        <v>0</v>
      </c>
      <c r="J38" s="40"/>
      <c r="K38" s="197" t="s">
        <v>141</v>
      </c>
      <c r="L38" s="320">
        <f>Param_General!$AA$90</f>
        <v>0</v>
      </c>
      <c r="M38" s="320">
        <f>Param_General!$AC$90</f>
        <v>0</v>
      </c>
      <c r="N38" s="296">
        <f>Param_General!$AE$90</f>
        <v>0</v>
      </c>
      <c r="O38" s="320">
        <f>Param_General!$AH$90</f>
        <v>0</v>
      </c>
      <c r="P38" s="320">
        <f t="shared" si="10"/>
        <v>0</v>
      </c>
      <c r="R38" s="93"/>
    </row>
    <row r="39" spans="3:43" ht="18.5" x14ac:dyDescent="0.45">
      <c r="C39" s="197" t="s">
        <v>143</v>
      </c>
      <c r="D39" s="320">
        <f>Param_General!$H$89</f>
        <v>0</v>
      </c>
      <c r="E39" s="320">
        <f>Param_General!$I$89</f>
        <v>0</v>
      </c>
      <c r="F39" s="496">
        <f>Param_General!$K$89</f>
        <v>0</v>
      </c>
      <c r="G39" s="496"/>
      <c r="H39" s="320">
        <f>Param_General!$L$89</f>
        <v>0</v>
      </c>
      <c r="I39" s="320">
        <f>SUM(D39:H39)</f>
        <v>0</v>
      </c>
      <c r="J39" s="40"/>
      <c r="K39" s="197" t="s">
        <v>143</v>
      </c>
      <c r="L39" s="320">
        <f>Param_General!$H$90</f>
        <v>0</v>
      </c>
      <c r="M39" s="320">
        <f>Param_General!$I$90</f>
        <v>0</v>
      </c>
      <c r="N39" s="296">
        <f>Param_General!$K$90</f>
        <v>0</v>
      </c>
      <c r="O39" s="320">
        <f>Param_General!$L$90</f>
        <v>0</v>
      </c>
      <c r="P39" s="320">
        <f t="shared" si="10"/>
        <v>0</v>
      </c>
      <c r="R39" s="93"/>
    </row>
    <row r="40" spans="3:43" ht="18.5" x14ac:dyDescent="0.45">
      <c r="C40" s="197" t="s">
        <v>146</v>
      </c>
      <c r="D40" s="320">
        <f>Param_General!$M$89</f>
        <v>0</v>
      </c>
      <c r="E40" s="320">
        <f>Param_General!$O$89</f>
        <v>0</v>
      </c>
      <c r="F40" s="496">
        <f>Param_General!$P$89</f>
        <v>0</v>
      </c>
      <c r="G40" s="496"/>
      <c r="H40" s="320">
        <f>Param_General!$Q$89</f>
        <v>0</v>
      </c>
      <c r="I40" s="320">
        <f>SUM(D40:H40)</f>
        <v>0</v>
      </c>
      <c r="J40" s="40"/>
      <c r="K40" s="197" t="s">
        <v>146</v>
      </c>
      <c r="L40" s="320">
        <f>Param_General!$M$90</f>
        <v>0</v>
      </c>
      <c r="M40" s="320">
        <f>Param_General!$O$90</f>
        <v>0</v>
      </c>
      <c r="N40" s="296">
        <f>Param_General!$P$90</f>
        <v>0</v>
      </c>
      <c r="O40" s="320">
        <f>Param_General!$Q$90</f>
        <v>0</v>
      </c>
      <c r="P40" s="320">
        <f t="shared" si="10"/>
        <v>0</v>
      </c>
      <c r="R40" s="93"/>
      <c r="T40" s="512"/>
      <c r="U40" s="512"/>
      <c r="V40" s="512"/>
      <c r="W40" s="512"/>
      <c r="X40" s="512"/>
      <c r="Y40" s="512"/>
      <c r="Z40" s="512"/>
      <c r="AA40" s="512"/>
      <c r="AB40" s="512"/>
      <c r="AC40" s="512"/>
      <c r="AD40" s="512"/>
      <c r="AE40" s="512"/>
      <c r="AF40" s="512"/>
      <c r="AG40" s="512"/>
      <c r="AH40" s="512"/>
    </row>
    <row r="41" spans="3:43" ht="18.5" x14ac:dyDescent="0.45">
      <c r="C41" s="325" t="s">
        <v>684</v>
      </c>
      <c r="D41" s="320">
        <f>SUM(D36:D40)</f>
        <v>0</v>
      </c>
      <c r="E41" s="320">
        <f>SUM(E36:E40)</f>
        <v>0</v>
      </c>
      <c r="F41" s="496">
        <f>SUM(F36:G40)</f>
        <v>0</v>
      </c>
      <c r="G41" s="496"/>
      <c r="H41" s="320">
        <f>SUM(H36:H40)</f>
        <v>0</v>
      </c>
      <c r="I41" s="198">
        <f>SUM(I36:I40)</f>
        <v>0</v>
      </c>
      <c r="J41" s="40"/>
      <c r="K41" s="325" t="s">
        <v>684</v>
      </c>
      <c r="L41" s="296">
        <f>SUM(L36:L40)</f>
        <v>0</v>
      </c>
      <c r="M41" s="296">
        <f>SUM(M36:M40)</f>
        <v>0</v>
      </c>
      <c r="N41" s="296">
        <f>SUM(N36:N40)</f>
        <v>0</v>
      </c>
      <c r="O41" s="296">
        <f>SUM(O36:O40)</f>
        <v>0</v>
      </c>
      <c r="P41" s="199">
        <f>SUM(P36:P40)</f>
        <v>0</v>
      </c>
      <c r="R41" s="93"/>
      <c r="AN41" s="96"/>
      <c r="AO41" s="96"/>
      <c r="AP41" s="96"/>
      <c r="AQ41" s="96"/>
    </row>
    <row r="44" spans="3:43" ht="18.75" customHeight="1" x14ac:dyDescent="0.35"/>
    <row r="51" spans="20:43" ht="17.25" customHeight="1" x14ac:dyDescent="0.35"/>
    <row r="52" spans="20:43" ht="17.25" customHeight="1" x14ac:dyDescent="0.35"/>
    <row r="53" spans="20:43" ht="17.25" customHeight="1" x14ac:dyDescent="0.35"/>
    <row r="54" spans="20:43" ht="17.25" customHeight="1" x14ac:dyDescent="0.35">
      <c r="T54" s="326"/>
      <c r="U54" s="326"/>
      <c r="V54" s="326"/>
      <c r="W54" s="326"/>
      <c r="X54" s="326"/>
      <c r="Y54" s="326"/>
      <c r="Z54" s="326"/>
      <c r="AA54" s="326"/>
      <c r="AB54" s="326"/>
      <c r="AC54" s="326"/>
      <c r="AD54" s="326"/>
      <c r="AE54" s="326"/>
      <c r="AF54" s="326"/>
      <c r="AG54" s="326"/>
      <c r="AH54" s="326"/>
    </row>
    <row r="55" spans="20:43" ht="17.25" customHeight="1" x14ac:dyDescent="0.35"/>
    <row r="56" spans="20:43" ht="17.25" customHeight="1" x14ac:dyDescent="0.35">
      <c r="AN56" s="96"/>
      <c r="AO56" s="96"/>
      <c r="AP56" s="96"/>
      <c r="AQ56" s="96"/>
    </row>
    <row r="57" spans="20:43" ht="17.25" customHeight="1" x14ac:dyDescent="0.35"/>
    <row r="58" spans="20:43" ht="17.25" customHeight="1" x14ac:dyDescent="0.35"/>
    <row r="59" spans="20:43" ht="17.25" customHeight="1" x14ac:dyDescent="0.35"/>
    <row r="60" spans="20:43" ht="17.25" customHeight="1" x14ac:dyDescent="0.35"/>
    <row r="61" spans="20:43" ht="17.25" customHeight="1" x14ac:dyDescent="0.35"/>
    <row r="62" spans="20:43" ht="17.25" customHeight="1" x14ac:dyDescent="0.35"/>
    <row r="63" spans="20:43" ht="17.25" customHeight="1" x14ac:dyDescent="0.35"/>
    <row r="64" spans="20:43" ht="17.25" customHeight="1" x14ac:dyDescent="0.35"/>
    <row r="65" ht="17.25" customHeight="1" x14ac:dyDescent="0.35"/>
    <row r="66" ht="17.25" customHeight="1" x14ac:dyDescent="0.35"/>
    <row r="67" ht="17.25" customHeight="1" x14ac:dyDescent="0.35"/>
    <row r="68" ht="17.25" customHeight="1" x14ac:dyDescent="0.35"/>
    <row r="69" ht="17.25" customHeight="1" x14ac:dyDescent="0.35"/>
    <row r="70" ht="17.25" customHeight="1" x14ac:dyDescent="0.35"/>
    <row r="71" ht="17.25" customHeight="1" x14ac:dyDescent="0.35"/>
    <row r="72" ht="17.25" customHeight="1" x14ac:dyDescent="0.35"/>
    <row r="73" ht="17.25" customHeight="1" x14ac:dyDescent="0.35"/>
    <row r="86" spans="3:4" x14ac:dyDescent="0.35">
      <c r="C86" s="49"/>
      <c r="D86" s="49"/>
    </row>
    <row r="87" spans="3:4" x14ac:dyDescent="0.35">
      <c r="C87" s="49"/>
      <c r="D87" s="49"/>
    </row>
    <row r="88" spans="3:4" x14ac:dyDescent="0.35">
      <c r="C88" s="49"/>
      <c r="D88" s="49"/>
    </row>
    <row r="89" spans="3:4" x14ac:dyDescent="0.35">
      <c r="C89" s="49"/>
      <c r="D89" s="49"/>
    </row>
    <row r="90" spans="3:4" x14ac:dyDescent="0.35">
      <c r="C90" s="49"/>
      <c r="D90" s="49"/>
    </row>
    <row r="91" spans="3:4" x14ac:dyDescent="0.35">
      <c r="C91" s="49"/>
      <c r="D91" s="49"/>
    </row>
    <row r="92" spans="3:4" x14ac:dyDescent="0.35">
      <c r="C92" s="49"/>
      <c r="D92" s="49"/>
    </row>
    <row r="93" spans="3:4" x14ac:dyDescent="0.35">
      <c r="C93" s="49"/>
      <c r="D93" s="49"/>
    </row>
    <row r="94" spans="3:4" x14ac:dyDescent="0.35">
      <c r="C94" s="49"/>
      <c r="D94" s="49"/>
    </row>
    <row r="95" spans="3:4" x14ac:dyDescent="0.35">
      <c r="C95" s="49"/>
      <c r="D95" s="49"/>
    </row>
    <row r="96" spans="3:4" x14ac:dyDescent="0.35">
      <c r="C96" s="49"/>
      <c r="D96" s="49"/>
    </row>
    <row r="97" spans="3:4" x14ac:dyDescent="0.35">
      <c r="C97" s="49"/>
      <c r="D97" s="49"/>
    </row>
    <row r="98" spans="3:4" x14ac:dyDescent="0.35">
      <c r="C98" s="49"/>
      <c r="D98" s="49"/>
    </row>
    <row r="99" spans="3:4" x14ac:dyDescent="0.35">
      <c r="C99" s="49"/>
      <c r="D99" s="49"/>
    </row>
    <row r="100" spans="3:4" x14ac:dyDescent="0.35">
      <c r="C100" s="49"/>
      <c r="D100" s="49"/>
    </row>
    <row r="101" spans="3:4" x14ac:dyDescent="0.35">
      <c r="C101" s="49"/>
      <c r="D101" s="49"/>
    </row>
    <row r="102" spans="3:4" x14ac:dyDescent="0.35">
      <c r="C102" s="49"/>
      <c r="D102" s="49"/>
    </row>
    <row r="103" spans="3:4" x14ac:dyDescent="0.35">
      <c r="C103" s="49"/>
      <c r="D103" s="49"/>
    </row>
    <row r="104" spans="3:4" x14ac:dyDescent="0.35">
      <c r="C104" s="49"/>
      <c r="D104" s="49"/>
    </row>
    <row r="105" spans="3:4" x14ac:dyDescent="0.35">
      <c r="C105" s="49"/>
      <c r="D105" s="49"/>
    </row>
    <row r="106" spans="3:4" x14ac:dyDescent="0.35">
      <c r="C106" s="49"/>
      <c r="D106" s="49"/>
    </row>
    <row r="107" spans="3:4" x14ac:dyDescent="0.35">
      <c r="C107" s="49"/>
      <c r="D107" s="49"/>
    </row>
    <row r="108" spans="3:4" x14ac:dyDescent="0.35">
      <c r="C108" s="49"/>
      <c r="D108" s="49"/>
    </row>
    <row r="109" spans="3:4" x14ac:dyDescent="0.35">
      <c r="C109" s="49"/>
      <c r="D109" s="49"/>
    </row>
    <row r="110" spans="3:4" x14ac:dyDescent="0.35">
      <c r="C110" s="49"/>
      <c r="D110" s="49"/>
    </row>
    <row r="111" spans="3:4" x14ac:dyDescent="0.35">
      <c r="C111" s="49"/>
      <c r="D111" s="49"/>
    </row>
    <row r="112" spans="3:4" x14ac:dyDescent="0.35">
      <c r="C112" s="49"/>
      <c r="D112" s="49"/>
    </row>
    <row r="113" spans="3:4" x14ac:dyDescent="0.35">
      <c r="C113" s="49"/>
      <c r="D113" s="49"/>
    </row>
    <row r="114" spans="3:4" x14ac:dyDescent="0.35">
      <c r="C114" s="49"/>
      <c r="D114" s="49"/>
    </row>
    <row r="115" spans="3:4" x14ac:dyDescent="0.35">
      <c r="C115" s="49"/>
      <c r="D115" s="49"/>
    </row>
    <row r="116" spans="3:4" x14ac:dyDescent="0.35">
      <c r="C116" s="49"/>
      <c r="D116" s="49"/>
    </row>
    <row r="117" spans="3:4" x14ac:dyDescent="0.35">
      <c r="C117" s="49"/>
      <c r="D117" s="49"/>
    </row>
    <row r="118" spans="3:4" x14ac:dyDescent="0.35">
      <c r="C118" s="49"/>
      <c r="D118" s="49"/>
    </row>
    <row r="119" spans="3:4" x14ac:dyDescent="0.35">
      <c r="C119" s="49"/>
      <c r="D119" s="49"/>
    </row>
    <row r="120" spans="3:4" x14ac:dyDescent="0.35">
      <c r="C120" s="49"/>
      <c r="D120" s="49"/>
    </row>
    <row r="121" spans="3:4" x14ac:dyDescent="0.35">
      <c r="C121" s="49"/>
      <c r="D121" s="49"/>
    </row>
    <row r="122" spans="3:4" x14ac:dyDescent="0.35">
      <c r="C122" s="49"/>
      <c r="D122" s="49"/>
    </row>
    <row r="123" spans="3:4" x14ac:dyDescent="0.35">
      <c r="C123" s="49"/>
      <c r="D123" s="49"/>
    </row>
    <row r="124" spans="3:4" x14ac:dyDescent="0.35">
      <c r="C124" s="49"/>
      <c r="D124" s="49"/>
    </row>
  </sheetData>
  <sheetProtection algorithmName="SHA-512" hashValue="SDJAeu+PKTBfiEIFH8JgbpsJBxUHq+lCUUCGbZg9R0a7BTLwXHu+oTHTlRin9ibqZq/7Srh4RW2ykobo8SlhaA==" saltValue="OIAioM2ObcPubUEv/BT3xQ==" spinCount="100000" sheet="1" objects="1" scenarios="1" formatCells="0" formatRows="0" insertHyperlinks="0"/>
  <protectedRanges>
    <protectedRange algorithmName="SHA-512" hashValue="tljENnHwkoUNgJSQnZ/gIJ+EW2zlDdsEIerJn7rglgpvBWp1mvJnFy2hSfGWCjPWzgJzCfwp8aVpTtlZYkUkcw==" saltValue="qQKYoPurNI7PqwqQ0MXXOA==" spinCount="100000" sqref="X48:AB50 X71:AB71 T73 Y73:AB73" name="Tiempo de pruebas" securityDescriptor="O:WDG:WDD:(A;;CC;;;S-1-5-21-1366399632-701985892-3742940101-16423)"/>
    <protectedRange algorithmName="SHA-512" hashValue="HiKybjsejUrWaT5KNwcRkMxYnC2z53ERXkbjmGtw5neGAjMHremNIdPYmJY7yjU0wqJsKZJG9mhpKd7j7qrtbg==" saltValue="lSPO6bGhuEbN7rYtR1O5pA==" spinCount="100000" sqref="J74:J77" name="Tiempo de pruebas_1" securityDescriptor="O:WDG:WDD:(A;;CC;;;S-1-5-21-1366399632-701985892-3742940101-16423)"/>
  </protectedRanges>
  <mergeCells count="116">
    <mergeCell ref="AH23:AJ23"/>
    <mergeCell ref="AK23:AL23"/>
    <mergeCell ref="AH19:AJ19"/>
    <mergeCell ref="AK19:AL19"/>
    <mergeCell ref="AH20:AJ20"/>
    <mergeCell ref="AK20:AL20"/>
    <mergeCell ref="AH21:AJ21"/>
    <mergeCell ref="AK21:AL21"/>
    <mergeCell ref="AH22:AJ22"/>
    <mergeCell ref="AK22:AL22"/>
    <mergeCell ref="Z26:AG26"/>
    <mergeCell ref="F36:G36"/>
    <mergeCell ref="F37:G37"/>
    <mergeCell ref="F38:G38"/>
    <mergeCell ref="F39:G39"/>
    <mergeCell ref="F40:G40"/>
    <mergeCell ref="T40:Y40"/>
    <mergeCell ref="Z40:AH40"/>
    <mergeCell ref="F41:G41"/>
    <mergeCell ref="F35:G35"/>
    <mergeCell ref="F26:G26"/>
    <mergeCell ref="F27:G27"/>
    <mergeCell ref="F28:G28"/>
    <mergeCell ref="F29:G29"/>
    <mergeCell ref="T25:AM25"/>
    <mergeCell ref="C17:G17"/>
    <mergeCell ref="C15:P15"/>
    <mergeCell ref="C25:I25"/>
    <mergeCell ref="K25:P25"/>
    <mergeCell ref="K34:P34"/>
    <mergeCell ref="C34:I34"/>
    <mergeCell ref="F30:G30"/>
    <mergeCell ref="F31:G31"/>
    <mergeCell ref="F32:G32"/>
    <mergeCell ref="C19:G19"/>
    <mergeCell ref="C20:G20"/>
    <mergeCell ref="C18:G18"/>
    <mergeCell ref="T23:X23"/>
    <mergeCell ref="Y23:Z23"/>
    <mergeCell ref="AB23:AD23"/>
    <mergeCell ref="T26:Y26"/>
    <mergeCell ref="AI26:AM26"/>
    <mergeCell ref="AE23:AG23"/>
    <mergeCell ref="T22:X22"/>
    <mergeCell ref="Y22:Z22"/>
    <mergeCell ref="AB22:AD22"/>
    <mergeCell ref="AE22:AG22"/>
    <mergeCell ref="AE20:AG20"/>
    <mergeCell ref="T21:X21"/>
    <mergeCell ref="Y21:Z21"/>
    <mergeCell ref="AB21:AD21"/>
    <mergeCell ref="AE21:AG21"/>
    <mergeCell ref="Y19:Z19"/>
    <mergeCell ref="E21:G21"/>
    <mergeCell ref="C23:P23"/>
    <mergeCell ref="C16:G16"/>
    <mergeCell ref="L10:L11"/>
    <mergeCell ref="M10:M11"/>
    <mergeCell ref="C12:C13"/>
    <mergeCell ref="D12:D13"/>
    <mergeCell ref="E12:E13"/>
    <mergeCell ref="F12:F13"/>
    <mergeCell ref="I12:I13"/>
    <mergeCell ref="J12:J13"/>
    <mergeCell ref="K12:K13"/>
    <mergeCell ref="C10:C11"/>
    <mergeCell ref="D10:D11"/>
    <mergeCell ref="E10:E11"/>
    <mergeCell ref="F10:F11"/>
    <mergeCell ref="I10:I11"/>
    <mergeCell ref="J10:J11"/>
    <mergeCell ref="K10:K11"/>
    <mergeCell ref="T20:X20"/>
    <mergeCell ref="Y20:Z20"/>
    <mergeCell ref="AB20:AD20"/>
    <mergeCell ref="Y15:Z15"/>
    <mergeCell ref="AC15:AD15"/>
    <mergeCell ref="T10:AM10"/>
    <mergeCell ref="T11:T12"/>
    <mergeCell ref="U11:U12"/>
    <mergeCell ref="V11:X11"/>
    <mergeCell ref="Y11:Z12"/>
    <mergeCell ref="AA11:AA12"/>
    <mergeCell ref="AB11:AB12"/>
    <mergeCell ref="AH15:AI15"/>
    <mergeCell ref="Y16:Z16"/>
    <mergeCell ref="AC16:AD16"/>
    <mergeCell ref="AH16:AI16"/>
    <mergeCell ref="Y14:Z14"/>
    <mergeCell ref="AC14:AD14"/>
    <mergeCell ref="AH14:AI14"/>
    <mergeCell ref="Y13:Z13"/>
    <mergeCell ref="AC13:AD13"/>
    <mergeCell ref="T19:X19"/>
    <mergeCell ref="AB19:AD19"/>
    <mergeCell ref="AE19:AG19"/>
    <mergeCell ref="C1:D2"/>
    <mergeCell ref="E1:AJ1"/>
    <mergeCell ref="AK1:AM2"/>
    <mergeCell ref="E2:AJ2"/>
    <mergeCell ref="C3:C4"/>
    <mergeCell ref="T5:AM5"/>
    <mergeCell ref="C5:P5"/>
    <mergeCell ref="AC12:AD12"/>
    <mergeCell ref="L12:L13"/>
    <mergeCell ref="M12:M13"/>
    <mergeCell ref="AC11:AG11"/>
    <mergeCell ref="AH11:AI12"/>
    <mergeCell ref="AJ11:AJ12"/>
    <mergeCell ref="AK11:AK12"/>
    <mergeCell ref="AL11:AL12"/>
    <mergeCell ref="AM11:AM12"/>
    <mergeCell ref="AH13:AI13"/>
    <mergeCell ref="C9:M9"/>
    <mergeCell ref="G10:H11"/>
    <mergeCell ref="G12:H13"/>
  </mergeCells>
  <conditionalFormatting sqref="AJ13:AJ16">
    <cfRule type="cellIs" dxfId="71" priority="4" operator="between">
      <formula>0.61</formula>
      <formula>0.74</formula>
    </cfRule>
    <cfRule type="cellIs" dxfId="70" priority="5" operator="greaterThanOrEqual">
      <formula>0.75</formula>
    </cfRule>
    <cfRule type="cellIs" dxfId="69" priority="6" operator="lessThanOrEqual">
      <formula>0.6</formula>
    </cfRule>
  </conditionalFormatting>
  <conditionalFormatting sqref="AL13:AL16">
    <cfRule type="cellIs" dxfId="68" priority="1" operator="between">
      <formula>0.3</formula>
      <formula>0.4</formula>
    </cfRule>
    <cfRule type="cellIs" dxfId="67" priority="2" operator="lessThanOrEqual">
      <formula>0.2</formula>
    </cfRule>
    <cfRule type="cellIs" dxfId="66" priority="3" operator="greaterThanOrEqual">
      <formula>0.5</formula>
    </cfRule>
  </conditionalFormatting>
  <dataValidations disablePrompts="1" count="1">
    <dataValidation allowBlank="1" showDropDown="1" showInputMessage="1" showErrorMessage="1" sqref="T13:T16"/>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Param_General!$AD$5:$AD$6</xm:f>
          </x14:formula1>
          <xm:sqref>P22 P24</xm:sqref>
        </x14:dataValidation>
        <x14:dataValidation type="list" allowBlank="1" showInputMessage="1" showErrorMessage="1">
          <x14:formula1>
            <xm:f>Param_General!$BE$4:$BE$30</xm:f>
          </x14:formula1>
          <xm:sqref>D7:D8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2:AD74"/>
  <sheetViews>
    <sheetView workbookViewId="0">
      <selection activeCell="B8" sqref="B8:H8"/>
    </sheetView>
  </sheetViews>
  <sheetFormatPr defaultColWidth="11.453125" defaultRowHeight="14.5" x14ac:dyDescent="0.35"/>
  <cols>
    <col min="1" max="1" width="5" style="47" customWidth="1"/>
    <col min="2" max="2" width="18.6328125" style="47" customWidth="1"/>
    <col min="3" max="3" width="14" style="47" customWidth="1"/>
    <col min="4" max="4" width="18.6328125" style="47" customWidth="1"/>
    <col min="5" max="5" width="14" style="47" customWidth="1"/>
    <col min="6" max="6" width="14.6328125" style="47" customWidth="1"/>
    <col min="7" max="7" width="9.6328125" style="47" customWidth="1"/>
    <col min="8" max="8" width="9.54296875" style="47" customWidth="1"/>
    <col min="9" max="16384" width="11.453125" style="47"/>
  </cols>
  <sheetData>
    <row r="2" spans="2:30" ht="36.75" customHeight="1" x14ac:dyDescent="0.35">
      <c r="B2" s="521"/>
      <c r="C2" s="522" t="str">
        <f>Planeación!D1</f>
        <v>VERIFICACIÓN Y VALIDACIÓN</v>
      </c>
      <c r="D2" s="522"/>
      <c r="E2" s="522"/>
      <c r="F2" s="522"/>
      <c r="G2" s="523" t="str">
        <f>Planeación!K1</f>
        <v>Versión: 10
Fecha de emisión:  21/03/2018
Código: F-TAI-010-001</v>
      </c>
      <c r="H2" s="523"/>
    </row>
    <row r="3" spans="2:30" ht="23.25" customHeight="1" x14ac:dyDescent="0.35">
      <c r="B3" s="521"/>
      <c r="C3" s="522" t="str">
        <f>Planeación!D2</f>
        <v>FORMATO: Prueba interna</v>
      </c>
      <c r="D3" s="522"/>
      <c r="E3" s="522"/>
      <c r="F3" s="522"/>
      <c r="G3" s="523"/>
      <c r="H3" s="523"/>
    </row>
    <row r="4" spans="2:30" x14ac:dyDescent="0.35">
      <c r="B4" s="527" t="s">
        <v>5</v>
      </c>
    </row>
    <row r="5" spans="2:30" ht="20.25" customHeight="1" x14ac:dyDescent="0.35">
      <c r="B5" s="527"/>
    </row>
    <row r="6" spans="2:30" s="49" customFormat="1" ht="18" customHeight="1" x14ac:dyDescent="0.65">
      <c r="B6" s="524" t="s">
        <v>128</v>
      </c>
      <c r="C6" s="525"/>
      <c r="D6" s="525"/>
      <c r="E6" s="525"/>
      <c r="F6" s="525"/>
      <c r="G6" s="525"/>
      <c r="H6" s="526"/>
      <c r="I6" s="48"/>
      <c r="J6" s="48"/>
      <c r="K6" s="48"/>
      <c r="L6" s="48"/>
      <c r="M6" s="48"/>
      <c r="N6" s="48"/>
      <c r="O6" s="48"/>
      <c r="P6" s="48"/>
      <c r="Q6" s="48"/>
      <c r="R6" s="48"/>
      <c r="S6" s="48"/>
      <c r="T6" s="48"/>
      <c r="U6" s="48"/>
      <c r="V6" s="48"/>
      <c r="W6" s="48"/>
      <c r="X6" s="48"/>
      <c r="Y6" s="48"/>
      <c r="Z6" s="48"/>
    </row>
    <row r="7" spans="2:30" ht="13.5" customHeight="1" x14ac:dyDescent="0.35">
      <c r="B7" s="520" t="s">
        <v>161</v>
      </c>
      <c r="C7" s="520"/>
      <c r="D7" s="520"/>
      <c r="E7" s="520"/>
      <c r="F7" s="520"/>
      <c r="G7" s="520"/>
      <c r="H7" s="520"/>
      <c r="AD7" s="50"/>
    </row>
    <row r="8" spans="2:30" ht="48" customHeight="1" x14ac:dyDescent="0.35">
      <c r="B8" s="517" t="s">
        <v>736</v>
      </c>
      <c r="C8" s="518"/>
      <c r="D8" s="518"/>
      <c r="E8" s="518"/>
      <c r="F8" s="518"/>
      <c r="G8" s="518"/>
      <c r="H8" s="519"/>
    </row>
    <row r="9" spans="2:30" x14ac:dyDescent="0.35">
      <c r="B9" s="51"/>
    </row>
    <row r="10" spans="2:30" x14ac:dyDescent="0.35">
      <c r="B10" s="51"/>
    </row>
    <row r="11" spans="2:30" x14ac:dyDescent="0.35">
      <c r="B11" s="51"/>
    </row>
    <row r="12" spans="2:30" x14ac:dyDescent="0.35">
      <c r="B12" s="51"/>
    </row>
    <row r="13" spans="2:30" x14ac:dyDescent="0.35">
      <c r="B13" s="51"/>
    </row>
    <row r="14" spans="2:30" x14ac:dyDescent="0.35">
      <c r="B14" s="51"/>
    </row>
    <row r="15" spans="2:30" x14ac:dyDescent="0.35">
      <c r="B15" s="51"/>
    </row>
    <row r="16" spans="2:30" x14ac:dyDescent="0.35">
      <c r="B16" s="51"/>
    </row>
    <row r="17" spans="2:2" x14ac:dyDescent="0.35">
      <c r="B17" s="51"/>
    </row>
    <row r="18" spans="2:2" x14ac:dyDescent="0.35">
      <c r="B18" s="51"/>
    </row>
    <row r="19" spans="2:2" x14ac:dyDescent="0.35">
      <c r="B19" s="51"/>
    </row>
    <row r="20" spans="2:2" x14ac:dyDescent="0.35">
      <c r="B20" s="51"/>
    </row>
    <row r="21" spans="2:2" x14ac:dyDescent="0.35">
      <c r="B21" s="51"/>
    </row>
    <row r="22" spans="2:2" x14ac:dyDescent="0.35">
      <c r="B22" s="51"/>
    </row>
    <row r="23" spans="2:2" x14ac:dyDescent="0.35">
      <c r="B23" s="51"/>
    </row>
    <row r="24" spans="2:2" x14ac:dyDescent="0.35">
      <c r="B24" s="51"/>
    </row>
    <row r="25" spans="2:2" x14ac:dyDescent="0.35">
      <c r="B25" s="51"/>
    </row>
    <row r="26" spans="2:2" x14ac:dyDescent="0.35">
      <c r="B26" s="51"/>
    </row>
    <row r="27" spans="2:2" x14ac:dyDescent="0.35">
      <c r="B27" s="51"/>
    </row>
    <row r="28" spans="2:2" x14ac:dyDescent="0.35">
      <c r="B28" s="51"/>
    </row>
    <row r="29" spans="2:2" x14ac:dyDescent="0.35">
      <c r="B29" s="51"/>
    </row>
    <row r="30" spans="2:2" x14ac:dyDescent="0.35">
      <c r="B30" s="51"/>
    </row>
    <row r="31" spans="2:2" x14ac:dyDescent="0.35">
      <c r="B31" s="51"/>
    </row>
    <row r="32" spans="2:2" x14ac:dyDescent="0.35">
      <c r="B32" s="51"/>
    </row>
    <row r="33" spans="2:2" x14ac:dyDescent="0.35">
      <c r="B33" s="51"/>
    </row>
    <row r="34" spans="2:2" x14ac:dyDescent="0.35">
      <c r="B34" s="51"/>
    </row>
    <row r="35" spans="2:2" x14ac:dyDescent="0.35">
      <c r="B35" s="51"/>
    </row>
    <row r="36" spans="2:2" x14ac:dyDescent="0.35">
      <c r="B36" s="51"/>
    </row>
    <row r="37" spans="2:2" x14ac:dyDescent="0.35">
      <c r="B37" s="51"/>
    </row>
    <row r="38" spans="2:2" x14ac:dyDescent="0.35">
      <c r="B38" s="51"/>
    </row>
    <row r="39" spans="2:2" x14ac:dyDescent="0.35">
      <c r="B39" s="51"/>
    </row>
    <row r="40" spans="2:2" x14ac:dyDescent="0.35">
      <c r="B40" s="51"/>
    </row>
    <row r="41" spans="2:2" x14ac:dyDescent="0.35">
      <c r="B41" s="51"/>
    </row>
    <row r="42" spans="2:2" x14ac:dyDescent="0.35">
      <c r="B42" s="51"/>
    </row>
    <row r="43" spans="2:2" x14ac:dyDescent="0.35">
      <c r="B43" s="51"/>
    </row>
    <row r="44" spans="2:2" x14ac:dyDescent="0.35">
      <c r="B44" s="51"/>
    </row>
    <row r="45" spans="2:2" x14ac:dyDescent="0.35">
      <c r="B45" s="51"/>
    </row>
    <row r="46" spans="2:2" x14ac:dyDescent="0.35">
      <c r="B46" s="51"/>
    </row>
    <row r="47" spans="2:2" x14ac:dyDescent="0.35">
      <c r="B47" s="51"/>
    </row>
    <row r="48" spans="2:2" x14ac:dyDescent="0.35">
      <c r="B48" s="51"/>
    </row>
    <row r="49" spans="2:2" x14ac:dyDescent="0.35">
      <c r="B49" s="51"/>
    </row>
    <row r="50" spans="2:2" x14ac:dyDescent="0.35">
      <c r="B50" s="51"/>
    </row>
    <row r="51" spans="2:2" x14ac:dyDescent="0.35">
      <c r="B51" s="51"/>
    </row>
    <row r="52" spans="2:2" x14ac:dyDescent="0.35">
      <c r="B52" s="51"/>
    </row>
    <row r="53" spans="2:2" x14ac:dyDescent="0.35">
      <c r="B53" s="51"/>
    </row>
    <row r="54" spans="2:2" x14ac:dyDescent="0.35">
      <c r="B54" s="51"/>
    </row>
    <row r="55" spans="2:2" x14ac:dyDescent="0.35">
      <c r="B55" s="51"/>
    </row>
    <row r="56" spans="2:2" x14ac:dyDescent="0.35">
      <c r="B56" s="51"/>
    </row>
    <row r="57" spans="2:2" x14ac:dyDescent="0.35">
      <c r="B57" s="51"/>
    </row>
    <row r="58" spans="2:2" x14ac:dyDescent="0.35">
      <c r="B58" s="51"/>
    </row>
    <row r="59" spans="2:2" x14ac:dyDescent="0.35">
      <c r="B59" s="51"/>
    </row>
    <row r="60" spans="2:2" x14ac:dyDescent="0.35">
      <c r="B60" s="51"/>
    </row>
    <row r="61" spans="2:2" x14ac:dyDescent="0.35">
      <c r="B61" s="51"/>
    </row>
    <row r="62" spans="2:2" x14ac:dyDescent="0.35">
      <c r="B62" s="51"/>
    </row>
    <row r="63" spans="2:2" x14ac:dyDescent="0.35">
      <c r="B63" s="51"/>
    </row>
    <row r="64" spans="2:2" x14ac:dyDescent="0.35">
      <c r="B64" s="51"/>
    </row>
    <row r="65" spans="2:2" x14ac:dyDescent="0.35">
      <c r="B65" s="51"/>
    </row>
    <row r="66" spans="2:2" x14ac:dyDescent="0.35">
      <c r="B66" s="51"/>
    </row>
    <row r="67" spans="2:2" x14ac:dyDescent="0.35">
      <c r="B67" s="51"/>
    </row>
    <row r="68" spans="2:2" x14ac:dyDescent="0.35">
      <c r="B68" s="51"/>
    </row>
    <row r="69" spans="2:2" x14ac:dyDescent="0.35">
      <c r="B69" s="51"/>
    </row>
    <row r="70" spans="2:2" x14ac:dyDescent="0.35">
      <c r="B70" s="51"/>
    </row>
    <row r="71" spans="2:2" x14ac:dyDescent="0.35">
      <c r="B71" s="51"/>
    </row>
    <row r="72" spans="2:2" x14ac:dyDescent="0.35">
      <c r="B72" s="51"/>
    </row>
    <row r="73" spans="2:2" x14ac:dyDescent="0.35">
      <c r="B73" s="51"/>
    </row>
    <row r="74" spans="2:2" x14ac:dyDescent="0.35">
      <c r="B74" s="51"/>
    </row>
  </sheetData>
  <mergeCells count="8">
    <mergeCell ref="B8:H8"/>
    <mergeCell ref="B7:H7"/>
    <mergeCell ref="B2:B3"/>
    <mergeCell ref="C2:F2"/>
    <mergeCell ref="G2:H3"/>
    <mergeCell ref="C3:F3"/>
    <mergeCell ref="B6:H6"/>
    <mergeCell ref="B4:B5"/>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C1:AR122"/>
  <sheetViews>
    <sheetView zoomScale="85" zoomScaleNormal="85" workbookViewId="0"/>
  </sheetViews>
  <sheetFormatPr defaultColWidth="11.453125" defaultRowHeight="14.5" x14ac:dyDescent="0.35"/>
  <cols>
    <col min="1" max="1" width="3.54296875" style="55" customWidth="1"/>
    <col min="2" max="2" width="4" style="55" customWidth="1"/>
    <col min="3" max="3" width="15.54296875" style="55" customWidth="1"/>
    <col min="4" max="5" width="12.36328125" style="55" customWidth="1"/>
    <col min="6" max="6" width="10.6328125" style="55" customWidth="1"/>
    <col min="7" max="7" width="3.6328125" style="55" customWidth="1"/>
    <col min="8" max="8" width="12" style="55" customWidth="1"/>
    <col min="9" max="9" width="11.453125" style="55" customWidth="1"/>
    <col min="10" max="10" width="12.6328125" style="55" customWidth="1"/>
    <col min="11" max="11" width="14" style="55" customWidth="1"/>
    <col min="12" max="12" width="13.6328125" style="55" customWidth="1"/>
    <col min="13" max="13" width="14" style="55" customWidth="1"/>
    <col min="14" max="14" width="14.36328125" style="55" customWidth="1"/>
    <col min="15" max="15" width="13.36328125" style="55" customWidth="1"/>
    <col min="16" max="16" width="13.54296875" style="55" customWidth="1"/>
    <col min="17" max="17" width="12.36328125" style="55" customWidth="1"/>
    <col min="18" max="18" width="6" style="55" customWidth="1"/>
    <col min="19" max="19" width="0.6328125" style="55" customWidth="1"/>
    <col min="20" max="20" width="6" style="55" customWidth="1"/>
    <col min="21" max="21" width="14.54296875" style="55" customWidth="1"/>
    <col min="22" max="22" width="11" style="55" customWidth="1"/>
    <col min="23" max="23" width="13.36328125" style="55" bestFit="1" customWidth="1"/>
    <col min="24" max="24" width="14.6328125" style="55" customWidth="1"/>
    <col min="25" max="25" width="13.453125" style="55" customWidth="1"/>
    <col min="26" max="26" width="7.36328125" style="55" customWidth="1"/>
    <col min="27" max="27" width="7.453125" style="55" customWidth="1"/>
    <col min="28" max="28" width="12.6328125" style="55" customWidth="1"/>
    <col min="29" max="29" width="11.36328125" style="55" customWidth="1"/>
    <col min="30" max="30" width="4.54296875" style="55" customWidth="1"/>
    <col min="31" max="31" width="3.6328125" style="55" customWidth="1"/>
    <col min="32" max="32" width="8.36328125" style="55" customWidth="1"/>
    <col min="33" max="33" width="8" style="55" customWidth="1"/>
    <col min="34" max="34" width="7.6328125" style="55" customWidth="1"/>
    <col min="35" max="35" width="5" style="55" customWidth="1"/>
    <col min="36" max="36" width="5.36328125" style="55" customWidth="1"/>
    <col min="37" max="37" width="19" style="55" customWidth="1"/>
    <col min="38" max="38" width="12.453125" style="55" customWidth="1"/>
    <col min="39" max="39" width="17.54296875" style="55" customWidth="1"/>
    <col min="40" max="40" width="12.453125" style="55" customWidth="1"/>
    <col min="41" max="41" width="5.36328125" style="55" customWidth="1"/>
    <col min="42" max="42" width="6.6328125" style="55" customWidth="1"/>
    <col min="43" max="16384" width="11.453125" style="55"/>
  </cols>
  <sheetData>
    <row r="1" spans="3:40" ht="27.75" customHeight="1" x14ac:dyDescent="0.35">
      <c r="C1" s="477"/>
      <c r="D1" s="477"/>
      <c r="E1" s="478" t="str">
        <f>Planeación!D1</f>
        <v>VERIFICACIÓN Y VALIDACIÓN</v>
      </c>
      <c r="F1" s="478"/>
      <c r="G1" s="478"/>
      <c r="H1" s="478"/>
      <c r="I1" s="478"/>
      <c r="J1" s="478"/>
      <c r="K1" s="478"/>
      <c r="L1" s="478"/>
      <c r="M1" s="478"/>
      <c r="N1" s="478"/>
      <c r="O1" s="478"/>
      <c r="P1" s="478"/>
      <c r="Q1" s="478"/>
      <c r="R1" s="478"/>
      <c r="S1" s="478"/>
      <c r="T1" s="478"/>
      <c r="U1" s="478"/>
      <c r="V1" s="478"/>
      <c r="W1" s="478"/>
      <c r="X1" s="478"/>
      <c r="Y1" s="478"/>
      <c r="Z1" s="478"/>
      <c r="AA1" s="478"/>
      <c r="AB1" s="478"/>
      <c r="AC1" s="478"/>
      <c r="AD1" s="478"/>
      <c r="AE1" s="478"/>
      <c r="AF1" s="478"/>
      <c r="AG1" s="478"/>
      <c r="AH1" s="478"/>
      <c r="AI1" s="478"/>
      <c r="AJ1" s="478"/>
      <c r="AK1" s="478"/>
      <c r="AL1" s="479" t="str">
        <f>Planeación!K1</f>
        <v>Versión: 10
Fecha de emisión:  21/03/2018
Código: F-TAI-010-001</v>
      </c>
      <c r="AM1" s="479"/>
      <c r="AN1" s="479"/>
    </row>
    <row r="2" spans="3:40" ht="33" customHeight="1" x14ac:dyDescent="0.35">
      <c r="C2" s="477"/>
      <c r="D2" s="477"/>
      <c r="E2" s="478" t="str">
        <f>Planeación!D2</f>
        <v>FORMATO: Prueba interna</v>
      </c>
      <c r="F2" s="478"/>
      <c r="G2" s="478"/>
      <c r="H2" s="478"/>
      <c r="I2" s="478"/>
      <c r="J2" s="478"/>
      <c r="K2" s="478"/>
      <c r="L2" s="478"/>
      <c r="M2" s="478"/>
      <c r="N2" s="478"/>
      <c r="O2" s="478"/>
      <c r="P2" s="478"/>
      <c r="Q2" s="478"/>
      <c r="R2" s="478"/>
      <c r="S2" s="478"/>
      <c r="T2" s="478"/>
      <c r="U2" s="478"/>
      <c r="V2" s="478"/>
      <c r="W2" s="478"/>
      <c r="X2" s="478"/>
      <c r="Y2" s="478"/>
      <c r="Z2" s="478"/>
      <c r="AA2" s="478"/>
      <c r="AB2" s="478"/>
      <c r="AC2" s="478"/>
      <c r="AD2" s="478"/>
      <c r="AE2" s="478"/>
      <c r="AF2" s="478"/>
      <c r="AG2" s="478"/>
      <c r="AH2" s="478"/>
      <c r="AI2" s="478"/>
      <c r="AJ2" s="478"/>
      <c r="AK2" s="478"/>
      <c r="AL2" s="479"/>
      <c r="AM2" s="479"/>
      <c r="AN2" s="479"/>
    </row>
    <row r="3" spans="3:40" ht="17.25" customHeight="1" x14ac:dyDescent="0.35">
      <c r="C3" s="480" t="s">
        <v>5</v>
      </c>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2"/>
      <c r="AI3" s="92"/>
      <c r="AJ3" s="92"/>
      <c r="AK3" s="92"/>
    </row>
    <row r="4" spans="3:40" ht="18.75" customHeight="1" x14ac:dyDescent="0.35">
      <c r="C4" s="481"/>
    </row>
    <row r="5" spans="3:40" ht="18.5" x14ac:dyDescent="0.45">
      <c r="C5" s="483" t="s">
        <v>29</v>
      </c>
      <c r="D5" s="484"/>
      <c r="E5" s="484"/>
      <c r="F5" s="484"/>
      <c r="G5" s="484"/>
      <c r="H5" s="484"/>
      <c r="I5" s="484"/>
      <c r="J5" s="484"/>
      <c r="K5" s="484"/>
      <c r="L5" s="484"/>
      <c r="M5" s="484"/>
      <c r="N5" s="484"/>
      <c r="O5" s="484"/>
      <c r="P5" s="484"/>
      <c r="Q5" s="484"/>
      <c r="S5" s="93"/>
      <c r="U5" s="482" t="s">
        <v>523</v>
      </c>
      <c r="V5" s="482"/>
      <c r="W5" s="482"/>
      <c r="X5" s="482"/>
      <c r="Y5" s="482"/>
      <c r="Z5" s="482"/>
      <c r="AA5" s="482"/>
      <c r="AB5" s="482"/>
      <c r="AC5" s="482"/>
      <c r="AD5" s="482"/>
      <c r="AE5" s="482"/>
      <c r="AF5" s="482"/>
      <c r="AG5" s="482"/>
      <c r="AH5" s="482"/>
      <c r="AI5" s="482"/>
      <c r="AJ5" s="482"/>
      <c r="AK5" s="482"/>
      <c r="AL5" s="482"/>
      <c r="AM5" s="482"/>
      <c r="AN5" s="482"/>
    </row>
    <row r="6" spans="3:40" ht="18.5" x14ac:dyDescent="0.45">
      <c r="S6" s="93"/>
    </row>
    <row r="7" spans="3:40" ht="18.75" customHeight="1" x14ac:dyDescent="0.45">
      <c r="C7" s="543" t="s">
        <v>68</v>
      </c>
      <c r="D7" s="543"/>
      <c r="E7" s="543"/>
      <c r="F7" s="543"/>
      <c r="G7" s="543"/>
      <c r="H7" s="544">
        <f>Planeación!G6</f>
        <v>0</v>
      </c>
      <c r="I7" s="544"/>
      <c r="J7" s="544"/>
      <c r="K7" s="544"/>
      <c r="L7" s="544"/>
      <c r="M7" s="544"/>
      <c r="O7" s="482" t="s">
        <v>131</v>
      </c>
      <c r="P7" s="482"/>
      <c r="Q7" s="482"/>
      <c r="S7" s="93"/>
    </row>
    <row r="8" spans="3:40" ht="18.75" customHeight="1" x14ac:dyDescent="0.45">
      <c r="C8" s="543" t="s">
        <v>67</v>
      </c>
      <c r="D8" s="543"/>
      <c r="E8" s="543"/>
      <c r="F8" s="543"/>
      <c r="G8" s="543"/>
      <c r="H8" s="544">
        <f>Planeación!G7</f>
        <v>0</v>
      </c>
      <c r="I8" s="544"/>
      <c r="J8" s="544"/>
      <c r="K8" s="544"/>
      <c r="L8" s="544"/>
      <c r="M8" s="544"/>
      <c r="O8" s="542" t="s">
        <v>70</v>
      </c>
      <c r="P8" s="542"/>
      <c r="Q8" s="289">
        <f>COUNTIF(Diseño!E11:E1985,"&gt;0")</f>
        <v>5</v>
      </c>
      <c r="S8" s="93"/>
      <c r="U8" s="501" t="s">
        <v>520</v>
      </c>
      <c r="V8" s="502"/>
      <c r="W8" s="502"/>
      <c r="X8" s="502"/>
      <c r="Y8" s="502"/>
      <c r="Z8" s="502"/>
      <c r="AA8" s="502"/>
      <c r="AB8" s="502"/>
      <c r="AC8" s="502"/>
      <c r="AD8" s="502"/>
      <c r="AE8" s="502"/>
      <c r="AF8" s="502"/>
      <c r="AG8" s="502"/>
      <c r="AH8" s="502"/>
      <c r="AI8" s="502"/>
      <c r="AJ8" s="502"/>
      <c r="AK8" s="502"/>
      <c r="AL8" s="502"/>
      <c r="AM8" s="502"/>
      <c r="AN8" s="502"/>
    </row>
    <row r="9" spans="3:40" ht="18.75" customHeight="1" x14ac:dyDescent="0.45">
      <c r="C9" s="543" t="s">
        <v>15</v>
      </c>
      <c r="D9" s="543"/>
      <c r="E9" s="543"/>
      <c r="F9" s="543"/>
      <c r="G9" s="543"/>
      <c r="H9" s="544">
        <f>Planeación!G9</f>
        <v>0</v>
      </c>
      <c r="I9" s="544"/>
      <c r="J9" s="544"/>
      <c r="K9" s="544"/>
      <c r="L9" s="544"/>
      <c r="M9" s="544"/>
      <c r="O9" s="542" t="s">
        <v>220</v>
      </c>
      <c r="P9" s="542"/>
      <c r="Q9" s="289">
        <f>COUNT(Diseño!E11:E1985)</f>
        <v>5</v>
      </c>
      <c r="S9" s="93"/>
      <c r="U9" s="488" t="s">
        <v>518</v>
      </c>
      <c r="V9" s="488" t="s">
        <v>764</v>
      </c>
      <c r="W9" s="503" t="s">
        <v>765</v>
      </c>
      <c r="X9" s="503"/>
      <c r="Y9" s="503"/>
      <c r="Z9" s="488" t="s">
        <v>73</v>
      </c>
      <c r="AA9" s="488"/>
      <c r="AB9" s="488" t="s">
        <v>519</v>
      </c>
      <c r="AC9" s="488" t="s">
        <v>525</v>
      </c>
      <c r="AD9" s="487" t="s">
        <v>687</v>
      </c>
      <c r="AE9" s="487"/>
      <c r="AF9" s="487"/>
      <c r="AG9" s="487"/>
      <c r="AH9" s="487"/>
      <c r="AI9" s="488" t="s">
        <v>147</v>
      </c>
      <c r="AJ9" s="488"/>
      <c r="AK9" s="488" t="s">
        <v>71</v>
      </c>
      <c r="AL9" s="488" t="s">
        <v>526</v>
      </c>
      <c r="AM9" s="488" t="s">
        <v>72</v>
      </c>
      <c r="AN9" s="489" t="s">
        <v>527</v>
      </c>
    </row>
    <row r="10" spans="3:40" ht="18.75" customHeight="1" x14ac:dyDescent="0.45">
      <c r="C10" s="545" t="s">
        <v>158</v>
      </c>
      <c r="D10" s="545"/>
      <c r="E10" s="545"/>
      <c r="F10" s="545"/>
      <c r="G10" s="545"/>
      <c r="H10" s="544" t="str">
        <f>Planeación!H11</f>
        <v>Proveedor 1x</v>
      </c>
      <c r="I10" s="544"/>
      <c r="J10" s="544"/>
      <c r="K10" s="544" t="str">
        <f>Planeación!K11</f>
        <v>Proveedor 2x</v>
      </c>
      <c r="L10" s="544"/>
      <c r="M10" s="544"/>
      <c r="O10" s="542" t="s">
        <v>873</v>
      </c>
      <c r="P10" s="542"/>
      <c r="Q10" s="289">
        <f>M31</f>
        <v>0</v>
      </c>
      <c r="S10" s="93"/>
      <c r="U10" s="488"/>
      <c r="V10" s="488"/>
      <c r="W10" s="200" t="s">
        <v>766</v>
      </c>
      <c r="X10" s="200" t="s">
        <v>767</v>
      </c>
      <c r="Y10" s="200" t="s">
        <v>768</v>
      </c>
      <c r="Z10" s="488"/>
      <c r="AA10" s="488"/>
      <c r="AB10" s="488"/>
      <c r="AC10" s="488"/>
      <c r="AD10" s="485" t="s">
        <v>221</v>
      </c>
      <c r="AE10" s="485"/>
      <c r="AF10" s="201" t="s">
        <v>22</v>
      </c>
      <c r="AG10" s="201" t="s">
        <v>21</v>
      </c>
      <c r="AH10" s="201" t="s">
        <v>20</v>
      </c>
      <c r="AI10" s="488"/>
      <c r="AJ10" s="488"/>
      <c r="AK10" s="488"/>
      <c r="AL10" s="488"/>
      <c r="AM10" s="488"/>
      <c r="AN10" s="489"/>
    </row>
    <row r="11" spans="3:40" ht="18.5" x14ac:dyDescent="0.45">
      <c r="C11" s="545"/>
      <c r="D11" s="545"/>
      <c r="E11" s="545"/>
      <c r="F11" s="545"/>
      <c r="G11" s="545"/>
      <c r="H11" s="544" t="str">
        <f>Planeación!H12</f>
        <v>Proveedor 3x</v>
      </c>
      <c r="I11" s="544"/>
      <c r="J11" s="544"/>
      <c r="K11" s="544">
        <f>Planeación!K12</f>
        <v>0</v>
      </c>
      <c r="L11" s="544"/>
      <c r="M11" s="544"/>
      <c r="O11" s="542" t="s">
        <v>132</v>
      </c>
      <c r="P11" s="542"/>
      <c r="Q11" s="289">
        <f>J31</f>
        <v>0</v>
      </c>
      <c r="S11" s="93"/>
      <c r="U11" s="202" t="str">
        <f>Planeación!H11</f>
        <v>Proveedor 1x</v>
      </c>
      <c r="V11" s="299">
        <f>Param_General!$I$51</f>
        <v>0</v>
      </c>
      <c r="W11" s="299">
        <f>Param_General!$M$51</f>
        <v>0</v>
      </c>
      <c r="X11" s="299">
        <f>Param_General!$O$51</f>
        <v>0</v>
      </c>
      <c r="Y11" s="301">
        <f>Param_General!$P$51</f>
        <v>0</v>
      </c>
      <c r="Z11" s="500">
        <f>Param_General!$K$51</f>
        <v>0</v>
      </c>
      <c r="AA11" s="500"/>
      <c r="AB11" s="302">
        <v>1</v>
      </c>
      <c r="AC11" s="299">
        <f>Param_General!$H$51</f>
        <v>0</v>
      </c>
      <c r="AD11" s="496">
        <f>Param_General!$C$51</f>
        <v>0</v>
      </c>
      <c r="AE11" s="496"/>
      <c r="AF11" s="289">
        <f>Param_General!$D$51</f>
        <v>0</v>
      </c>
      <c r="AG11" s="289">
        <f>Param_General!$F$51</f>
        <v>0</v>
      </c>
      <c r="AH11" s="289">
        <f>Param_General!$G$51</f>
        <v>0</v>
      </c>
      <c r="AI11" s="490">
        <f>IF(V11+W11+X11+Y11=0,0,IF(1-(((W11*2)+(X11*1)+(Y11*0.5))/V11)&lt;0,0,1-(((W11*2)+(X11*1)+(Y11*0.5))/V11)))</f>
        <v>0</v>
      </c>
      <c r="AJ11" s="490"/>
      <c r="AK11" s="203">
        <f>IF(V11=0,0,IF(AI11&lt;0,1,AI11))</f>
        <v>0</v>
      </c>
      <c r="AL11" s="300" t="str">
        <f>IF(AI11="","Alta",IF(OR(AI11=0%,AI11&lt;=60%),"Baja",IF(AI11&lt;75%,"Media",IF(AI11&gt;=75%,"Alta"))))</f>
        <v>Baja</v>
      </c>
      <c r="AM11" s="204">
        <f>IF(Z11=0,0,IF(AB11&lt;=3,IF(AC11=0,(((AF11+AD11)*2)+(AG11*1)+(AH11*0.5))/Z11,
(((AD11+AF11)*2)+(AG11*1)+(AH11*0.5)+(AC11*2))/Z11),
IF(AC11=0,((((AD11+AF11)*2)+(AG11*1)+(AH11*0.5))/Z11)*Param_General!L51,
((((AD11+AF11)*2)+(AG11*1)+(AH11*0.5)+(AC11*2))/Z11)*Param_General!L51)))</f>
        <v>0</v>
      </c>
      <c r="AN11" s="300" t="str">
        <f>IF(OR(AM11=0,AM11=""),"Alta",IF(AM11&lt;=0.2,"Alta",IF(AM11&lt;0.5,"Media",IF(AM11&gt;=0.5,"Baja"))))</f>
        <v>Alta</v>
      </c>
    </row>
    <row r="12" spans="3:40" ht="18.5" x14ac:dyDescent="0.45">
      <c r="C12" s="543" t="s">
        <v>59</v>
      </c>
      <c r="D12" s="543"/>
      <c r="E12" s="543"/>
      <c r="F12" s="543"/>
      <c r="G12" s="543"/>
      <c r="H12" s="544" t="str">
        <f>Planeación!E15</f>
        <v>Análisis</v>
      </c>
      <c r="I12" s="544"/>
      <c r="J12" s="544"/>
      <c r="K12" s="544"/>
      <c r="L12" s="544"/>
      <c r="M12" s="544"/>
      <c r="O12" s="542" t="s">
        <v>874</v>
      </c>
      <c r="P12" s="542"/>
      <c r="Q12" s="289">
        <f>K31</f>
        <v>5</v>
      </c>
      <c r="S12" s="93"/>
      <c r="U12" s="202" t="str">
        <f>Planeación!K11</f>
        <v>Proveedor 2x</v>
      </c>
      <c r="V12" s="299">
        <f>Param_General!$I$52</f>
        <v>0</v>
      </c>
      <c r="W12" s="299">
        <f>Param_General!$M$52</f>
        <v>0</v>
      </c>
      <c r="X12" s="299">
        <f>Param_General!$O$52</f>
        <v>0</v>
      </c>
      <c r="Y12" s="301">
        <f>Param_General!$P$52</f>
        <v>0</v>
      </c>
      <c r="Z12" s="500">
        <f>Param_General!$K$52</f>
        <v>0</v>
      </c>
      <c r="AA12" s="500"/>
      <c r="AB12" s="302"/>
      <c r="AC12" s="299">
        <f>Param_General!$H$52</f>
        <v>0</v>
      </c>
      <c r="AD12" s="496">
        <f>Param_General!$C$52</f>
        <v>0</v>
      </c>
      <c r="AE12" s="496"/>
      <c r="AF12" s="289">
        <f>Param_General!$D$52</f>
        <v>0</v>
      </c>
      <c r="AG12" s="289">
        <f>Param_General!$F$52</f>
        <v>0</v>
      </c>
      <c r="AH12" s="289">
        <f>Param_General!$G$52</f>
        <v>0</v>
      </c>
      <c r="AI12" s="490">
        <f>IF(V12+W12+X12+Y12=0,0,IF(1-(((W12*2)+(X12*1)+(Y12*0.5))/V12)&lt;0,0,1-(((W12*2)+(X12*1)+(Y12*0.5))/V12)))</f>
        <v>0</v>
      </c>
      <c r="AJ12" s="490"/>
      <c r="AK12" s="203">
        <f t="shared" ref="AK12" si="0">IF(V12=0,0,IF(AI12&lt;0,1,AI12))</f>
        <v>0</v>
      </c>
      <c r="AL12" s="300" t="str">
        <f t="shared" ref="AL12:AL14" si="1">IF(AI12="","Alta",IF(OR(AI12=0%,AI12&lt;=60%),"Baja",IF(AI12&lt;75%,"Media",IF(AI12&gt;=75%,"Alta"))))</f>
        <v>Baja</v>
      </c>
      <c r="AM12" s="204">
        <f>IF(Z12=0,0,IF(AB12&lt;=3,IF(AC12=0,(((AF12+AD12)*2)+(AG12*1)+(AH12*0.5))/Z12,
(((AD12+AF12)*2)+(AG12*1)+(AH12*0.5)+(AC12*2))/Z12),
IF(AC12=0,((((AD12+AF12)*2)+(AG12*1)+(AH12*0.5))/Z12)*Param_General!L52,
((((AD12+AF12)*2)+(AG12*1)+(AH12*0.5)+(AC12*2))/Z12)*Param_General!L52)))</f>
        <v>0</v>
      </c>
      <c r="AN12" s="300" t="str">
        <f t="shared" ref="AN12" si="2">IF(OR(AM12=0,AM12=""),"Alta",IF(AM12&lt;=0.2,"Alta",IF(AM12&lt;0.5,"Media",IF(AM12&gt;=0.5,"Baja"))))</f>
        <v>Alta</v>
      </c>
    </row>
    <row r="13" spans="3:40" ht="18.5" x14ac:dyDescent="0.45">
      <c r="S13" s="93"/>
      <c r="U13" s="202" t="str">
        <f>Planeación!H12</f>
        <v>Proveedor 3x</v>
      </c>
      <c r="V13" s="299">
        <f>Param_General!$I$53</f>
        <v>0</v>
      </c>
      <c r="W13" s="299">
        <f>Param_General!$M$53</f>
        <v>0</v>
      </c>
      <c r="X13" s="299">
        <f>Param_General!$O$53</f>
        <v>0</v>
      </c>
      <c r="Y13" s="301">
        <f>Param_General!$P$53</f>
        <v>0</v>
      </c>
      <c r="Z13" s="500">
        <f>Param_General!$K$53</f>
        <v>0</v>
      </c>
      <c r="AA13" s="500"/>
      <c r="AB13" s="302"/>
      <c r="AC13" s="299">
        <f>Param_General!$H$53</f>
        <v>0</v>
      </c>
      <c r="AD13" s="496">
        <f>Param_General!$C$53</f>
        <v>0</v>
      </c>
      <c r="AE13" s="496"/>
      <c r="AF13" s="289">
        <f>Param_General!$D$53</f>
        <v>0</v>
      </c>
      <c r="AG13" s="289">
        <f>Param_General!$F$53</f>
        <v>0</v>
      </c>
      <c r="AH13" s="289">
        <f>Param_General!$G$53</f>
        <v>0</v>
      </c>
      <c r="AI13" s="490">
        <f t="shared" ref="AI13:AI14" si="3">IF(V13+W13+X13+Y13=0,0,IF(1-(((W13*2)+(X13*1)+(Y13*0.5))/V13)&lt;0,0,1-(((W13*2)+(X13*1)+(Y13*0.5))/V13)))</f>
        <v>0</v>
      </c>
      <c r="AJ13" s="490"/>
      <c r="AK13" s="203">
        <f>IF(V13=0,0,IF(AI13&lt;0,1,AI13))</f>
        <v>0</v>
      </c>
      <c r="AL13" s="300" t="str">
        <f t="shared" si="1"/>
        <v>Baja</v>
      </c>
      <c r="AM13" s="204">
        <f>IF(Z13=0,0,IF(AB13&lt;=3,IF(AC13=0,(((AF13+AD13)*2)+(AG13*1)+(AH13*0.5))/Z13,
(((AD13+AF13)*2)+(AG13*1)+(AH13*0.5)+(AC13*2))/Z13),
IF(AC13=0,((((AD13+AF13)*2)+(AG13*1)+(AH13*0.5))/Z13)*Param_General!L53,
((((AD13+AF13)*2)+(AG13*1)+(AH13*0.5)+(AC13*2))/Z13)*Param_General!L53)))</f>
        <v>0</v>
      </c>
      <c r="AN13" s="300" t="str">
        <f t="shared" ref="AN13:AN14" si="4">IF(OR(AM13=0,AM13=""),"Alta",IF(AM13&lt;=0.2,"Alta",IF(AM13&lt;0.5,"Media",IF(AM13&gt;=0.5,"Baja"))))</f>
        <v>Alta</v>
      </c>
    </row>
    <row r="14" spans="3:40" ht="17.25" customHeight="1" x14ac:dyDescent="0.45">
      <c r="S14" s="93"/>
      <c r="U14" s="202">
        <f>Planeación!K12</f>
        <v>0</v>
      </c>
      <c r="V14" s="299">
        <f>Param_General!$I$54</f>
        <v>0</v>
      </c>
      <c r="W14" s="299">
        <f>Param_General!$M$54</f>
        <v>0</v>
      </c>
      <c r="X14" s="299">
        <f>Param_General!$O$54</f>
        <v>0</v>
      </c>
      <c r="Y14" s="301">
        <f>Param_General!$P$54</f>
        <v>0</v>
      </c>
      <c r="Z14" s="500">
        <f>Param_General!$K$54</f>
        <v>0</v>
      </c>
      <c r="AA14" s="500"/>
      <c r="AB14" s="302"/>
      <c r="AC14" s="299">
        <f>Param_General!$H$54</f>
        <v>0</v>
      </c>
      <c r="AD14" s="496">
        <f>Param_General!$C$54</f>
        <v>0</v>
      </c>
      <c r="AE14" s="496"/>
      <c r="AF14" s="289">
        <f>Param_General!$D$54</f>
        <v>0</v>
      </c>
      <c r="AG14" s="289">
        <f>Param_General!$F$54</f>
        <v>0</v>
      </c>
      <c r="AH14" s="289">
        <f>Param_General!$G$54</f>
        <v>0</v>
      </c>
      <c r="AI14" s="490">
        <f t="shared" si="3"/>
        <v>0</v>
      </c>
      <c r="AJ14" s="490"/>
      <c r="AK14" s="203">
        <f>IF(V14=0,0,IF(AI14&lt;0,1,AI14))</f>
        <v>0</v>
      </c>
      <c r="AL14" s="300" t="str">
        <f t="shared" si="1"/>
        <v>Baja</v>
      </c>
      <c r="AM14" s="204">
        <f>IF(Z14=0,0,IF(AB14&lt;=3,IF(AC14=0,(((AF14+AD14)*2)+(AG14*1)+(AH14*0.5))/Z14,
(((AD14+AF14)*2)+(AG14*1)+(AH14*0.5)+(AC14*2))/Z14),
IF(AC14=0,((((AD14+AF14)*2)+(AG14*1)+(AH14*0.5))/Z14)*Param_General!L54,
((((AD14+AF14)*2)+(AG14*1)+(AH14*0.5)+(AC14*2))/Z14)*Param_General!L54)))</f>
        <v>0</v>
      </c>
      <c r="AN14" s="300" t="str">
        <f t="shared" si="4"/>
        <v>Alta</v>
      </c>
    </row>
    <row r="15" spans="3:40" ht="18.5" x14ac:dyDescent="0.45">
      <c r="C15" s="501" t="s">
        <v>30</v>
      </c>
      <c r="D15" s="502"/>
      <c r="E15" s="502"/>
      <c r="F15" s="502"/>
      <c r="G15" s="502"/>
      <c r="H15" s="502"/>
      <c r="I15" s="502"/>
      <c r="J15" s="502"/>
      <c r="K15" s="502"/>
      <c r="L15" s="502"/>
      <c r="M15" s="502"/>
      <c r="N15" s="502"/>
      <c r="O15" s="502"/>
      <c r="P15" s="502"/>
      <c r="Q15" s="546"/>
      <c r="S15" s="93"/>
    </row>
    <row r="16" spans="3:40" ht="17.25" customHeight="1" x14ac:dyDescent="0.45">
      <c r="C16" s="444" t="s">
        <v>31</v>
      </c>
      <c r="D16" s="444"/>
      <c r="E16" s="444"/>
      <c r="F16" s="547" t="s">
        <v>36</v>
      </c>
      <c r="G16" s="547"/>
      <c r="H16" s="547"/>
      <c r="I16" s="443" t="s">
        <v>39</v>
      </c>
      <c r="J16" s="547" t="s">
        <v>37</v>
      </c>
      <c r="K16" s="547"/>
      <c r="L16" s="547"/>
      <c r="M16" s="443" t="s">
        <v>870</v>
      </c>
      <c r="N16" s="443" t="s">
        <v>864</v>
      </c>
      <c r="O16" s="443" t="s">
        <v>865</v>
      </c>
      <c r="P16" s="443" t="s">
        <v>130</v>
      </c>
      <c r="Q16" s="443" t="s">
        <v>841</v>
      </c>
      <c r="S16" s="93"/>
    </row>
    <row r="17" spans="3:40" ht="30" customHeight="1" x14ac:dyDescent="0.45">
      <c r="C17" s="444"/>
      <c r="D17" s="444"/>
      <c r="E17" s="444"/>
      <c r="F17" s="443" t="s">
        <v>207</v>
      </c>
      <c r="G17" s="443"/>
      <c r="H17" s="443"/>
      <c r="I17" s="443"/>
      <c r="J17" s="205" t="s">
        <v>574</v>
      </c>
      <c r="K17" s="205" t="s">
        <v>129</v>
      </c>
      <c r="L17" s="205" t="s">
        <v>575</v>
      </c>
      <c r="M17" s="443"/>
      <c r="N17" s="443"/>
      <c r="O17" s="443"/>
      <c r="P17" s="443"/>
      <c r="Q17" s="443"/>
      <c r="S17" s="93"/>
      <c r="U17" s="504" t="s">
        <v>562</v>
      </c>
      <c r="V17" s="504"/>
      <c r="W17" s="504"/>
      <c r="X17" s="504"/>
      <c r="Y17" s="504"/>
      <c r="Z17" s="504" t="s">
        <v>545</v>
      </c>
      <c r="AA17" s="504"/>
      <c r="AB17" s="193" t="s">
        <v>546</v>
      </c>
      <c r="AC17" s="504" t="s">
        <v>547</v>
      </c>
      <c r="AD17" s="504"/>
      <c r="AE17" s="504"/>
      <c r="AF17" s="504" t="s">
        <v>548</v>
      </c>
      <c r="AG17" s="504"/>
      <c r="AH17" s="504"/>
    </row>
    <row r="18" spans="3:40" ht="18.5" x14ac:dyDescent="0.45">
      <c r="C18" s="549" t="s">
        <v>38</v>
      </c>
      <c r="D18" s="549"/>
      <c r="E18" s="549"/>
      <c r="F18" s="548">
        <f>Planeación!G36</f>
        <v>0</v>
      </c>
      <c r="G18" s="548"/>
      <c r="H18" s="548"/>
      <c r="I18" s="290">
        <f>Planeación!E36</f>
        <v>5</v>
      </c>
      <c r="J18" s="291">
        <f>IF(OR(Planeación!I36=0,Planeación!I36=""),"",Planeación!I36)</f>
        <v>43040</v>
      </c>
      <c r="K18" s="291">
        <f>Planeación!J36</f>
        <v>43041</v>
      </c>
      <c r="L18" s="291">
        <f>IF(OR(Planeación!K36=0,Planeación!K36=""),"",Planeación!K36)</f>
        <v>43056</v>
      </c>
      <c r="M18" s="290">
        <f>IFERROR(IF(OR(K18=0,L18=0),0,NETWORKDAYS(K18,L18,0)*8.5),0)</f>
        <v>102</v>
      </c>
      <c r="N18" s="292">
        <f>IF(I18=0,0,IF(P18="Si",100%,M18/I18))</f>
        <v>20.399999999999999</v>
      </c>
      <c r="O18" s="292">
        <f>IF(N18&gt;100%,Param_General!L10, Param_General!L10*N18/100%)</f>
        <v>0.1</v>
      </c>
      <c r="P18" s="249" t="s">
        <v>58</v>
      </c>
      <c r="Q18" s="290">
        <f>I18-M18</f>
        <v>-97</v>
      </c>
      <c r="S18" s="93"/>
      <c r="U18" s="497" t="str">
        <f>Planeación!H11</f>
        <v>Proveedor 1x</v>
      </c>
      <c r="V18" s="497"/>
      <c r="W18" s="497"/>
      <c r="X18" s="497"/>
      <c r="Y18" s="497"/>
      <c r="Z18" s="498">
        <f>AK11</f>
        <v>0</v>
      </c>
      <c r="AA18" s="498"/>
      <c r="AB18" s="298" t="str">
        <f>AL11</f>
        <v>Baja</v>
      </c>
      <c r="AC18" s="499">
        <f>AM11</f>
        <v>0</v>
      </c>
      <c r="AD18" s="499"/>
      <c r="AE18" s="499"/>
      <c r="AF18" s="499" t="str">
        <f>AN11</f>
        <v>Alta</v>
      </c>
      <c r="AG18" s="499"/>
      <c r="AH18" s="499"/>
    </row>
    <row r="19" spans="3:40" ht="18.5" x14ac:dyDescent="0.45">
      <c r="C19" s="549" t="s">
        <v>32</v>
      </c>
      <c r="D19" s="549"/>
      <c r="E19" s="549"/>
      <c r="F19" s="548">
        <f>Planeación!G37</f>
        <v>0</v>
      </c>
      <c r="G19" s="548"/>
      <c r="H19" s="548"/>
      <c r="I19" s="290">
        <f>Planeación!E37</f>
        <v>0</v>
      </c>
      <c r="J19" s="291" t="str">
        <f>IF(OR(Planeación!I37=0,Planeación!I37=""),"",Planeación!I37)</f>
        <v/>
      </c>
      <c r="K19" s="291" t="str">
        <f>Planeación!J37</f>
        <v/>
      </c>
      <c r="L19" s="291" t="str">
        <f>IF(OR(Planeación!K37=0,Planeación!K37=""),"",Planeación!K37)</f>
        <v/>
      </c>
      <c r="M19" s="290">
        <f t="shared" ref="M19:M22" si="5">IFERROR(IF(OR(K19=0,L19=0),0,NETWORKDAYS(K19,L19,0)*8.5),0)</f>
        <v>0</v>
      </c>
      <c r="N19" s="292">
        <f>IF(I19=0,0,IF(P19="Si",100%,M19/I19))</f>
        <v>0</v>
      </c>
      <c r="O19" s="292">
        <f>IF(N19&gt;100%,Param_General!L11, Param_General!L11*N19/100%)</f>
        <v>0</v>
      </c>
      <c r="P19" s="249" t="s">
        <v>58</v>
      </c>
      <c r="Q19" s="290">
        <f>I19-M19</f>
        <v>0</v>
      </c>
      <c r="S19" s="93"/>
      <c r="U19" s="497" t="str">
        <f>Planeación!K11</f>
        <v>Proveedor 2x</v>
      </c>
      <c r="V19" s="497"/>
      <c r="W19" s="497"/>
      <c r="X19" s="497"/>
      <c r="Y19" s="497"/>
      <c r="Z19" s="498">
        <f t="shared" ref="Z19:Z20" si="6">AK12</f>
        <v>0</v>
      </c>
      <c r="AA19" s="498"/>
      <c r="AB19" s="298" t="str">
        <f t="shared" ref="AB19:AB21" si="7">AL12</f>
        <v>Baja</v>
      </c>
      <c r="AC19" s="499">
        <f t="shared" ref="AC19:AC21" si="8">AM12</f>
        <v>0</v>
      </c>
      <c r="AD19" s="499"/>
      <c r="AE19" s="499"/>
      <c r="AF19" s="499" t="str">
        <f t="shared" ref="AF19:AF21" si="9">AN12</f>
        <v>Alta</v>
      </c>
      <c r="AG19" s="499"/>
      <c r="AH19" s="499"/>
    </row>
    <row r="20" spans="3:40" ht="18.5" x14ac:dyDescent="0.45">
      <c r="C20" s="549" t="s">
        <v>33</v>
      </c>
      <c r="D20" s="549"/>
      <c r="E20" s="549"/>
      <c r="F20" s="548">
        <f>Planeación!G39</f>
        <v>0</v>
      </c>
      <c r="G20" s="548"/>
      <c r="H20" s="548"/>
      <c r="I20" s="290">
        <f>Planeación!E39</f>
        <v>0</v>
      </c>
      <c r="J20" s="291" t="str">
        <f>IF(OR(Planeación!I39=0,Planeación!I39=""),"",Planeación!I39)</f>
        <v/>
      </c>
      <c r="K20" s="291" t="str">
        <f>Planeación!J39</f>
        <v/>
      </c>
      <c r="L20" s="291" t="str">
        <f>IF(OR(Planeación!K39=0,Planeación!K39=""),"",Planeación!K39)</f>
        <v/>
      </c>
      <c r="M20" s="290">
        <f t="shared" si="5"/>
        <v>0</v>
      </c>
      <c r="N20" s="292">
        <f>IF(AND(P20="Si",M20&gt;0),1,IF(AND(P20="No",M20&gt;0),(Q10/Q9),IF(OR(AND(P20="Si",M20=0),(AND(P20="No",M20=0))),0,"F")))</f>
        <v>0</v>
      </c>
      <c r="O20" s="292">
        <f>IF(N20&gt;100%,Param_General!L12, Param_General!L12*N20/100%)</f>
        <v>0</v>
      </c>
      <c r="P20" s="249" t="s">
        <v>58</v>
      </c>
      <c r="Q20" s="290">
        <f>I20-M20</f>
        <v>0</v>
      </c>
      <c r="S20" s="93"/>
      <c r="U20" s="497" t="str">
        <f>Planeación!H12</f>
        <v>Proveedor 3x</v>
      </c>
      <c r="V20" s="497"/>
      <c r="W20" s="497"/>
      <c r="X20" s="497"/>
      <c r="Y20" s="497"/>
      <c r="Z20" s="498">
        <f t="shared" si="6"/>
        <v>0</v>
      </c>
      <c r="AA20" s="498"/>
      <c r="AB20" s="298" t="str">
        <f t="shared" si="7"/>
        <v>Baja</v>
      </c>
      <c r="AC20" s="499">
        <f t="shared" si="8"/>
        <v>0</v>
      </c>
      <c r="AD20" s="499"/>
      <c r="AE20" s="499"/>
      <c r="AF20" s="499" t="str">
        <f t="shared" si="9"/>
        <v>Alta</v>
      </c>
      <c r="AG20" s="499"/>
      <c r="AH20" s="499"/>
    </row>
    <row r="21" spans="3:40" ht="18.5" x14ac:dyDescent="0.45">
      <c r="C21" s="549" t="s">
        <v>35</v>
      </c>
      <c r="D21" s="549"/>
      <c r="E21" s="549"/>
      <c r="F21" s="548">
        <f>Planeación!G40</f>
        <v>0</v>
      </c>
      <c r="G21" s="548"/>
      <c r="H21" s="548"/>
      <c r="I21" s="290">
        <f>Planeación!E40</f>
        <v>0</v>
      </c>
      <c r="J21" s="291" t="str">
        <f>IF(OR(Planeación!I40=0,Planeación!I40=""),"",Planeación!I40)</f>
        <v/>
      </c>
      <c r="K21" s="291" t="str">
        <f>Planeación!J40</f>
        <v/>
      </c>
      <c r="L21" s="291" t="str">
        <f>IF(OR(Planeación!K40=0,Planeación!K40=""),"",Planeación!K40)</f>
        <v/>
      </c>
      <c r="M21" s="290">
        <f t="shared" si="5"/>
        <v>0</v>
      </c>
      <c r="N21" s="292">
        <f>IF(I21=0,0,IF(P21="Si",100%,M21/I21))</f>
        <v>0</v>
      </c>
      <c r="O21" s="292">
        <f>IF(N21&gt;100%,Param_General!L13, Param_General!L13*N21/100%)</f>
        <v>0</v>
      </c>
      <c r="P21" s="249" t="s">
        <v>58</v>
      </c>
      <c r="Q21" s="290">
        <f>I21-M21</f>
        <v>0</v>
      </c>
      <c r="S21" s="93"/>
      <c r="U21" s="497">
        <f>Planeación!K12</f>
        <v>0</v>
      </c>
      <c r="V21" s="497"/>
      <c r="W21" s="497"/>
      <c r="X21" s="497"/>
      <c r="Y21" s="497"/>
      <c r="Z21" s="498">
        <f>AK14</f>
        <v>0</v>
      </c>
      <c r="AA21" s="498"/>
      <c r="AB21" s="298" t="str">
        <f t="shared" si="7"/>
        <v>Baja</v>
      </c>
      <c r="AC21" s="499">
        <f t="shared" si="8"/>
        <v>0</v>
      </c>
      <c r="AD21" s="499"/>
      <c r="AE21" s="499"/>
      <c r="AF21" s="499" t="str">
        <f t="shared" si="9"/>
        <v>Alta</v>
      </c>
      <c r="AG21" s="499"/>
      <c r="AH21" s="499"/>
    </row>
    <row r="22" spans="3:40" ht="18.5" x14ac:dyDescent="0.45">
      <c r="C22" s="549" t="s">
        <v>34</v>
      </c>
      <c r="D22" s="549"/>
      <c r="E22" s="549"/>
      <c r="F22" s="548">
        <f>F18</f>
        <v>0</v>
      </c>
      <c r="G22" s="548"/>
      <c r="H22" s="548"/>
      <c r="I22" s="290">
        <f>Planeación!E41</f>
        <v>0</v>
      </c>
      <c r="J22" s="291">
        <f>J18</f>
        <v>43040</v>
      </c>
      <c r="K22" s="291" t="str">
        <f>K21</f>
        <v/>
      </c>
      <c r="L22" s="291" t="str">
        <f>L21</f>
        <v/>
      </c>
      <c r="M22" s="290">
        <f t="shared" si="5"/>
        <v>0</v>
      </c>
      <c r="N22" s="292">
        <f>IF(I22=0,0,IF(P22="Si",100%,M22/I22))</f>
        <v>0</v>
      </c>
      <c r="O22" s="292">
        <f>IF(N22&gt;100%,Param_General!L14, Param_General!L14*N22/100%)</f>
        <v>0</v>
      </c>
      <c r="P22" s="249" t="s">
        <v>58</v>
      </c>
      <c r="Q22" s="290">
        <f>I22-M22</f>
        <v>0</v>
      </c>
      <c r="S22" s="93"/>
    </row>
    <row r="23" spans="3:40" ht="18.5" x14ac:dyDescent="0.45">
      <c r="C23" s="553" t="s">
        <v>210</v>
      </c>
      <c r="D23" s="553"/>
      <c r="E23" s="553"/>
      <c r="F23" s="553"/>
      <c r="G23" s="553"/>
      <c r="H23" s="553"/>
      <c r="I23" s="293">
        <f>SUM(I18:I22)</f>
        <v>5</v>
      </c>
      <c r="J23" s="554" t="s">
        <v>209</v>
      </c>
      <c r="K23" s="554"/>
      <c r="L23" s="554"/>
      <c r="M23" s="293">
        <f>SUM(M18:M22)</f>
        <v>102</v>
      </c>
      <c r="N23" s="555" t="s">
        <v>866</v>
      </c>
      <c r="O23" s="556">
        <f>SUM(O18:O22)</f>
        <v>0.1</v>
      </c>
      <c r="P23" s="94"/>
      <c r="Q23" s="94"/>
      <c r="S23" s="93"/>
      <c r="T23" s="39"/>
      <c r="AJ23" s="484" t="s">
        <v>793</v>
      </c>
      <c r="AK23" s="484"/>
      <c r="AL23" s="484"/>
      <c r="AM23" s="484"/>
      <c r="AN23" s="484"/>
    </row>
    <row r="24" spans="3:40" ht="18.5" x14ac:dyDescent="0.45">
      <c r="C24" s="553" t="s">
        <v>211</v>
      </c>
      <c r="D24" s="553"/>
      <c r="E24" s="553"/>
      <c r="F24" s="553"/>
      <c r="G24" s="553"/>
      <c r="H24" s="553"/>
      <c r="I24" s="293">
        <f>I23/8</f>
        <v>0.625</v>
      </c>
      <c r="J24" s="554" t="s">
        <v>208</v>
      </c>
      <c r="K24" s="554"/>
      <c r="L24" s="554"/>
      <c r="M24" s="293">
        <f>M23/8</f>
        <v>12.75</v>
      </c>
      <c r="N24" s="555"/>
      <c r="O24" s="556"/>
      <c r="S24" s="93"/>
      <c r="T24" s="39"/>
      <c r="U24" s="557" t="s">
        <v>529</v>
      </c>
      <c r="V24" s="557"/>
      <c r="W24" s="557"/>
      <c r="X24" s="557"/>
      <c r="Y24" s="557"/>
      <c r="Z24" s="557"/>
      <c r="AA24" s="557" t="s">
        <v>528</v>
      </c>
      <c r="AB24" s="557"/>
      <c r="AC24" s="557"/>
      <c r="AD24" s="557"/>
      <c r="AE24" s="557"/>
      <c r="AF24" s="557"/>
      <c r="AG24" s="557"/>
      <c r="AH24" s="557"/>
    </row>
    <row r="25" spans="3:40" ht="18.5" x14ac:dyDescent="0.45">
      <c r="C25" s="553" t="s">
        <v>212</v>
      </c>
      <c r="D25" s="553"/>
      <c r="E25" s="553"/>
      <c r="F25" s="553"/>
      <c r="G25" s="553"/>
      <c r="H25" s="553"/>
      <c r="I25" s="293">
        <f>I24/5</f>
        <v>0.125</v>
      </c>
      <c r="O25" s="95"/>
      <c r="S25" s="93"/>
      <c r="T25" s="39"/>
    </row>
    <row r="26" spans="3:40" ht="18.75" customHeight="1" x14ac:dyDescent="0.45">
      <c r="D26" s="40"/>
      <c r="G26" s="40"/>
      <c r="I26" s="40"/>
      <c r="K26" s="40"/>
      <c r="M26" s="40"/>
      <c r="O26" s="40"/>
      <c r="P26" s="94"/>
      <c r="Q26" s="94"/>
      <c r="S26" s="93"/>
      <c r="T26" s="39"/>
    </row>
    <row r="27" spans="3:40" ht="18.75" customHeight="1" x14ac:dyDescent="0.45">
      <c r="C27" s="40"/>
      <c r="D27" s="39"/>
      <c r="E27" s="39"/>
      <c r="F27" s="39"/>
      <c r="G27" s="39"/>
      <c r="H27" s="39"/>
      <c r="I27" s="40"/>
      <c r="J27" s="40"/>
      <c r="K27" s="39"/>
      <c r="L27" s="39"/>
      <c r="M27" s="40"/>
      <c r="N27" s="40"/>
      <c r="O27" s="94"/>
      <c r="P27" s="94"/>
      <c r="Q27" s="94"/>
      <c r="S27" s="93"/>
    </row>
    <row r="28" spans="3:40" ht="18.5" x14ac:dyDescent="0.45">
      <c r="C28" s="539" t="s">
        <v>215</v>
      </c>
      <c r="D28" s="539"/>
      <c r="E28" s="539"/>
      <c r="F28" s="539"/>
      <c r="G28" s="39"/>
      <c r="H28" s="550" t="s">
        <v>41</v>
      </c>
      <c r="I28" s="551"/>
      <c r="J28" s="551"/>
      <c r="K28" s="551"/>
      <c r="L28" s="551"/>
      <c r="M28" s="551"/>
      <c r="N28" s="551"/>
      <c r="O28" s="551"/>
      <c r="P28" s="551"/>
      <c r="Q28" s="552"/>
      <c r="S28" s="93"/>
      <c r="AB28" s="96"/>
    </row>
    <row r="29" spans="3:40" ht="49.5" customHeight="1" x14ac:dyDescent="0.45">
      <c r="C29" s="189" t="s">
        <v>126</v>
      </c>
      <c r="D29" s="189" t="s">
        <v>217</v>
      </c>
      <c r="E29" s="190" t="s">
        <v>218</v>
      </c>
      <c r="F29" s="190" t="s">
        <v>688</v>
      </c>
      <c r="G29" s="40"/>
      <c r="H29" s="507" t="s">
        <v>42</v>
      </c>
      <c r="I29" s="506" t="s">
        <v>43</v>
      </c>
      <c r="J29" s="506" t="s">
        <v>44</v>
      </c>
      <c r="K29" s="506" t="s">
        <v>875</v>
      </c>
      <c r="L29" s="506" t="s">
        <v>45</v>
      </c>
      <c r="M29" s="506" t="s">
        <v>46</v>
      </c>
      <c r="N29" s="506" t="s">
        <v>133</v>
      </c>
      <c r="O29" s="506" t="s">
        <v>134</v>
      </c>
      <c r="P29" s="506" t="s">
        <v>135</v>
      </c>
      <c r="Q29" s="506" t="s">
        <v>136</v>
      </c>
      <c r="S29" s="93"/>
      <c r="AA29" s="137"/>
    </row>
    <row r="30" spans="3:40" ht="19.5" customHeight="1" x14ac:dyDescent="0.45">
      <c r="C30" s="191" t="s">
        <v>549</v>
      </c>
      <c r="D30" s="294">
        <f>IF(Param_General!U25&gt;1000,0,IF(Param_General!U25&gt;0,Param_General!U25-1,IF(Param_General!U25&lt;0,Param_General!U25+1,0)))</f>
        <v>0</v>
      </c>
      <c r="E30" s="294" t="s">
        <v>65</v>
      </c>
      <c r="F30" s="294" t="s">
        <v>65</v>
      </c>
      <c r="G30" s="39"/>
      <c r="H30" s="508"/>
      <c r="I30" s="506"/>
      <c r="J30" s="506"/>
      <c r="K30" s="506"/>
      <c r="L30" s="506"/>
      <c r="M30" s="506"/>
      <c r="N30" s="506"/>
      <c r="O30" s="506"/>
      <c r="P30" s="506"/>
      <c r="Q30" s="506"/>
      <c r="S30" s="93"/>
    </row>
    <row r="31" spans="3:40" ht="24" customHeight="1" x14ac:dyDescent="0.45">
      <c r="C31" s="191" t="s">
        <v>38</v>
      </c>
      <c r="D31" s="294">
        <f>IF(Param_General!U26&gt;1000,0,IF(Param_General!U26&gt;0,Param_General!U26-1,IF(Param_General!U26&lt;0,Param_General!U26+1,0)))</f>
        <v>0</v>
      </c>
      <c r="E31" s="294">
        <f>IF(Param_General!W26&gt;1000,0,IF(Param_General!W26&gt;0,Param_General!W26-1,IF(Param_General!W26&lt;0,Param_General!W26+1,0)))</f>
        <v>-11</v>
      </c>
      <c r="F31" s="295">
        <f>Param_General!AA26</f>
        <v>1</v>
      </c>
      <c r="G31" s="39"/>
      <c r="H31" s="496">
        <f>Diseño!M4</f>
        <v>0</v>
      </c>
      <c r="I31" s="496">
        <f>Diseño!M5</f>
        <v>0</v>
      </c>
      <c r="J31" s="496">
        <f>COUNTIF(Diseño!M11:M1985,"No se pudo ejecutar")</f>
        <v>0</v>
      </c>
      <c r="K31" s="496">
        <f>L31-H31-I31-J31</f>
        <v>5</v>
      </c>
      <c r="L31" s="496">
        <f>COUNT(Diseño!E11:E1985)</f>
        <v>5</v>
      </c>
      <c r="M31" s="496">
        <f>H31+I31+J31</f>
        <v>0</v>
      </c>
      <c r="N31" s="486">
        <f>H31/L31</f>
        <v>0</v>
      </c>
      <c r="O31" s="486">
        <f>I31/L31</f>
        <v>0</v>
      </c>
      <c r="P31" s="486">
        <f>M31/L31</f>
        <v>0</v>
      </c>
      <c r="Q31" s="486">
        <f>K31/L31</f>
        <v>1</v>
      </c>
      <c r="S31" s="93"/>
    </row>
    <row r="32" spans="3:40" ht="18.5" x14ac:dyDescent="0.45">
      <c r="C32" s="191" t="s">
        <v>570</v>
      </c>
      <c r="D32" s="294">
        <f>IF(Param_General!U27&gt;1000,0,IF(Param_General!U27&gt;0,Param_General!U27-1,IF(Param_General!U27&lt;0,Param_General!U27+1,0)))</f>
        <v>0</v>
      </c>
      <c r="E32" s="294">
        <f>IF(Param_General!W27&gt;1000,0,IF(Param_General!W27&gt;0,Param_General!W27-1,IF(Param_General!W27&lt;0,Param_General!W27+1,0)))</f>
        <v>0</v>
      </c>
      <c r="F32" s="295">
        <f>Param_General!AA27</f>
        <v>0</v>
      </c>
      <c r="G32" s="39"/>
      <c r="H32" s="496"/>
      <c r="I32" s="496"/>
      <c r="J32" s="496"/>
      <c r="K32" s="496"/>
      <c r="L32" s="496"/>
      <c r="M32" s="496"/>
      <c r="N32" s="486"/>
      <c r="O32" s="486"/>
      <c r="P32" s="486"/>
      <c r="Q32" s="486"/>
      <c r="S32" s="93"/>
    </row>
    <row r="33" spans="3:44" ht="18.5" x14ac:dyDescent="0.45">
      <c r="C33" s="191" t="s">
        <v>571</v>
      </c>
      <c r="D33" s="294">
        <f>IF(Param_General!U28&gt;1000,0,IF(Param_General!U28&gt;0,Param_General!U28-1,IF(Param_General!U28&lt;0,Param_General!U28+1,0)))</f>
        <v>0</v>
      </c>
      <c r="E33" s="294">
        <f>IF(Param_General!W28&gt;1000,0,IF(Param_General!W28&gt;0,Param_General!W28-1,IF(Param_General!W28&lt;0,Param_General!W28+1,0)))</f>
        <v>0</v>
      </c>
      <c r="F33" s="295">
        <f>Param_General!AA28</f>
        <v>0</v>
      </c>
      <c r="G33" s="39"/>
      <c r="H33" s="97"/>
      <c r="I33" s="97"/>
      <c r="J33" s="97"/>
      <c r="K33" s="97"/>
      <c r="L33" s="97"/>
      <c r="M33" s="97"/>
      <c r="N33" s="98"/>
      <c r="O33" s="98"/>
      <c r="P33" s="98"/>
      <c r="Q33" s="98"/>
      <c r="S33" s="93"/>
    </row>
    <row r="34" spans="3:44" ht="18.5" x14ac:dyDescent="0.45">
      <c r="C34" s="191" t="s">
        <v>74</v>
      </c>
      <c r="D34" s="294">
        <f>IF(Param_General!U29&gt;1000,0,IF(Param_General!U29&gt;0,Param_General!U29-1,IF(Param_General!U29&lt;0,Param_General!U29+1,0)))</f>
        <v>0</v>
      </c>
      <c r="E34" s="294">
        <f>IF(Param_General!W29&gt;1000,0,IF(Param_General!W29&gt;0,Param_General!W29-1,IF(Param_General!W29&lt;0,Param_General!W29+1,0)))</f>
        <v>0</v>
      </c>
      <c r="F34" s="295">
        <f>Param_General!AA29</f>
        <v>0</v>
      </c>
      <c r="G34" s="39"/>
      <c r="H34" s="536" t="s">
        <v>757</v>
      </c>
      <c r="I34" s="536"/>
      <c r="J34" s="536"/>
      <c r="K34" s="192">
        <f>IF(M20&lt;=I20,0,IF(M20&gt;I20,1-(I20/M20),"F"))</f>
        <v>0</v>
      </c>
      <c r="L34" s="537">
        <f>IF(K34&lt;Param_General!$AV$4,Param_General!AW5,IF(AND(K34&gt;=Param_General!AV4,K34&lt;=Param_General!AW4),Param_General!AW6,IF(K34&gt;Param_General!AW4,Param_General!AW7)))</f>
        <v>0</v>
      </c>
      <c r="M34" s="537"/>
      <c r="N34" s="537"/>
      <c r="O34" s="537"/>
      <c r="P34" s="537"/>
      <c r="Q34" s="537"/>
      <c r="S34" s="93"/>
    </row>
    <row r="35" spans="3:44" ht="18.5" x14ac:dyDescent="0.45">
      <c r="C35" s="191" t="s">
        <v>216</v>
      </c>
      <c r="D35" s="294">
        <f>IF(Param_General!U30&gt;1000,0,IF(Param_General!U30&gt;0,Param_General!U30-1,IF(Param_General!U30&lt;0,Param_General!U30+1,0)))</f>
        <v>0</v>
      </c>
      <c r="E35" s="294">
        <f>IF(Param_General!W30&gt;1000,0,IF(Param_General!W30&gt;0,Param_General!W30-1,IF(Param_General!W30&lt;0,Param_General!W30+1,0)))</f>
        <v>0</v>
      </c>
      <c r="F35" s="295">
        <f>Param_General!AA30</f>
        <v>0</v>
      </c>
      <c r="G35" s="39"/>
      <c r="H35" s="98"/>
      <c r="I35" s="98"/>
      <c r="J35" s="98"/>
      <c r="K35" s="98"/>
      <c r="L35" s="98"/>
      <c r="M35" s="97"/>
      <c r="N35" s="98"/>
      <c r="O35" s="98"/>
      <c r="P35" s="98"/>
      <c r="Q35" s="98"/>
      <c r="S35" s="93"/>
    </row>
    <row r="36" spans="3:44" ht="18.5" x14ac:dyDescent="0.45">
      <c r="C36" s="40"/>
      <c r="D36" s="39"/>
      <c r="E36" s="39"/>
      <c r="F36" s="39"/>
      <c r="G36" s="39"/>
      <c r="H36" s="39"/>
      <c r="I36" s="40"/>
      <c r="J36" s="40"/>
      <c r="K36" s="39"/>
      <c r="L36" s="39"/>
      <c r="M36" s="40"/>
      <c r="N36" s="40"/>
      <c r="O36" s="94"/>
      <c r="P36" s="94"/>
      <c r="Q36" s="94"/>
      <c r="S36" s="93"/>
    </row>
    <row r="37" spans="3:44" ht="18.5" x14ac:dyDescent="0.45">
      <c r="C37" s="539" t="s">
        <v>714</v>
      </c>
      <c r="D37" s="539"/>
      <c r="E37" s="539"/>
      <c r="F37" s="539"/>
      <c r="G37" s="539"/>
      <c r="H37" s="539"/>
      <c r="I37" s="539"/>
      <c r="J37" s="539"/>
      <c r="K37" s="539"/>
      <c r="L37" s="539"/>
      <c r="M37" s="539"/>
      <c r="N37" s="539"/>
      <c r="O37" s="539"/>
      <c r="P37" s="539"/>
      <c r="Q37" s="94"/>
      <c r="S37" s="93"/>
    </row>
    <row r="38" spans="3:44" ht="18.5" x14ac:dyDescent="0.45">
      <c r="C38" s="505" t="s">
        <v>686</v>
      </c>
      <c r="D38" s="505"/>
      <c r="E38" s="505"/>
      <c r="F38" s="505"/>
      <c r="G38" s="505"/>
      <c r="H38" s="193" t="s">
        <v>139</v>
      </c>
      <c r="I38" s="194" t="s">
        <v>140</v>
      </c>
      <c r="J38" s="193" t="s">
        <v>144</v>
      </c>
      <c r="K38" s="194" t="s">
        <v>143</v>
      </c>
      <c r="L38" s="194" t="s">
        <v>146</v>
      </c>
      <c r="M38" s="194" t="s">
        <v>145</v>
      </c>
      <c r="N38" s="194" t="s">
        <v>141</v>
      </c>
      <c r="O38" s="194" t="s">
        <v>717</v>
      </c>
      <c r="P38" s="194" t="s">
        <v>684</v>
      </c>
      <c r="Q38" s="94"/>
      <c r="S38" s="93"/>
      <c r="U38" s="482" t="s">
        <v>685</v>
      </c>
      <c r="V38" s="482"/>
      <c r="W38" s="482"/>
      <c r="X38" s="482"/>
      <c r="Y38" s="482"/>
      <c r="Z38" s="482"/>
      <c r="AA38" s="482"/>
      <c r="AB38" s="482"/>
      <c r="AC38" s="482"/>
      <c r="AD38" s="482"/>
      <c r="AE38" s="482"/>
      <c r="AF38" s="482"/>
      <c r="AG38" s="482"/>
      <c r="AH38" s="482"/>
      <c r="AI38" s="482"/>
      <c r="AJ38" s="482"/>
      <c r="AK38" s="482"/>
      <c r="AL38" s="482"/>
      <c r="AM38" s="482"/>
      <c r="AN38" s="482"/>
    </row>
    <row r="39" spans="3:44" ht="18.5" x14ac:dyDescent="0.45">
      <c r="C39" s="446" t="s">
        <v>221</v>
      </c>
      <c r="D39" s="446"/>
      <c r="E39" s="446"/>
      <c r="F39" s="446"/>
      <c r="G39" s="446"/>
      <c r="H39" s="289">
        <f>Param_General!$C$43</f>
        <v>0</v>
      </c>
      <c r="I39" s="289">
        <f>Param_General!$D$43</f>
        <v>0</v>
      </c>
      <c r="J39" s="289">
        <f>Param_General!$F$43</f>
        <v>0</v>
      </c>
      <c r="K39" s="289">
        <f>Param_General!$G$43</f>
        <v>0</v>
      </c>
      <c r="L39" s="289">
        <f>Param_General!$H$43</f>
        <v>0</v>
      </c>
      <c r="M39" s="289">
        <f>Param_General!$J$43</f>
        <v>0</v>
      </c>
      <c r="N39" s="289">
        <f>Param_General!$K$43</f>
        <v>0</v>
      </c>
      <c r="O39" s="296">
        <f>SUM(J39:N39)</f>
        <v>0</v>
      </c>
      <c r="P39" s="289">
        <f>SUM(H39:N39)</f>
        <v>0</v>
      </c>
      <c r="Q39" s="94"/>
      <c r="S39" s="93"/>
      <c r="U39" s="512" t="s">
        <v>718</v>
      </c>
      <c r="V39" s="512"/>
      <c r="W39" s="512"/>
      <c r="X39" s="512"/>
      <c r="Y39" s="512"/>
      <c r="Z39" s="512"/>
      <c r="AA39" s="538" t="s">
        <v>720</v>
      </c>
      <c r="AB39" s="538"/>
      <c r="AC39" s="538"/>
      <c r="AD39" s="538"/>
      <c r="AE39" s="538"/>
      <c r="AF39" s="538"/>
      <c r="AG39" s="538"/>
      <c r="AH39" s="538"/>
      <c r="AI39" s="538"/>
      <c r="AJ39" s="512" t="s">
        <v>730</v>
      </c>
      <c r="AK39" s="512"/>
      <c r="AL39" s="512"/>
      <c r="AM39" s="512"/>
      <c r="AN39" s="512"/>
      <c r="AO39" s="96"/>
      <c r="AP39" s="96"/>
      <c r="AQ39" s="96"/>
      <c r="AR39" s="96"/>
    </row>
    <row r="40" spans="3:44" ht="18.5" x14ac:dyDescent="0.45">
      <c r="C40" s="446" t="s">
        <v>22</v>
      </c>
      <c r="D40" s="446"/>
      <c r="E40" s="446"/>
      <c r="F40" s="446"/>
      <c r="G40" s="446"/>
      <c r="H40" s="289">
        <f>Param_General!$C$44</f>
        <v>0</v>
      </c>
      <c r="I40" s="289">
        <f>Param_General!$D$44</f>
        <v>0</v>
      </c>
      <c r="J40" s="289">
        <f>Param_General!$F$44</f>
        <v>0</v>
      </c>
      <c r="K40" s="289">
        <f>Param_General!$G$44</f>
        <v>0</v>
      </c>
      <c r="L40" s="289">
        <f>Param_General!$H$44</f>
        <v>0</v>
      </c>
      <c r="M40" s="289">
        <f>Param_General!$J$44</f>
        <v>0</v>
      </c>
      <c r="N40" s="289">
        <f>Param_General!$K$44</f>
        <v>0</v>
      </c>
      <c r="O40" s="296">
        <f>SUM(J40:N40)</f>
        <v>0</v>
      </c>
      <c r="P40" s="289">
        <f>SUM(H40:N40)</f>
        <v>0</v>
      </c>
      <c r="Q40" s="94"/>
      <c r="S40" s="93"/>
    </row>
    <row r="41" spans="3:44" ht="18.5" x14ac:dyDescent="0.45">
      <c r="C41" s="446" t="s">
        <v>21</v>
      </c>
      <c r="D41" s="446"/>
      <c r="E41" s="446"/>
      <c r="F41" s="446"/>
      <c r="G41" s="446"/>
      <c r="H41" s="289">
        <f>Param_General!$C$45</f>
        <v>0</v>
      </c>
      <c r="I41" s="289">
        <f>Param_General!$D$45</f>
        <v>0</v>
      </c>
      <c r="J41" s="289">
        <f>Param_General!$F$45</f>
        <v>0</v>
      </c>
      <c r="K41" s="289">
        <f>Param_General!$G$45</f>
        <v>0</v>
      </c>
      <c r="L41" s="289">
        <f>Param_General!$H$45</f>
        <v>0</v>
      </c>
      <c r="M41" s="289">
        <f>Param_General!$J$45</f>
        <v>0</v>
      </c>
      <c r="N41" s="289">
        <f>Param_General!$K$45</f>
        <v>0</v>
      </c>
      <c r="O41" s="296">
        <f t="shared" ref="O41" si="10">SUM(J41:N41)</f>
        <v>0</v>
      </c>
      <c r="P41" s="289">
        <f>SUM(H41:N41)</f>
        <v>0</v>
      </c>
      <c r="Q41" s="94"/>
      <c r="S41" s="93"/>
    </row>
    <row r="42" spans="3:44" ht="18.75" customHeight="1" x14ac:dyDescent="0.45">
      <c r="C42" s="446" t="s">
        <v>20</v>
      </c>
      <c r="D42" s="446"/>
      <c r="E42" s="446"/>
      <c r="F42" s="446"/>
      <c r="G42" s="446"/>
      <c r="H42" s="289">
        <f>Param_General!$C$46</f>
        <v>0</v>
      </c>
      <c r="I42" s="289">
        <f>Param_General!$D$46</f>
        <v>0</v>
      </c>
      <c r="J42" s="289">
        <f>Param_General!$F$46</f>
        <v>0</v>
      </c>
      <c r="K42" s="289">
        <f>Param_General!$G$46</f>
        <v>0</v>
      </c>
      <c r="L42" s="289">
        <f>Param_General!$H$46</f>
        <v>0</v>
      </c>
      <c r="M42" s="289">
        <f>Param_General!$J$46</f>
        <v>0</v>
      </c>
      <c r="N42" s="289">
        <f>Param_General!$K$46</f>
        <v>0</v>
      </c>
      <c r="O42" s="296">
        <f>SUM(J42:N42)</f>
        <v>0</v>
      </c>
      <c r="P42" s="289">
        <f>SUM(H42:N42)</f>
        <v>0</v>
      </c>
      <c r="Q42" s="94"/>
      <c r="S42" s="93"/>
    </row>
    <row r="43" spans="3:44" ht="18.5" x14ac:dyDescent="0.45">
      <c r="C43" s="39"/>
      <c r="D43" s="39"/>
      <c r="E43" s="504" t="s">
        <v>213</v>
      </c>
      <c r="F43" s="504"/>
      <c r="G43" s="504"/>
      <c r="H43" s="289">
        <f t="shared" ref="H43:N43" si="11">SUM(H39:H42)</f>
        <v>0</v>
      </c>
      <c r="I43" s="289">
        <f t="shared" si="11"/>
        <v>0</v>
      </c>
      <c r="J43" s="289">
        <f t="shared" si="11"/>
        <v>0</v>
      </c>
      <c r="K43" s="289">
        <f t="shared" si="11"/>
        <v>0</v>
      </c>
      <c r="L43" s="289">
        <f t="shared" si="11"/>
        <v>0</v>
      </c>
      <c r="M43" s="289">
        <f t="shared" si="11"/>
        <v>0</v>
      </c>
      <c r="N43" s="289">
        <f t="shared" si="11"/>
        <v>0</v>
      </c>
      <c r="O43" s="296">
        <f>SUM(J43,M43,N43)</f>
        <v>0</v>
      </c>
      <c r="P43" s="294">
        <f>SUM(P39:P42)</f>
        <v>0</v>
      </c>
      <c r="Q43" s="94"/>
      <c r="S43" s="93"/>
    </row>
    <row r="44" spans="3:44" ht="18.5" x14ac:dyDescent="0.45">
      <c r="C44" s="39"/>
      <c r="D44" s="39"/>
      <c r="E44" s="39"/>
      <c r="F44" s="39"/>
      <c r="G44" s="39"/>
      <c r="H44" s="39"/>
      <c r="I44" s="39"/>
      <c r="J44" s="39"/>
      <c r="K44" s="39"/>
      <c r="L44" s="39"/>
      <c r="M44" s="39"/>
      <c r="N44" s="39"/>
      <c r="O44" s="39"/>
      <c r="P44" s="39"/>
      <c r="Q44" s="39"/>
      <c r="S44" s="93"/>
    </row>
    <row r="45" spans="3:44" ht="18.5" x14ac:dyDescent="0.45">
      <c r="C45" s="482" t="s">
        <v>716</v>
      </c>
      <c r="D45" s="482"/>
      <c r="E45" s="482"/>
      <c r="F45" s="482"/>
      <c r="G45" s="482"/>
      <c r="H45" s="482"/>
      <c r="I45" s="482"/>
      <c r="J45" s="482"/>
      <c r="K45" s="482"/>
      <c r="L45" s="482"/>
      <c r="M45" s="482"/>
      <c r="N45" s="482"/>
      <c r="O45" s="482"/>
      <c r="P45" s="482"/>
      <c r="Q45" s="94"/>
      <c r="S45" s="93"/>
    </row>
    <row r="46" spans="3:44" ht="18.5" x14ac:dyDescent="0.45">
      <c r="C46" s="40"/>
      <c r="D46" s="39"/>
      <c r="E46" s="39"/>
      <c r="F46" s="39"/>
      <c r="G46" s="39"/>
      <c r="H46" s="39"/>
      <c r="I46" s="40"/>
      <c r="J46" s="40"/>
      <c r="K46" s="39"/>
      <c r="L46" s="39"/>
      <c r="M46" s="40"/>
      <c r="N46" s="40"/>
      <c r="O46" s="94"/>
      <c r="P46" s="94"/>
      <c r="Q46" s="94"/>
      <c r="S46" s="93"/>
    </row>
    <row r="47" spans="3:44" ht="18.5" x14ac:dyDescent="0.45">
      <c r="C47" s="540" t="str">
        <f>CONCATENATE("Incidentes aplicables Proveedor  1 - ",Planeación!H11)</f>
        <v>Incidentes aplicables Proveedor  1 - Proveedor 1x</v>
      </c>
      <c r="D47" s="540"/>
      <c r="E47" s="540"/>
      <c r="F47" s="540"/>
      <c r="G47" s="540"/>
      <c r="H47" s="540"/>
      <c r="I47" s="540"/>
      <c r="K47" s="540" t="str">
        <f>CONCATENATE("Incidentes aplicables Proveedor  2 - ",Planeación!K11)</f>
        <v>Incidentes aplicables Proveedor  2 - Proveedor 2x</v>
      </c>
      <c r="L47" s="540"/>
      <c r="M47" s="540"/>
      <c r="N47" s="540"/>
      <c r="O47" s="540"/>
      <c r="P47" s="540"/>
      <c r="Q47" s="40"/>
      <c r="S47" s="93"/>
    </row>
    <row r="48" spans="3:44" ht="18.5" x14ac:dyDescent="0.45">
      <c r="C48" s="195" t="s">
        <v>715</v>
      </c>
      <c r="D48" s="193" t="s">
        <v>221</v>
      </c>
      <c r="E48" s="193" t="s">
        <v>22</v>
      </c>
      <c r="F48" s="504" t="s">
        <v>21</v>
      </c>
      <c r="G48" s="504"/>
      <c r="H48" s="193" t="s">
        <v>20</v>
      </c>
      <c r="I48" s="193" t="s">
        <v>684</v>
      </c>
      <c r="K48" s="195" t="s">
        <v>715</v>
      </c>
      <c r="L48" s="193" t="s">
        <v>221</v>
      </c>
      <c r="M48" s="193" t="s">
        <v>22</v>
      </c>
      <c r="N48" s="193" t="s">
        <v>21</v>
      </c>
      <c r="O48" s="193" t="s">
        <v>20</v>
      </c>
      <c r="P48" s="193" t="s">
        <v>684</v>
      </c>
      <c r="Q48" s="40"/>
      <c r="S48" s="93"/>
    </row>
    <row r="49" spans="3:44" ht="17.25" customHeight="1" x14ac:dyDescent="0.45">
      <c r="C49" s="196" t="s">
        <v>144</v>
      </c>
      <c r="D49" s="289">
        <f>Param_General!$C$66</f>
        <v>0</v>
      </c>
      <c r="E49" s="289">
        <f>Param_General!$D$66</f>
        <v>0</v>
      </c>
      <c r="F49" s="496">
        <f>Param_General!$F$66</f>
        <v>0</v>
      </c>
      <c r="G49" s="496"/>
      <c r="H49" s="289">
        <f>Param_General!$G$66</f>
        <v>0</v>
      </c>
      <c r="I49" s="289">
        <f>SUM(D49:H49)</f>
        <v>0</v>
      </c>
      <c r="K49" s="196" t="s">
        <v>144</v>
      </c>
      <c r="L49" s="289">
        <f>Param_General!$C$67</f>
        <v>0</v>
      </c>
      <c r="M49" s="297">
        <f>Param_General!$D$67</f>
        <v>0</v>
      </c>
      <c r="N49" s="296">
        <f>Param_General!$F$67</f>
        <v>0</v>
      </c>
      <c r="O49" s="289">
        <f>Param_General!$G$67</f>
        <v>0</v>
      </c>
      <c r="P49" s="289">
        <f>SUM(L49:O49)</f>
        <v>0</v>
      </c>
      <c r="Q49" s="40"/>
      <c r="S49" s="93"/>
    </row>
    <row r="50" spans="3:44" ht="17.25" customHeight="1" x14ac:dyDescent="0.45">
      <c r="C50" s="197" t="s">
        <v>145</v>
      </c>
      <c r="D50" s="289">
        <f>Param_General!$S$66</f>
        <v>0</v>
      </c>
      <c r="E50" s="289">
        <f>Param_General!$T$66</f>
        <v>0</v>
      </c>
      <c r="F50" s="496">
        <f>Param_General!$V$66</f>
        <v>0</v>
      </c>
      <c r="G50" s="496"/>
      <c r="H50" s="289">
        <f>Param_General!$Z$66</f>
        <v>0</v>
      </c>
      <c r="I50" s="289">
        <f>SUM(D50:H50)</f>
        <v>0</v>
      </c>
      <c r="K50" s="197" t="s">
        <v>145</v>
      </c>
      <c r="L50" s="289">
        <f>Param_General!$S$67</f>
        <v>0</v>
      </c>
      <c r="M50" s="289">
        <f>Param_General!$T$67</f>
        <v>0</v>
      </c>
      <c r="N50" s="296">
        <f>Param_General!$V$67</f>
        <v>0</v>
      </c>
      <c r="O50" s="289">
        <f>Param_General!$Z$67</f>
        <v>0</v>
      </c>
      <c r="P50" s="289">
        <f>SUM(L50:O50)</f>
        <v>0</v>
      </c>
      <c r="Q50" s="40"/>
      <c r="S50" s="93"/>
    </row>
    <row r="51" spans="3:44" ht="17.25" customHeight="1" x14ac:dyDescent="0.45">
      <c r="C51" s="197" t="s">
        <v>141</v>
      </c>
      <c r="D51" s="289">
        <f>Param_General!$AA$66</f>
        <v>0</v>
      </c>
      <c r="E51" s="289">
        <f>Param_General!$AC$66</f>
        <v>0</v>
      </c>
      <c r="F51" s="496">
        <f>Param_General!$AE$66</f>
        <v>0</v>
      </c>
      <c r="G51" s="496"/>
      <c r="H51" s="289">
        <f>Param_General!$AH$66</f>
        <v>0</v>
      </c>
      <c r="I51" s="289">
        <f>SUM(D51:H51)</f>
        <v>0</v>
      </c>
      <c r="K51" s="197" t="s">
        <v>141</v>
      </c>
      <c r="L51" s="289">
        <f>Param_General!$AA$67</f>
        <v>0</v>
      </c>
      <c r="M51" s="289">
        <f>Param_General!$AC$67</f>
        <v>0</v>
      </c>
      <c r="N51" s="296">
        <f>Param_General!$AE$67</f>
        <v>0</v>
      </c>
      <c r="O51" s="289">
        <f>Param_General!$AH$67</f>
        <v>0</v>
      </c>
      <c r="P51" s="289">
        <f>SUM(L51:O51)</f>
        <v>0</v>
      </c>
      <c r="Q51" s="40"/>
      <c r="S51" s="93"/>
      <c r="AJ51" s="96"/>
      <c r="AK51" s="96"/>
      <c r="AL51" s="96"/>
      <c r="AM51" s="96"/>
      <c r="AN51" s="96"/>
    </row>
    <row r="52" spans="3:44" ht="17.25" customHeight="1" x14ac:dyDescent="0.45">
      <c r="C52" s="197" t="s">
        <v>143</v>
      </c>
      <c r="D52" s="289">
        <f>Param_General!$H$66</f>
        <v>0</v>
      </c>
      <c r="E52" s="289">
        <f>Param_General!$I$66</f>
        <v>0</v>
      </c>
      <c r="F52" s="496">
        <f>Param_General!$K$66</f>
        <v>0</v>
      </c>
      <c r="G52" s="496"/>
      <c r="H52" s="289">
        <f>Param_General!$L$66</f>
        <v>0</v>
      </c>
      <c r="I52" s="289">
        <f>SUM(D52:H52)</f>
        <v>0</v>
      </c>
      <c r="K52" s="197" t="s">
        <v>143</v>
      </c>
      <c r="L52" s="289">
        <f>Param_General!$H$67</f>
        <v>0</v>
      </c>
      <c r="M52" s="289">
        <f>Param_General!$I$67</f>
        <v>0</v>
      </c>
      <c r="N52" s="296">
        <f>Param_General!$K$67</f>
        <v>0</v>
      </c>
      <c r="O52" s="289">
        <f>Param_General!$L$67</f>
        <v>0</v>
      </c>
      <c r="P52" s="289">
        <f>SUM(L52:O52)</f>
        <v>0</v>
      </c>
      <c r="Q52" s="40"/>
      <c r="S52" s="93"/>
      <c r="U52" s="175"/>
      <c r="V52" s="175"/>
      <c r="W52" s="175"/>
      <c r="X52" s="175"/>
      <c r="Y52" s="175"/>
      <c r="Z52" s="175"/>
      <c r="AA52" s="175"/>
      <c r="AB52" s="175"/>
      <c r="AC52" s="175"/>
      <c r="AD52" s="175"/>
      <c r="AE52" s="175"/>
      <c r="AF52" s="175"/>
      <c r="AG52" s="175"/>
      <c r="AH52" s="175"/>
      <c r="AI52" s="175"/>
      <c r="AJ52" s="96"/>
      <c r="AK52" s="96"/>
      <c r="AL52" s="96"/>
      <c r="AM52" s="96"/>
      <c r="AN52" s="96"/>
    </row>
    <row r="53" spans="3:44" ht="17.25" customHeight="1" x14ac:dyDescent="0.45">
      <c r="C53" s="197" t="s">
        <v>146</v>
      </c>
      <c r="D53" s="289">
        <f>Param_General!$M$66</f>
        <v>0</v>
      </c>
      <c r="E53" s="289">
        <f>Param_General!$O$66</f>
        <v>0</v>
      </c>
      <c r="F53" s="496">
        <f>Param_General!$P$66</f>
        <v>0</v>
      </c>
      <c r="G53" s="496"/>
      <c r="H53" s="289">
        <f>Param_General!$Q$66</f>
        <v>0</v>
      </c>
      <c r="I53" s="289">
        <f>SUM(D53:H53)</f>
        <v>0</v>
      </c>
      <c r="K53" s="197" t="s">
        <v>146</v>
      </c>
      <c r="L53" s="289">
        <f>Param_General!$M$67</f>
        <v>0</v>
      </c>
      <c r="M53" s="289">
        <f>Param_General!$O$67</f>
        <v>0</v>
      </c>
      <c r="N53" s="296">
        <f>Param_General!$P$67</f>
        <v>0</v>
      </c>
      <c r="O53" s="289">
        <f>Param_General!$Q$67</f>
        <v>0</v>
      </c>
      <c r="P53" s="289">
        <f>SUM(L53:O53)</f>
        <v>0</v>
      </c>
      <c r="Q53" s="40"/>
      <c r="S53" s="93"/>
      <c r="U53" s="512" t="s">
        <v>792</v>
      </c>
      <c r="V53" s="512"/>
      <c r="W53" s="512"/>
      <c r="X53" s="512"/>
      <c r="Y53" s="512"/>
      <c r="Z53" s="512"/>
      <c r="AA53" s="512" t="s">
        <v>719</v>
      </c>
      <c r="AB53" s="512"/>
      <c r="AC53" s="512"/>
      <c r="AD53" s="512"/>
      <c r="AE53" s="512"/>
      <c r="AF53" s="512"/>
      <c r="AG53" s="512"/>
      <c r="AH53" s="512"/>
      <c r="AI53" s="512"/>
      <c r="AJ53" s="96"/>
      <c r="AK53" s="96"/>
      <c r="AL53" s="96"/>
      <c r="AM53" s="96"/>
      <c r="AN53" s="96"/>
    </row>
    <row r="54" spans="3:44" ht="17.25" customHeight="1" x14ac:dyDescent="0.45">
      <c r="C54" s="193" t="s">
        <v>684</v>
      </c>
      <c r="D54" s="289">
        <f>SUM(D49:D53)</f>
        <v>0</v>
      </c>
      <c r="E54" s="289">
        <f>SUM(E49:E53)</f>
        <v>0</v>
      </c>
      <c r="F54" s="496">
        <f>SUM(F49:G53)</f>
        <v>0</v>
      </c>
      <c r="G54" s="496"/>
      <c r="H54" s="289">
        <f>SUM(H49:H53)</f>
        <v>0</v>
      </c>
      <c r="I54" s="198">
        <f>SUM(I49:I53)</f>
        <v>0</v>
      </c>
      <c r="K54" s="193" t="s">
        <v>684</v>
      </c>
      <c r="L54" s="296">
        <f>SUM(L49:L53)</f>
        <v>0</v>
      </c>
      <c r="M54" s="296">
        <f>SUM(M49:M53)</f>
        <v>0</v>
      </c>
      <c r="N54" s="296">
        <f>SUM(N49:N53)</f>
        <v>0</v>
      </c>
      <c r="O54" s="296">
        <f>SUM(O49:O53)</f>
        <v>0</v>
      </c>
      <c r="P54" s="199">
        <f>SUM(P49:P53)</f>
        <v>0</v>
      </c>
      <c r="Q54" s="40"/>
      <c r="S54" s="93"/>
      <c r="AJ54" s="529" t="s">
        <v>845</v>
      </c>
      <c r="AK54" s="529"/>
      <c r="AL54" s="529"/>
      <c r="AM54" s="529"/>
      <c r="AN54" s="529"/>
      <c r="AO54" s="96"/>
      <c r="AP54" s="96"/>
      <c r="AQ54" s="96"/>
      <c r="AR54" s="96"/>
    </row>
    <row r="55" spans="3:44" ht="17.25" customHeight="1" x14ac:dyDescent="0.45">
      <c r="C55" s="40"/>
      <c r="D55" s="40"/>
      <c r="E55" s="40"/>
      <c r="F55" s="40"/>
      <c r="G55" s="40"/>
      <c r="H55" s="40"/>
      <c r="I55" s="40"/>
      <c r="J55" s="40"/>
      <c r="K55" s="40"/>
      <c r="L55" s="40"/>
      <c r="M55" s="40"/>
      <c r="N55" s="40"/>
      <c r="O55" s="40"/>
      <c r="P55" s="40"/>
      <c r="Q55" s="40"/>
      <c r="S55" s="93"/>
      <c r="AJ55" s="528" t="s">
        <v>846</v>
      </c>
      <c r="AK55" s="528"/>
      <c r="AL55" s="528"/>
      <c r="AM55" s="528"/>
      <c r="AN55" s="528"/>
    </row>
    <row r="56" spans="3:44" ht="17.25" customHeight="1" x14ac:dyDescent="0.45">
      <c r="C56" s="540" t="str">
        <f>CONCATENATE("Incidentes aplicables Proveedor  3 - ",Planeación!H12)</f>
        <v>Incidentes aplicables Proveedor  3 - Proveedor 3x</v>
      </c>
      <c r="D56" s="540"/>
      <c r="E56" s="540"/>
      <c r="F56" s="540"/>
      <c r="G56" s="540"/>
      <c r="H56" s="540"/>
      <c r="I56" s="540"/>
      <c r="J56" s="40"/>
      <c r="K56" s="540" t="str">
        <f>CONCATENATE("Incidentes aplicables Proveedor  4 - ",Planeación!K12)</f>
        <v>Incidentes aplicables Proveedor  4 - 0</v>
      </c>
      <c r="L56" s="540"/>
      <c r="M56" s="540"/>
      <c r="N56" s="540"/>
      <c r="O56" s="540"/>
      <c r="P56" s="540"/>
      <c r="Q56" s="40"/>
      <c r="S56" s="93"/>
      <c r="AJ56" s="528"/>
      <c r="AK56" s="528"/>
      <c r="AL56" s="528"/>
      <c r="AM56" s="528"/>
      <c r="AN56" s="528"/>
    </row>
    <row r="57" spans="3:44" ht="17.25" customHeight="1" x14ac:dyDescent="0.45">
      <c r="C57" s="195" t="s">
        <v>715</v>
      </c>
      <c r="D57" s="193" t="s">
        <v>221</v>
      </c>
      <c r="E57" s="193" t="s">
        <v>22</v>
      </c>
      <c r="F57" s="504" t="s">
        <v>21</v>
      </c>
      <c r="G57" s="504"/>
      <c r="H57" s="193" t="s">
        <v>20</v>
      </c>
      <c r="I57" s="193" t="s">
        <v>684</v>
      </c>
      <c r="J57" s="40"/>
      <c r="K57" s="195" t="s">
        <v>715</v>
      </c>
      <c r="L57" s="193" t="s">
        <v>221</v>
      </c>
      <c r="M57" s="193" t="s">
        <v>22</v>
      </c>
      <c r="N57" s="193" t="s">
        <v>21</v>
      </c>
      <c r="O57" s="193" t="s">
        <v>20</v>
      </c>
      <c r="P57" s="193" t="s">
        <v>684</v>
      </c>
      <c r="Q57" s="40"/>
      <c r="S57" s="93"/>
      <c r="AJ57" s="528"/>
      <c r="AK57" s="528"/>
      <c r="AL57" s="528"/>
      <c r="AM57" s="528"/>
      <c r="AN57" s="528"/>
    </row>
    <row r="58" spans="3:44" ht="17.25" customHeight="1" x14ac:dyDescent="0.45">
      <c r="C58" s="196" t="s">
        <v>144</v>
      </c>
      <c r="D58" s="289">
        <f>Param_General!$C$68</f>
        <v>0</v>
      </c>
      <c r="E58" s="297">
        <f>Param_General!$D$68</f>
        <v>0</v>
      </c>
      <c r="F58" s="496">
        <f>Param_General!$F$68</f>
        <v>0</v>
      </c>
      <c r="G58" s="496"/>
      <c r="H58" s="289">
        <f>Param_General!$G$68</f>
        <v>0</v>
      </c>
      <c r="I58" s="289">
        <f>SUM(D58:H58)</f>
        <v>0</v>
      </c>
      <c r="J58" s="40"/>
      <c r="K58" s="196" t="s">
        <v>144</v>
      </c>
      <c r="L58" s="289">
        <f>Param_General!$C$69</f>
        <v>0</v>
      </c>
      <c r="M58" s="297">
        <f>Param_General!$D$69</f>
        <v>0</v>
      </c>
      <c r="N58" s="296">
        <f>Param_General!$F$69</f>
        <v>0</v>
      </c>
      <c r="O58" s="289">
        <f>Param_General!$G$69</f>
        <v>0</v>
      </c>
      <c r="P58" s="289">
        <f>SUM(L58:O58)</f>
        <v>0</v>
      </c>
      <c r="Q58" s="40"/>
      <c r="S58" s="93"/>
      <c r="AJ58" s="528" t="s">
        <v>846</v>
      </c>
      <c r="AK58" s="528"/>
      <c r="AL58" s="528"/>
      <c r="AM58" s="528"/>
      <c r="AN58" s="528"/>
    </row>
    <row r="59" spans="3:44" ht="17.25" customHeight="1" x14ac:dyDescent="0.45">
      <c r="C59" s="197" t="s">
        <v>145</v>
      </c>
      <c r="D59" s="289">
        <f>Param_General!$S$68</f>
        <v>0</v>
      </c>
      <c r="E59" s="289">
        <f>Param_General!$T$68</f>
        <v>0</v>
      </c>
      <c r="F59" s="496">
        <f>Param_General!$V$68</f>
        <v>0</v>
      </c>
      <c r="G59" s="496"/>
      <c r="H59" s="289">
        <f>Param_General!$Z$68</f>
        <v>0</v>
      </c>
      <c r="I59" s="289">
        <f t="shared" ref="I59:I60" si="12">SUM(D59:H59)</f>
        <v>0</v>
      </c>
      <c r="J59" s="40"/>
      <c r="K59" s="197" t="s">
        <v>145</v>
      </c>
      <c r="L59" s="289">
        <f>Param_General!$S$69</f>
        <v>0</v>
      </c>
      <c r="M59" s="289">
        <f>Param_General!$T$69</f>
        <v>0</v>
      </c>
      <c r="N59" s="296">
        <f>Param_General!$V$69</f>
        <v>0</v>
      </c>
      <c r="O59" s="289">
        <f>Param_General!$Z$69</f>
        <v>0</v>
      </c>
      <c r="P59" s="289">
        <f t="shared" ref="P59:P62" si="13">SUM(L59:O59)</f>
        <v>0</v>
      </c>
      <c r="Q59" s="40"/>
      <c r="S59" s="93"/>
      <c r="AJ59" s="528"/>
      <c r="AK59" s="528"/>
      <c r="AL59" s="528"/>
      <c r="AM59" s="528"/>
      <c r="AN59" s="528"/>
    </row>
    <row r="60" spans="3:44" ht="17.25" customHeight="1" x14ac:dyDescent="0.45">
      <c r="C60" s="197" t="s">
        <v>141</v>
      </c>
      <c r="D60" s="289">
        <f>Param_General!$AA$68</f>
        <v>0</v>
      </c>
      <c r="E60" s="289">
        <f>Param_General!$AC$68</f>
        <v>0</v>
      </c>
      <c r="F60" s="496">
        <f>Param_General!$AE$68</f>
        <v>0</v>
      </c>
      <c r="G60" s="496"/>
      <c r="H60" s="289">
        <f>Param_General!$AH$68</f>
        <v>0</v>
      </c>
      <c r="I60" s="289">
        <f t="shared" si="12"/>
        <v>0</v>
      </c>
      <c r="J60" s="40"/>
      <c r="K60" s="197" t="s">
        <v>141</v>
      </c>
      <c r="L60" s="289">
        <f>Param_General!$AA$69</f>
        <v>0</v>
      </c>
      <c r="M60" s="289">
        <f>Param_General!$AC$69</f>
        <v>0</v>
      </c>
      <c r="N60" s="296">
        <f>Param_General!$AE$69</f>
        <v>0</v>
      </c>
      <c r="O60" s="289">
        <f>Param_General!$AH$69</f>
        <v>0</v>
      </c>
      <c r="P60" s="289">
        <f t="shared" si="13"/>
        <v>0</v>
      </c>
      <c r="Q60" s="40"/>
      <c r="S60" s="93"/>
      <c r="AJ60" s="528"/>
      <c r="AK60" s="528"/>
      <c r="AL60" s="528"/>
      <c r="AM60" s="528"/>
      <c r="AN60" s="528"/>
    </row>
    <row r="61" spans="3:44" ht="17.25" customHeight="1" x14ac:dyDescent="0.45">
      <c r="C61" s="197" t="s">
        <v>143</v>
      </c>
      <c r="D61" s="289">
        <f>Param_General!$H$68</f>
        <v>0</v>
      </c>
      <c r="E61" s="289">
        <f>Param_General!$I$68</f>
        <v>0</v>
      </c>
      <c r="F61" s="496">
        <f>Param_General!$K$68</f>
        <v>0</v>
      </c>
      <c r="G61" s="496"/>
      <c r="H61" s="289">
        <f>Param_General!$L$68</f>
        <v>0</v>
      </c>
      <c r="I61" s="289">
        <f>SUM(D61:H61)</f>
        <v>0</v>
      </c>
      <c r="J61" s="40"/>
      <c r="K61" s="197" t="s">
        <v>143</v>
      </c>
      <c r="L61" s="289">
        <f>Param_General!$H$69</f>
        <v>0</v>
      </c>
      <c r="M61" s="289">
        <f>Param_General!$I$69</f>
        <v>0</v>
      </c>
      <c r="N61" s="296">
        <f>Param_General!$K$69</f>
        <v>0</v>
      </c>
      <c r="O61" s="289">
        <f>Param_General!$L$69</f>
        <v>0</v>
      </c>
      <c r="P61" s="289">
        <f t="shared" si="13"/>
        <v>0</v>
      </c>
      <c r="Q61" s="40"/>
      <c r="S61" s="93"/>
      <c r="AJ61" s="530" t="s">
        <v>846</v>
      </c>
      <c r="AK61" s="531"/>
      <c r="AL61" s="531"/>
      <c r="AM61" s="531"/>
      <c r="AN61" s="532"/>
    </row>
    <row r="62" spans="3:44" ht="17.25" customHeight="1" x14ac:dyDescent="0.45">
      <c r="C62" s="197" t="s">
        <v>146</v>
      </c>
      <c r="D62" s="289">
        <f>Param_General!$M$68</f>
        <v>0</v>
      </c>
      <c r="E62" s="289">
        <f>Param_General!$O$68</f>
        <v>0</v>
      </c>
      <c r="F62" s="496">
        <f>Param_General!$P$68</f>
        <v>0</v>
      </c>
      <c r="G62" s="496"/>
      <c r="H62" s="289">
        <f>Param_General!$Q$68</f>
        <v>0</v>
      </c>
      <c r="I62" s="289">
        <f>SUM(D62:H62)</f>
        <v>0</v>
      </c>
      <c r="J62" s="40"/>
      <c r="K62" s="197" t="s">
        <v>146</v>
      </c>
      <c r="L62" s="289">
        <f>Param_General!$M$69</f>
        <v>0</v>
      </c>
      <c r="M62" s="289">
        <f>Param_General!$O$69</f>
        <v>0</v>
      </c>
      <c r="N62" s="296">
        <f>Param_General!$P$69</f>
        <v>0</v>
      </c>
      <c r="O62" s="289">
        <f>Param_General!$Q$69</f>
        <v>0</v>
      </c>
      <c r="P62" s="289">
        <f t="shared" si="13"/>
        <v>0</v>
      </c>
      <c r="Q62" s="40"/>
      <c r="S62" s="93"/>
      <c r="AJ62" s="533"/>
      <c r="AK62" s="534"/>
      <c r="AL62" s="534"/>
      <c r="AM62" s="534"/>
      <c r="AN62" s="535"/>
    </row>
    <row r="63" spans="3:44" ht="17.25" customHeight="1" x14ac:dyDescent="0.45">
      <c r="C63" s="193" t="s">
        <v>684</v>
      </c>
      <c r="D63" s="289">
        <f>SUM(D58:D62)</f>
        <v>0</v>
      </c>
      <c r="E63" s="289">
        <f>SUM(E58:E62)</f>
        <v>0</v>
      </c>
      <c r="F63" s="496">
        <f>SUM(F58:G62)</f>
        <v>0</v>
      </c>
      <c r="G63" s="496"/>
      <c r="H63" s="289">
        <f>SUM(H58:H62)</f>
        <v>0</v>
      </c>
      <c r="I63" s="198">
        <f>SUM(I58:I62)</f>
        <v>0</v>
      </c>
      <c r="J63" s="40"/>
      <c r="K63" s="193" t="s">
        <v>684</v>
      </c>
      <c r="L63" s="296">
        <f>SUM(L58:L62)</f>
        <v>0</v>
      </c>
      <c r="M63" s="296">
        <f>SUM(M58:M62)</f>
        <v>0</v>
      </c>
      <c r="N63" s="296">
        <f>SUM(N58:N62)</f>
        <v>0</v>
      </c>
      <c r="O63" s="296">
        <f>SUM(O58:O62)</f>
        <v>0</v>
      </c>
      <c r="P63" s="199">
        <f>SUM(P58:P62)</f>
        <v>0</v>
      </c>
      <c r="Q63" s="40"/>
      <c r="S63" s="93"/>
      <c r="AJ63" s="528" t="s">
        <v>846</v>
      </c>
      <c r="AK63" s="528"/>
      <c r="AL63" s="528"/>
      <c r="AM63" s="528"/>
      <c r="AN63" s="528"/>
    </row>
    <row r="64" spans="3:44" ht="17.25" customHeight="1" x14ac:dyDescent="0.45">
      <c r="C64" s="40"/>
      <c r="D64" s="40"/>
      <c r="E64" s="40"/>
      <c r="F64" s="40"/>
      <c r="G64" s="40"/>
      <c r="H64" s="40"/>
      <c r="I64" s="40"/>
      <c r="J64" s="40"/>
      <c r="K64" s="40"/>
      <c r="L64" s="40"/>
      <c r="M64" s="40"/>
      <c r="N64" s="40"/>
      <c r="O64" s="40"/>
      <c r="P64" s="40"/>
      <c r="Q64" s="40"/>
      <c r="S64" s="93"/>
      <c r="AJ64" s="528"/>
      <c r="AK64" s="528"/>
      <c r="AL64" s="528"/>
      <c r="AM64" s="528"/>
      <c r="AN64" s="528"/>
    </row>
    <row r="65" spans="3:40" ht="17.25" customHeight="1" x14ac:dyDescent="0.45">
      <c r="C65" s="482" t="s">
        <v>40</v>
      </c>
      <c r="D65" s="482"/>
      <c r="E65" s="482"/>
      <c r="F65" s="482"/>
      <c r="G65" s="482"/>
      <c r="H65" s="482"/>
      <c r="I65" s="482"/>
      <c r="J65" s="482"/>
      <c r="K65" s="482"/>
      <c r="L65" s="482"/>
      <c r="M65" s="482"/>
      <c r="N65" s="482"/>
      <c r="O65" s="482"/>
      <c r="P65" s="482"/>
      <c r="Q65" s="482"/>
      <c r="S65" s="93"/>
      <c r="AJ65" s="528"/>
      <c r="AK65" s="528"/>
      <c r="AL65" s="528"/>
      <c r="AM65" s="528"/>
      <c r="AN65" s="528"/>
    </row>
    <row r="66" spans="3:40" ht="17.25" customHeight="1" x14ac:dyDescent="0.45">
      <c r="C66" s="541"/>
      <c r="D66" s="541"/>
      <c r="E66" s="541"/>
      <c r="F66" s="541"/>
      <c r="G66" s="541"/>
      <c r="H66" s="541"/>
      <c r="I66" s="541"/>
      <c r="J66" s="541"/>
      <c r="K66" s="541"/>
      <c r="L66" s="541"/>
      <c r="M66" s="541"/>
      <c r="N66" s="541"/>
      <c r="O66" s="541"/>
      <c r="P66" s="541"/>
      <c r="Q66" s="541"/>
      <c r="S66" s="93"/>
      <c r="AJ66" s="528" t="s">
        <v>846</v>
      </c>
      <c r="AK66" s="528"/>
      <c r="AL66" s="528"/>
      <c r="AM66" s="528"/>
      <c r="AN66" s="528"/>
    </row>
    <row r="67" spans="3:40" ht="17.25" customHeight="1" x14ac:dyDescent="0.45">
      <c r="C67" s="541"/>
      <c r="D67" s="541"/>
      <c r="E67" s="541"/>
      <c r="F67" s="541"/>
      <c r="G67" s="541"/>
      <c r="H67" s="541"/>
      <c r="I67" s="541"/>
      <c r="J67" s="541"/>
      <c r="K67" s="541"/>
      <c r="L67" s="541"/>
      <c r="M67" s="541"/>
      <c r="N67" s="541"/>
      <c r="O67" s="541"/>
      <c r="P67" s="541"/>
      <c r="Q67" s="541"/>
      <c r="S67" s="93"/>
      <c r="AJ67" s="528"/>
      <c r="AK67" s="528"/>
      <c r="AL67" s="528"/>
      <c r="AM67" s="528"/>
      <c r="AN67" s="528"/>
    </row>
    <row r="68" spans="3:40" ht="17.25" customHeight="1" x14ac:dyDescent="0.45">
      <c r="C68" s="541"/>
      <c r="D68" s="541"/>
      <c r="E68" s="541"/>
      <c r="F68" s="541"/>
      <c r="G68" s="541"/>
      <c r="H68" s="541"/>
      <c r="I68" s="541"/>
      <c r="J68" s="541"/>
      <c r="K68" s="541"/>
      <c r="L68" s="541"/>
      <c r="M68" s="541"/>
      <c r="N68" s="541"/>
      <c r="O68" s="541"/>
      <c r="P68" s="541"/>
      <c r="Q68" s="541"/>
      <c r="S68" s="93"/>
      <c r="AJ68" s="528"/>
      <c r="AK68" s="528"/>
      <c r="AL68" s="528"/>
      <c r="AM68" s="528"/>
      <c r="AN68" s="528"/>
    </row>
    <row r="69" spans="3:40" ht="17.25" customHeight="1" x14ac:dyDescent="0.45">
      <c r="C69" s="541"/>
      <c r="D69" s="541"/>
      <c r="E69" s="541"/>
      <c r="F69" s="541"/>
      <c r="G69" s="541"/>
      <c r="H69" s="541"/>
      <c r="I69" s="541"/>
      <c r="J69" s="541"/>
      <c r="K69" s="541"/>
      <c r="L69" s="541"/>
      <c r="M69" s="541"/>
      <c r="N69" s="541"/>
      <c r="O69" s="541"/>
      <c r="P69" s="541"/>
      <c r="Q69" s="541"/>
      <c r="S69" s="93"/>
      <c r="AJ69" s="528" t="s">
        <v>846</v>
      </c>
      <c r="AK69" s="528"/>
      <c r="AL69" s="528"/>
      <c r="AM69" s="528"/>
      <c r="AN69" s="528"/>
    </row>
    <row r="70" spans="3:40" ht="17.25" customHeight="1" x14ac:dyDescent="0.45">
      <c r="C70" s="541"/>
      <c r="D70" s="541"/>
      <c r="E70" s="541"/>
      <c r="F70" s="541"/>
      <c r="G70" s="541"/>
      <c r="H70" s="541"/>
      <c r="I70" s="541"/>
      <c r="J70" s="541"/>
      <c r="K70" s="541"/>
      <c r="L70" s="541"/>
      <c r="M70" s="541"/>
      <c r="N70" s="541"/>
      <c r="O70" s="541"/>
      <c r="P70" s="541"/>
      <c r="Q70" s="541"/>
      <c r="S70" s="93"/>
      <c r="U70" s="484" t="s">
        <v>530</v>
      </c>
      <c r="V70" s="484"/>
      <c r="W70" s="484"/>
      <c r="X70" s="484"/>
      <c r="Y70" s="484"/>
      <c r="Z70" s="484"/>
      <c r="AA70" s="484"/>
      <c r="AB70" s="484"/>
      <c r="AC70" s="484"/>
      <c r="AD70" s="484"/>
      <c r="AE70" s="484"/>
      <c r="AF70" s="484"/>
      <c r="AG70" s="484"/>
      <c r="AH70" s="484"/>
      <c r="AI70" s="96"/>
      <c r="AJ70" s="528"/>
      <c r="AK70" s="528"/>
      <c r="AL70" s="528"/>
      <c r="AM70" s="528"/>
      <c r="AN70" s="528"/>
    </row>
    <row r="71" spans="3:40" ht="17.25" customHeight="1" x14ac:dyDescent="0.45">
      <c r="C71" s="541"/>
      <c r="D71" s="541"/>
      <c r="E71" s="541"/>
      <c r="F71" s="541"/>
      <c r="G71" s="541"/>
      <c r="H71" s="541"/>
      <c r="I71" s="541"/>
      <c r="J71" s="541"/>
      <c r="K71" s="541"/>
      <c r="L71" s="541"/>
      <c r="M71" s="541"/>
      <c r="N71" s="541"/>
      <c r="O71" s="541"/>
      <c r="P71" s="541"/>
      <c r="Q71" s="541"/>
      <c r="S71" s="93"/>
      <c r="U71" s="512" t="s">
        <v>537</v>
      </c>
      <c r="V71" s="512"/>
      <c r="W71" s="512"/>
      <c r="X71" s="512"/>
      <c r="Y71" s="512"/>
      <c r="Z71" s="512"/>
      <c r="AA71" s="512" t="s">
        <v>538</v>
      </c>
      <c r="AB71" s="512"/>
      <c r="AC71" s="512"/>
      <c r="AD71" s="512"/>
      <c r="AE71" s="512"/>
      <c r="AF71" s="512"/>
      <c r="AG71" s="512"/>
      <c r="AH71" s="512"/>
      <c r="AI71" s="512"/>
      <c r="AJ71" s="528"/>
      <c r="AK71" s="528"/>
      <c r="AL71" s="528"/>
      <c r="AM71" s="528"/>
      <c r="AN71" s="528"/>
    </row>
    <row r="72" spans="3:40" ht="18.5" x14ac:dyDescent="0.45">
      <c r="C72" s="541"/>
      <c r="D72" s="541"/>
      <c r="E72" s="541"/>
      <c r="F72" s="541"/>
      <c r="G72" s="541"/>
      <c r="H72" s="541"/>
      <c r="I72" s="541"/>
      <c r="J72" s="541"/>
      <c r="K72" s="541"/>
      <c r="L72" s="541"/>
      <c r="M72" s="541"/>
      <c r="N72" s="541"/>
      <c r="O72" s="541"/>
      <c r="P72" s="541"/>
      <c r="Q72" s="541"/>
      <c r="S72" s="93"/>
      <c r="AJ72" s="528" t="s">
        <v>846</v>
      </c>
      <c r="AK72" s="528"/>
      <c r="AL72" s="528"/>
      <c r="AM72" s="528"/>
      <c r="AN72" s="528"/>
    </row>
    <row r="73" spans="3:40" ht="18.5" x14ac:dyDescent="0.45">
      <c r="C73" s="541"/>
      <c r="D73" s="541"/>
      <c r="E73" s="541"/>
      <c r="F73" s="541"/>
      <c r="G73" s="541"/>
      <c r="H73" s="541"/>
      <c r="I73" s="541"/>
      <c r="J73" s="541"/>
      <c r="K73" s="541"/>
      <c r="L73" s="541"/>
      <c r="M73" s="541"/>
      <c r="N73" s="541"/>
      <c r="O73" s="541"/>
      <c r="P73" s="541"/>
      <c r="Q73" s="541"/>
      <c r="S73" s="93"/>
      <c r="AJ73" s="528"/>
      <c r="AK73" s="528"/>
      <c r="AL73" s="528"/>
      <c r="AM73" s="528"/>
      <c r="AN73" s="528"/>
    </row>
    <row r="74" spans="3:40" ht="18.5" x14ac:dyDescent="0.45">
      <c r="C74" s="541"/>
      <c r="D74" s="541"/>
      <c r="E74" s="541"/>
      <c r="F74" s="541"/>
      <c r="G74" s="541"/>
      <c r="H74" s="541"/>
      <c r="I74" s="541"/>
      <c r="J74" s="541"/>
      <c r="K74" s="541"/>
      <c r="L74" s="541"/>
      <c r="M74" s="541"/>
      <c r="N74" s="541"/>
      <c r="O74" s="541"/>
      <c r="P74" s="541"/>
      <c r="Q74" s="541"/>
      <c r="S74" s="93"/>
      <c r="AJ74" s="528"/>
      <c r="AK74" s="528"/>
      <c r="AL74" s="528"/>
      <c r="AM74" s="528"/>
      <c r="AN74" s="528"/>
    </row>
    <row r="75" spans="3:40" ht="18.5" x14ac:dyDescent="0.45">
      <c r="C75" s="541"/>
      <c r="D75" s="541"/>
      <c r="E75" s="541"/>
      <c r="F75" s="541"/>
      <c r="G75" s="541"/>
      <c r="H75" s="541"/>
      <c r="I75" s="541"/>
      <c r="J75" s="541"/>
      <c r="K75" s="541"/>
      <c r="L75" s="541"/>
      <c r="M75" s="541"/>
      <c r="N75" s="541"/>
      <c r="O75" s="541"/>
      <c r="P75" s="541"/>
      <c r="Q75" s="541"/>
      <c r="S75" s="93"/>
      <c r="AJ75" s="528" t="s">
        <v>846</v>
      </c>
      <c r="AK75" s="528"/>
      <c r="AL75" s="528"/>
      <c r="AM75" s="528"/>
      <c r="AN75" s="528"/>
    </row>
    <row r="76" spans="3:40" ht="18.5" x14ac:dyDescent="0.45">
      <c r="C76" s="541"/>
      <c r="D76" s="541"/>
      <c r="E76" s="541"/>
      <c r="F76" s="541"/>
      <c r="G76" s="541"/>
      <c r="H76" s="541"/>
      <c r="I76" s="541"/>
      <c r="J76" s="541"/>
      <c r="K76" s="541"/>
      <c r="L76" s="541"/>
      <c r="M76" s="541"/>
      <c r="N76" s="541"/>
      <c r="O76" s="541"/>
      <c r="P76" s="541"/>
      <c r="Q76" s="541"/>
      <c r="S76" s="93"/>
      <c r="AJ76" s="528"/>
      <c r="AK76" s="528"/>
      <c r="AL76" s="528"/>
      <c r="AM76" s="528"/>
      <c r="AN76" s="528"/>
    </row>
    <row r="77" spans="3:40" ht="18.5" x14ac:dyDescent="0.45">
      <c r="C77" s="541"/>
      <c r="D77" s="541"/>
      <c r="E77" s="541"/>
      <c r="F77" s="541"/>
      <c r="G77" s="541"/>
      <c r="H77" s="541"/>
      <c r="I77" s="541"/>
      <c r="J77" s="541"/>
      <c r="K77" s="541"/>
      <c r="L77" s="541"/>
      <c r="M77" s="541"/>
      <c r="N77" s="541"/>
      <c r="O77" s="541"/>
      <c r="P77" s="541"/>
      <c r="Q77" s="541"/>
      <c r="S77" s="93"/>
      <c r="AJ77" s="528"/>
      <c r="AK77" s="528"/>
      <c r="AL77" s="528"/>
      <c r="AM77" s="528"/>
      <c r="AN77" s="528"/>
    </row>
    <row r="78" spans="3:40" ht="18.5" x14ac:dyDescent="0.45">
      <c r="C78" s="541"/>
      <c r="D78" s="541"/>
      <c r="E78" s="541"/>
      <c r="F78" s="541"/>
      <c r="G78" s="541"/>
      <c r="H78" s="541"/>
      <c r="I78" s="541"/>
      <c r="J78" s="541"/>
      <c r="K78" s="541"/>
      <c r="L78" s="541"/>
      <c r="M78" s="541"/>
      <c r="N78" s="541"/>
      <c r="O78" s="541"/>
      <c r="P78" s="541"/>
      <c r="Q78" s="541"/>
      <c r="S78" s="93"/>
      <c r="AJ78" s="528" t="s">
        <v>846</v>
      </c>
      <c r="AK78" s="528"/>
      <c r="AL78" s="528"/>
      <c r="AM78" s="528"/>
      <c r="AN78" s="528"/>
    </row>
    <row r="79" spans="3:40" ht="18.5" x14ac:dyDescent="0.45">
      <c r="C79" s="541"/>
      <c r="D79" s="541"/>
      <c r="E79" s="541"/>
      <c r="F79" s="541"/>
      <c r="G79" s="541"/>
      <c r="H79" s="541"/>
      <c r="I79" s="541"/>
      <c r="J79" s="541"/>
      <c r="K79" s="541"/>
      <c r="L79" s="541"/>
      <c r="M79" s="541"/>
      <c r="N79" s="541"/>
      <c r="O79" s="541"/>
      <c r="P79" s="541"/>
      <c r="Q79" s="541"/>
      <c r="S79" s="93"/>
      <c r="AJ79" s="528"/>
      <c r="AK79" s="528"/>
      <c r="AL79" s="528"/>
      <c r="AM79" s="528"/>
      <c r="AN79" s="528"/>
    </row>
    <row r="80" spans="3:40" ht="18.5" x14ac:dyDescent="0.45">
      <c r="C80" s="541"/>
      <c r="D80" s="541"/>
      <c r="E80" s="541"/>
      <c r="F80" s="541"/>
      <c r="G80" s="541"/>
      <c r="H80" s="541"/>
      <c r="I80" s="541"/>
      <c r="J80" s="541"/>
      <c r="K80" s="541"/>
      <c r="L80" s="541"/>
      <c r="M80" s="541"/>
      <c r="N80" s="541"/>
      <c r="O80" s="541"/>
      <c r="P80" s="541"/>
      <c r="Q80" s="541"/>
      <c r="S80" s="93"/>
      <c r="AJ80" s="528"/>
      <c r="AK80" s="528"/>
      <c r="AL80" s="528"/>
      <c r="AM80" s="528"/>
      <c r="AN80" s="528"/>
    </row>
    <row r="81" spans="3:40" ht="18.5" x14ac:dyDescent="0.45">
      <c r="C81" s="541"/>
      <c r="D81" s="541"/>
      <c r="E81" s="541"/>
      <c r="F81" s="541"/>
      <c r="G81" s="541"/>
      <c r="H81" s="541"/>
      <c r="I81" s="541"/>
      <c r="J81" s="541"/>
      <c r="K81" s="541"/>
      <c r="L81" s="541"/>
      <c r="M81" s="541"/>
      <c r="N81" s="541"/>
      <c r="O81" s="541"/>
      <c r="P81" s="541"/>
      <c r="Q81" s="541"/>
      <c r="S81" s="93"/>
      <c r="AJ81" s="528" t="s">
        <v>846</v>
      </c>
      <c r="AK81" s="528"/>
      <c r="AL81" s="528"/>
      <c r="AM81" s="528"/>
      <c r="AN81" s="528"/>
    </row>
    <row r="82" spans="3:40" ht="18.5" x14ac:dyDescent="0.45">
      <c r="C82" s="541"/>
      <c r="D82" s="541"/>
      <c r="E82" s="541"/>
      <c r="F82" s="541"/>
      <c r="G82" s="541"/>
      <c r="H82" s="541"/>
      <c r="I82" s="541"/>
      <c r="J82" s="541"/>
      <c r="K82" s="541"/>
      <c r="L82" s="541"/>
      <c r="M82" s="541"/>
      <c r="N82" s="541"/>
      <c r="O82" s="541"/>
      <c r="P82" s="541"/>
      <c r="Q82" s="541"/>
      <c r="S82" s="93"/>
      <c r="AJ82" s="528"/>
      <c r="AK82" s="528"/>
      <c r="AL82" s="528"/>
      <c r="AM82" s="528"/>
      <c r="AN82" s="528"/>
    </row>
    <row r="83" spans="3:40" ht="18.5" x14ac:dyDescent="0.45">
      <c r="C83" s="541"/>
      <c r="D83" s="541"/>
      <c r="E83" s="541"/>
      <c r="F83" s="541"/>
      <c r="G83" s="541"/>
      <c r="H83" s="541"/>
      <c r="I83" s="541"/>
      <c r="J83" s="541"/>
      <c r="K83" s="541"/>
      <c r="L83" s="541"/>
      <c r="M83" s="541"/>
      <c r="N83" s="541"/>
      <c r="O83" s="541"/>
      <c r="P83" s="541"/>
      <c r="Q83" s="541"/>
      <c r="S83" s="93"/>
      <c r="AJ83" s="528"/>
      <c r="AK83" s="528"/>
      <c r="AL83" s="528"/>
      <c r="AM83" s="528"/>
      <c r="AN83" s="528"/>
    </row>
    <row r="84" spans="3:40" x14ac:dyDescent="0.35">
      <c r="C84" s="49"/>
      <c r="D84" s="49"/>
    </row>
    <row r="85" spans="3:40" x14ac:dyDescent="0.35">
      <c r="C85" s="49"/>
      <c r="D85" s="49"/>
    </row>
    <row r="86" spans="3:40" x14ac:dyDescent="0.35">
      <c r="C86" s="49"/>
      <c r="D86" s="49"/>
    </row>
    <row r="87" spans="3:40" x14ac:dyDescent="0.35">
      <c r="C87" s="49"/>
      <c r="D87" s="49"/>
    </row>
    <row r="88" spans="3:40" x14ac:dyDescent="0.35">
      <c r="C88" s="49"/>
      <c r="D88" s="49"/>
    </row>
    <row r="89" spans="3:40" x14ac:dyDescent="0.35">
      <c r="C89" s="49"/>
      <c r="D89" s="49"/>
    </row>
    <row r="90" spans="3:40" x14ac:dyDescent="0.35">
      <c r="C90" s="49"/>
      <c r="D90" s="49"/>
    </row>
    <row r="91" spans="3:40" x14ac:dyDescent="0.35">
      <c r="C91" s="49"/>
      <c r="D91" s="49"/>
    </row>
    <row r="92" spans="3:40" x14ac:dyDescent="0.35">
      <c r="C92" s="49"/>
      <c r="D92" s="49"/>
    </row>
    <row r="93" spans="3:40" x14ac:dyDescent="0.35">
      <c r="C93" s="49"/>
      <c r="D93" s="49"/>
    </row>
    <row r="94" spans="3:40" x14ac:dyDescent="0.35">
      <c r="C94" s="49"/>
      <c r="D94" s="49"/>
    </row>
    <row r="95" spans="3:40" x14ac:dyDescent="0.35">
      <c r="C95" s="49"/>
      <c r="D95" s="49"/>
    </row>
    <row r="96" spans="3:40" x14ac:dyDescent="0.35">
      <c r="C96" s="49"/>
      <c r="D96" s="49"/>
    </row>
    <row r="97" spans="3:4" x14ac:dyDescent="0.35">
      <c r="C97" s="49"/>
      <c r="D97" s="49"/>
    </row>
    <row r="98" spans="3:4" x14ac:dyDescent="0.35">
      <c r="C98" s="49"/>
      <c r="D98" s="49"/>
    </row>
    <row r="99" spans="3:4" x14ac:dyDescent="0.35">
      <c r="C99" s="49"/>
      <c r="D99" s="49"/>
    </row>
    <row r="100" spans="3:4" x14ac:dyDescent="0.35">
      <c r="C100" s="49"/>
      <c r="D100" s="49"/>
    </row>
    <row r="101" spans="3:4" x14ac:dyDescent="0.35">
      <c r="C101" s="49"/>
      <c r="D101" s="49"/>
    </row>
    <row r="102" spans="3:4" x14ac:dyDescent="0.35">
      <c r="C102" s="49"/>
      <c r="D102" s="49"/>
    </row>
    <row r="103" spans="3:4" x14ac:dyDescent="0.35">
      <c r="C103" s="49"/>
      <c r="D103" s="49"/>
    </row>
    <row r="104" spans="3:4" x14ac:dyDescent="0.35">
      <c r="C104" s="49"/>
      <c r="D104" s="49"/>
    </row>
    <row r="105" spans="3:4" x14ac:dyDescent="0.35">
      <c r="C105" s="49"/>
      <c r="D105" s="49"/>
    </row>
    <row r="106" spans="3:4" x14ac:dyDescent="0.35">
      <c r="C106" s="49"/>
      <c r="D106" s="49"/>
    </row>
    <row r="107" spans="3:4" x14ac:dyDescent="0.35">
      <c r="C107" s="49"/>
      <c r="D107" s="49"/>
    </row>
    <row r="108" spans="3:4" x14ac:dyDescent="0.35">
      <c r="C108" s="49"/>
      <c r="D108" s="49"/>
    </row>
    <row r="109" spans="3:4" x14ac:dyDescent="0.35">
      <c r="C109" s="49"/>
      <c r="D109" s="49"/>
    </row>
    <row r="110" spans="3:4" x14ac:dyDescent="0.35">
      <c r="C110" s="49"/>
      <c r="D110" s="49"/>
    </row>
    <row r="111" spans="3:4" x14ac:dyDescent="0.35">
      <c r="C111" s="49"/>
      <c r="D111" s="49"/>
    </row>
    <row r="112" spans="3:4" x14ac:dyDescent="0.35">
      <c r="C112" s="49"/>
      <c r="D112" s="49"/>
    </row>
    <row r="113" spans="3:4" x14ac:dyDescent="0.35">
      <c r="C113" s="49"/>
      <c r="D113" s="49"/>
    </row>
    <row r="114" spans="3:4" x14ac:dyDescent="0.35">
      <c r="C114" s="49"/>
      <c r="D114" s="49"/>
    </row>
    <row r="115" spans="3:4" x14ac:dyDescent="0.35">
      <c r="C115" s="49"/>
      <c r="D115" s="49"/>
    </row>
    <row r="116" spans="3:4" x14ac:dyDescent="0.35">
      <c r="C116" s="49"/>
      <c r="D116" s="49"/>
    </row>
    <row r="117" spans="3:4" x14ac:dyDescent="0.35">
      <c r="C117" s="49"/>
      <c r="D117" s="49"/>
    </row>
    <row r="118" spans="3:4" x14ac:dyDescent="0.35">
      <c r="C118" s="49"/>
      <c r="D118" s="49"/>
    </row>
    <row r="119" spans="3:4" x14ac:dyDescent="0.35">
      <c r="C119" s="49"/>
      <c r="D119" s="49"/>
    </row>
    <row r="120" spans="3:4" x14ac:dyDescent="0.35">
      <c r="C120" s="49"/>
      <c r="D120" s="49"/>
    </row>
    <row r="121" spans="3:4" x14ac:dyDescent="0.35">
      <c r="C121" s="49"/>
      <c r="D121" s="49"/>
    </row>
    <row r="122" spans="3:4" x14ac:dyDescent="0.35">
      <c r="C122" s="49"/>
      <c r="D122" s="49"/>
    </row>
  </sheetData>
  <sheetProtection formatCells="0" formatRows="0" insertHyperlinks="0"/>
  <protectedRanges>
    <protectedRange algorithmName="SHA-512" hashValue="WO6Dnu/CIkaqKJB8HnU5qWBvzMmL09UJufTETECLV6FNTXqU/l3SF6ji8gcePbL7jMthFAVqsmQtd1rhb42DCg==" saltValue="6FdVY95EkU8QOIxN65+3aw==" spinCount="100000" sqref="Y46:AC48 Y69:AC69 U71 Z71:AC71" name="Tiempo de pruebas" securityDescriptor="O:WDG:WDD:(A;;CC;;;S-1-5-21-1366399632-701985892-3742940101-16423)"/>
    <protectedRange algorithmName="SHA-512" hashValue="fWs2NhN78U7/pOWkvYtr72lWSl+63SSblXEKwO/0WQQcB1HCmEHCh9MypaDHt9qJHvud5y7rO3B4eS0Vuz8dqw==" saltValue="usPBh94nO2hQo0C0NIE38A==" spinCount="100000" sqref="J72:J75" name="Tiempo de pruebas_1" securityDescriptor="O:WDG:WDD:(A;;CC;;;S-1-5-21-1366399632-701985892-3742940101-16423)"/>
  </protectedRanges>
  <mergeCells count="176">
    <mergeCell ref="AA24:AH24"/>
    <mergeCell ref="O12:P12"/>
    <mergeCell ref="C39:G39"/>
    <mergeCell ref="C40:G40"/>
    <mergeCell ref="C41:G41"/>
    <mergeCell ref="C42:G42"/>
    <mergeCell ref="Z21:AA21"/>
    <mergeCell ref="H31:H32"/>
    <mergeCell ref="I31:I32"/>
    <mergeCell ref="J31:J32"/>
    <mergeCell ref="K31:K32"/>
    <mergeCell ref="L31:L32"/>
    <mergeCell ref="M31:M32"/>
    <mergeCell ref="O29:O30"/>
    <mergeCell ref="H29:H30"/>
    <mergeCell ref="J29:J30"/>
    <mergeCell ref="O31:O32"/>
    <mergeCell ref="I29:I30"/>
    <mergeCell ref="N31:N32"/>
    <mergeCell ref="C24:H24"/>
    <mergeCell ref="C25:H25"/>
    <mergeCell ref="C22:E22"/>
    <mergeCell ref="U24:Z24"/>
    <mergeCell ref="U20:Y20"/>
    <mergeCell ref="C28:F28"/>
    <mergeCell ref="F21:H21"/>
    <mergeCell ref="C18:E18"/>
    <mergeCell ref="M16:M17"/>
    <mergeCell ref="C20:E20"/>
    <mergeCell ref="F16:H16"/>
    <mergeCell ref="H28:Q28"/>
    <mergeCell ref="P31:P32"/>
    <mergeCell ref="Q31:Q32"/>
    <mergeCell ref="P29:P30"/>
    <mergeCell ref="Q29:Q30"/>
    <mergeCell ref="F22:H22"/>
    <mergeCell ref="C23:H23"/>
    <mergeCell ref="J23:L23"/>
    <mergeCell ref="J24:L24"/>
    <mergeCell ref="N23:N24"/>
    <mergeCell ref="O23:O24"/>
    <mergeCell ref="C21:E21"/>
    <mergeCell ref="C19:E19"/>
    <mergeCell ref="N16:N17"/>
    <mergeCell ref="K29:K30"/>
    <mergeCell ref="L29:L30"/>
    <mergeCell ref="M29:M30"/>
    <mergeCell ref="N29:N30"/>
    <mergeCell ref="O7:Q7"/>
    <mergeCell ref="O8:P8"/>
    <mergeCell ref="AI9:AJ10"/>
    <mergeCell ref="Z14:AA14"/>
    <mergeCell ref="AD12:AE12"/>
    <mergeCell ref="O10:P10"/>
    <mergeCell ref="Z11:AA11"/>
    <mergeCell ref="U9:U10"/>
    <mergeCell ref="O9:P9"/>
    <mergeCell ref="AI11:AJ11"/>
    <mergeCell ref="AI12:AJ12"/>
    <mergeCell ref="AI13:AJ13"/>
    <mergeCell ref="AI14:AJ14"/>
    <mergeCell ref="AD14:AE14"/>
    <mergeCell ref="H11:J11"/>
    <mergeCell ref="H12:M12"/>
    <mergeCell ref="C15:Q15"/>
    <mergeCell ref="C12:G12"/>
    <mergeCell ref="Z19:AA19"/>
    <mergeCell ref="Z20:AA20"/>
    <mergeCell ref="J16:L16"/>
    <mergeCell ref="I16:I17"/>
    <mergeCell ref="C16:E17"/>
    <mergeCell ref="F17:H17"/>
    <mergeCell ref="F18:H18"/>
    <mergeCell ref="F19:H19"/>
    <mergeCell ref="F20:H20"/>
    <mergeCell ref="Q16:Q17"/>
    <mergeCell ref="O16:O17"/>
    <mergeCell ref="P16:P17"/>
    <mergeCell ref="AL1:AN2"/>
    <mergeCell ref="U8:AN8"/>
    <mergeCell ref="AB9:AB10"/>
    <mergeCell ref="Z12:AA12"/>
    <mergeCell ref="Z13:AA13"/>
    <mergeCell ref="AK9:AK10"/>
    <mergeCell ref="AN9:AN10"/>
    <mergeCell ref="AM9:AM10"/>
    <mergeCell ref="AD13:AE13"/>
    <mergeCell ref="V9:V10"/>
    <mergeCell ref="C1:D2"/>
    <mergeCell ref="O11:P11"/>
    <mergeCell ref="AL9:AL10"/>
    <mergeCell ref="AD10:AE10"/>
    <mergeCell ref="AD11:AE11"/>
    <mergeCell ref="C3:C4"/>
    <mergeCell ref="C7:G7"/>
    <mergeCell ref="C8:G8"/>
    <mergeCell ref="E1:AK1"/>
    <mergeCell ref="E2:AK2"/>
    <mergeCell ref="U5:AN5"/>
    <mergeCell ref="H8:M8"/>
    <mergeCell ref="C5:Q5"/>
    <mergeCell ref="K11:M11"/>
    <mergeCell ref="H7:M7"/>
    <mergeCell ref="H9:M9"/>
    <mergeCell ref="AC9:AC10"/>
    <mergeCell ref="AD9:AH9"/>
    <mergeCell ref="Z9:AA10"/>
    <mergeCell ref="C9:G9"/>
    <mergeCell ref="C10:G11"/>
    <mergeCell ref="H10:J10"/>
    <mergeCell ref="K10:M10"/>
    <mergeCell ref="W9:Y9"/>
    <mergeCell ref="C75:Q83"/>
    <mergeCell ref="F59:G59"/>
    <mergeCell ref="F60:G60"/>
    <mergeCell ref="F63:G63"/>
    <mergeCell ref="K56:P56"/>
    <mergeCell ref="F50:G50"/>
    <mergeCell ref="F51:G51"/>
    <mergeCell ref="F54:G54"/>
    <mergeCell ref="C56:I56"/>
    <mergeCell ref="F57:G57"/>
    <mergeCell ref="F58:G58"/>
    <mergeCell ref="C66:Q74"/>
    <mergeCell ref="C65:Q65"/>
    <mergeCell ref="F61:G61"/>
    <mergeCell ref="F62:G62"/>
    <mergeCell ref="F52:G52"/>
    <mergeCell ref="F53:G53"/>
    <mergeCell ref="U38:AN38"/>
    <mergeCell ref="H34:J34"/>
    <mergeCell ref="L34:Q34"/>
    <mergeCell ref="U39:Z39"/>
    <mergeCell ref="U53:Z53"/>
    <mergeCell ref="U71:Z71"/>
    <mergeCell ref="AA39:AI39"/>
    <mergeCell ref="AA53:AI53"/>
    <mergeCell ref="AA71:AI71"/>
    <mergeCell ref="AJ39:AN39"/>
    <mergeCell ref="U70:AH70"/>
    <mergeCell ref="C37:P37"/>
    <mergeCell ref="K47:P47"/>
    <mergeCell ref="C47:I47"/>
    <mergeCell ref="F48:G48"/>
    <mergeCell ref="F49:G49"/>
    <mergeCell ref="C45:P45"/>
    <mergeCell ref="E43:G43"/>
    <mergeCell ref="C38:G38"/>
    <mergeCell ref="AF20:AH20"/>
    <mergeCell ref="U19:Y19"/>
    <mergeCell ref="AF19:AH19"/>
    <mergeCell ref="U21:Y21"/>
    <mergeCell ref="AJ23:AN23"/>
    <mergeCell ref="U17:Y17"/>
    <mergeCell ref="U18:Y18"/>
    <mergeCell ref="AF17:AH17"/>
    <mergeCell ref="AF18:AH18"/>
    <mergeCell ref="AC18:AE18"/>
    <mergeCell ref="AC19:AE19"/>
    <mergeCell ref="AC20:AE20"/>
    <mergeCell ref="Z18:AA18"/>
    <mergeCell ref="AC21:AE21"/>
    <mergeCell ref="AF21:AH21"/>
    <mergeCell ref="Z17:AA17"/>
    <mergeCell ref="AC17:AE17"/>
    <mergeCell ref="AJ78:AN80"/>
    <mergeCell ref="AJ81:AN83"/>
    <mergeCell ref="AJ54:AN54"/>
    <mergeCell ref="AJ55:AN57"/>
    <mergeCell ref="AJ58:AN60"/>
    <mergeCell ref="AJ63:AN65"/>
    <mergeCell ref="AJ66:AN68"/>
    <mergeCell ref="AJ69:AN71"/>
    <mergeCell ref="AJ72:AN74"/>
    <mergeCell ref="AJ75:AN77"/>
    <mergeCell ref="AJ61:AN62"/>
  </mergeCells>
  <conditionalFormatting sqref="E31:F35">
    <cfRule type="cellIs" dxfId="65" priority="110" operator="lessThan">
      <formula>0</formula>
    </cfRule>
  </conditionalFormatting>
  <conditionalFormatting sqref="D30:D35">
    <cfRule type="cellIs" dxfId="64" priority="62" operator="lessThan">
      <formula>0</formula>
    </cfRule>
  </conditionalFormatting>
  <conditionalFormatting sqref="E30:F30">
    <cfRule type="cellIs" dxfId="63" priority="61" operator="lessThan">
      <formula>0</formula>
    </cfRule>
  </conditionalFormatting>
  <conditionalFormatting sqref="L18">
    <cfRule type="cellIs" dxfId="62" priority="30" operator="greaterThan">
      <formula>$K$18</formula>
    </cfRule>
    <cfRule type="cellIs" dxfId="61" priority="60" operator="greaterThan">
      <formula>$K$18</formula>
    </cfRule>
  </conditionalFormatting>
  <conditionalFormatting sqref="L19">
    <cfRule type="cellIs" dxfId="60" priority="29" operator="greaterThan">
      <formula>$K$19</formula>
    </cfRule>
    <cfRule type="cellIs" dxfId="59" priority="59" operator="greaterThan">
      <formula>$K$19</formula>
    </cfRule>
  </conditionalFormatting>
  <conditionalFormatting sqref="L20">
    <cfRule type="cellIs" dxfId="58" priority="28" operator="greaterThan">
      <formula>$K$20</formula>
    </cfRule>
    <cfRule type="cellIs" dxfId="57" priority="58" operator="greaterThan">
      <formula>$K$20</formula>
    </cfRule>
  </conditionalFormatting>
  <conditionalFormatting sqref="L21">
    <cfRule type="cellIs" dxfId="56" priority="27" operator="greaterThan">
      <formula>$K$21</formula>
    </cfRule>
    <cfRule type="cellIs" dxfId="55" priority="57" operator="greaterThan">
      <formula>$K$21</formula>
    </cfRule>
  </conditionalFormatting>
  <conditionalFormatting sqref="L22">
    <cfRule type="cellIs" dxfId="54" priority="26" operator="greaterThan">
      <formula>$K$22</formula>
    </cfRule>
    <cfRule type="cellIs" dxfId="53" priority="56" operator="greaterThan">
      <formula>$K$22</formula>
    </cfRule>
  </conditionalFormatting>
  <conditionalFormatting sqref="Q18">
    <cfRule type="cellIs" dxfId="52" priority="50" operator="lessThan">
      <formula>0</formula>
    </cfRule>
  </conditionalFormatting>
  <conditionalFormatting sqref="Q19">
    <cfRule type="cellIs" dxfId="51" priority="49" operator="lessThan">
      <formula>0</formula>
    </cfRule>
  </conditionalFormatting>
  <conditionalFormatting sqref="Q20">
    <cfRule type="cellIs" dxfId="50" priority="48" operator="lessThan">
      <formula>0</formula>
    </cfRule>
  </conditionalFormatting>
  <conditionalFormatting sqref="Q21">
    <cfRule type="cellIs" dxfId="49" priority="47" operator="lessThan">
      <formula>0</formula>
    </cfRule>
  </conditionalFormatting>
  <conditionalFormatting sqref="Q22">
    <cfRule type="cellIs" dxfId="48" priority="46" operator="lessThan">
      <formula>0</formula>
    </cfRule>
  </conditionalFormatting>
  <conditionalFormatting sqref="J18">
    <cfRule type="cellIs" dxfId="47" priority="121" operator="greaterThan">
      <formula>$F$18</formula>
    </cfRule>
    <cfRule type="cellIs" dxfId="46" priority="122" operator="greaterThan">
      <formula>$F$18</formula>
    </cfRule>
  </conditionalFormatting>
  <conditionalFormatting sqref="J19">
    <cfRule type="cellIs" dxfId="45" priority="123" operator="greaterThan">
      <formula>$F$19</formula>
    </cfRule>
    <cfRule type="cellIs" dxfId="44" priority="124" operator="greaterThan">
      <formula>$F$19</formula>
    </cfRule>
  </conditionalFormatting>
  <conditionalFormatting sqref="J20">
    <cfRule type="cellIs" dxfId="43" priority="125" operator="greaterThan">
      <formula>$F$20</formula>
    </cfRule>
    <cfRule type="cellIs" dxfId="42" priority="126" operator="greaterThan">
      <formula>$F$20</formula>
    </cfRule>
  </conditionalFormatting>
  <conditionalFormatting sqref="J21">
    <cfRule type="cellIs" dxfId="41" priority="127" operator="greaterThan">
      <formula>$F$21</formula>
    </cfRule>
    <cfRule type="cellIs" dxfId="40" priority="128" operator="greaterThan">
      <formula>$F$21</formula>
    </cfRule>
  </conditionalFormatting>
  <conditionalFormatting sqref="J22">
    <cfRule type="cellIs" dxfId="39" priority="129" operator="greaterThan">
      <formula>$F$22</formula>
    </cfRule>
    <cfRule type="cellIs" dxfId="38" priority="130" operator="greaterThan">
      <formula>$F$22</formula>
    </cfRule>
  </conditionalFormatting>
  <conditionalFormatting sqref="K34">
    <cfRule type="cellIs" dxfId="37" priority="11" operator="lessThan">
      <formula>0.2</formula>
    </cfRule>
    <cfRule type="cellIs" dxfId="36" priority="12" operator="greaterThan">
      <formula>0.6</formula>
    </cfRule>
    <cfRule type="cellIs" dxfId="35" priority="13" operator="between">
      <formula>0</formula>
      <formula>0</formula>
    </cfRule>
    <cfRule type="cellIs" dxfId="34" priority="14" operator="between">
      <formula>0.2</formula>
      <formula>0.6</formula>
    </cfRule>
    <cfRule type="cellIs" dxfId="33" priority="15" operator="between">
      <formula>20</formula>
      <formula>60</formula>
    </cfRule>
  </conditionalFormatting>
  <conditionalFormatting sqref="AK11:AK14">
    <cfRule type="cellIs" dxfId="32" priority="4" operator="between">
      <formula>0.61</formula>
      <formula>0.74</formula>
    </cfRule>
    <cfRule type="cellIs" dxfId="31" priority="5" operator="greaterThanOrEqual">
      <formula>0.75</formula>
    </cfRule>
    <cfRule type="cellIs" dxfId="30" priority="6" operator="lessThanOrEqual">
      <formula>0.6</formula>
    </cfRule>
  </conditionalFormatting>
  <conditionalFormatting sqref="AM11:AM14">
    <cfRule type="cellIs" dxfId="29" priority="1" operator="between">
      <formula>0.3</formula>
      <formula>0.4</formula>
    </cfRule>
    <cfRule type="cellIs" dxfId="28" priority="2" operator="lessThanOrEqual">
      <formula>0.2</formula>
    </cfRule>
    <cfRule type="cellIs" dxfId="27" priority="3" operator="greaterThanOrEqual">
      <formula>0.5</formula>
    </cfRule>
  </conditionalFormatting>
  <dataValidations count="1">
    <dataValidation allowBlank="1" showDropDown="1" showInputMessage="1" showErrorMessage="1" sqref="U11:U14"/>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45" operator="lessThan" id="{753D6A2B-1237-46A8-85F9-BF48DC9960C0}">
            <xm:f>Param_General!$R$10</xm:f>
            <x14:dxf>
              <font>
                <color rgb="FF9C0006"/>
              </font>
              <fill>
                <patternFill>
                  <bgColor rgb="FFFFC7CE"/>
                </patternFill>
              </fill>
            </x14:dxf>
          </x14:cfRule>
          <xm:sqref>F18:F22</xm:sqref>
        </x14:conditionalFormatting>
        <x14:conditionalFormatting xmlns:xm="http://schemas.microsoft.com/office/excel/2006/main">
          <x14:cfRule type="cellIs" priority="35" operator="lessThan" id="{5CEAAB18-2D36-4D86-8047-0AFD2B915746}">
            <xm:f>Param_General!$R$10</xm:f>
            <x14:dxf>
              <font>
                <color rgb="FF9C0006"/>
              </font>
              <fill>
                <patternFill>
                  <bgColor rgb="FFFFC7CE"/>
                </patternFill>
              </fill>
            </x14:dxf>
          </x14:cfRule>
          <xm:sqref>K18</xm:sqref>
        </x14:conditionalFormatting>
        <x14:conditionalFormatting xmlns:xm="http://schemas.microsoft.com/office/excel/2006/main">
          <x14:cfRule type="cellIs" priority="34" operator="lessThan" id="{BDF6DBA3-A1BA-4A76-9C8B-88BFF25C839D}">
            <xm:f>Param_General!$R$10</xm:f>
            <x14:dxf>
              <font>
                <color rgb="FF9C0006"/>
              </font>
              <fill>
                <patternFill>
                  <bgColor rgb="FFFFC7CE"/>
                </patternFill>
              </fill>
            </x14:dxf>
          </x14:cfRule>
          <xm:sqref>K19</xm:sqref>
        </x14:conditionalFormatting>
        <x14:conditionalFormatting xmlns:xm="http://schemas.microsoft.com/office/excel/2006/main">
          <x14:cfRule type="cellIs" priority="33" operator="lessThan" id="{E7625D7E-9A08-433E-A937-063DA3B892F2}">
            <xm:f>Param_General!$R$10</xm:f>
            <x14:dxf>
              <font>
                <color rgb="FF9C0006"/>
              </font>
              <fill>
                <patternFill>
                  <bgColor rgb="FFFFC7CE"/>
                </patternFill>
              </fill>
            </x14:dxf>
          </x14:cfRule>
          <xm:sqref>K20</xm:sqref>
        </x14:conditionalFormatting>
        <x14:conditionalFormatting xmlns:xm="http://schemas.microsoft.com/office/excel/2006/main">
          <x14:cfRule type="cellIs" priority="32" operator="lessThan" id="{5A037F3F-6DAB-476F-B667-886FB8732017}">
            <xm:f>Param_General!$R$10</xm:f>
            <x14:dxf>
              <font>
                <color rgb="FF9C0006"/>
              </font>
              <fill>
                <patternFill>
                  <bgColor rgb="FFFFC7CE"/>
                </patternFill>
              </fill>
            </x14:dxf>
          </x14:cfRule>
          <xm:sqref>K21</xm:sqref>
        </x14:conditionalFormatting>
        <x14:conditionalFormatting xmlns:xm="http://schemas.microsoft.com/office/excel/2006/main">
          <x14:cfRule type="cellIs" priority="31" operator="lessThan" id="{F57F3E58-8A8A-418F-B325-CE75F9818891}">
            <xm:f>Param_General!$R$10</xm:f>
            <x14:dxf>
              <font>
                <color rgb="FF9C0006"/>
              </font>
              <fill>
                <patternFill>
                  <bgColor rgb="FFFFC7CE"/>
                </patternFill>
              </fill>
            </x14:dxf>
          </x14:cfRule>
          <xm:sqref>K22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Param_General!$AD$5:$AD$6</xm:f>
          </x14:formula1>
          <xm:sqref>P18:P22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M36"/>
  <sheetViews>
    <sheetView topLeftCell="A14" workbookViewId="0">
      <selection activeCell="B16" sqref="B16:I16"/>
    </sheetView>
  </sheetViews>
  <sheetFormatPr defaultColWidth="11.453125" defaultRowHeight="12" x14ac:dyDescent="0.3"/>
  <cols>
    <col min="1" max="1" width="8.36328125" style="80" customWidth="1"/>
    <col min="2" max="2" width="14.6328125" style="80" customWidth="1"/>
    <col min="3" max="3" width="12.453125" style="80" customWidth="1"/>
    <col min="4" max="4" width="12.6328125" style="80" customWidth="1"/>
    <col min="5" max="5" width="11" style="80" customWidth="1"/>
    <col min="6" max="6" width="12.6328125" style="80" customWidth="1"/>
    <col min="7" max="7" width="13.36328125" style="80" customWidth="1"/>
    <col min="8" max="8" width="10.453125" style="80" customWidth="1"/>
    <col min="9" max="9" width="10.36328125" style="80" customWidth="1"/>
    <col min="10" max="10" width="3.54296875" style="80" customWidth="1"/>
    <col min="11" max="16384" width="11.453125" style="80"/>
  </cols>
  <sheetData>
    <row r="1" spans="2:13" s="59" customFormat="1" x14ac:dyDescent="0.3">
      <c r="K1" s="79"/>
      <c r="L1" s="79"/>
      <c r="M1" s="79"/>
    </row>
    <row r="2" spans="2:13" s="60" customFormat="1" ht="26.25" customHeight="1" x14ac:dyDescent="0.3">
      <c r="B2" s="576"/>
      <c r="C2" s="577" t="str">
        <f>Planeación!D1</f>
        <v>VERIFICACIÓN Y VALIDACIÓN</v>
      </c>
      <c r="D2" s="577"/>
      <c r="E2" s="577"/>
      <c r="F2" s="577"/>
      <c r="G2" s="577"/>
      <c r="H2" s="578" t="s">
        <v>1563</v>
      </c>
      <c r="I2" s="476"/>
      <c r="K2" s="83"/>
      <c r="L2" s="83"/>
      <c r="M2" s="83"/>
    </row>
    <row r="3" spans="2:13" s="60" customFormat="1" ht="30" customHeight="1" x14ac:dyDescent="0.3">
      <c r="B3" s="576"/>
      <c r="C3" s="577" t="str">
        <f>Planeación!D2</f>
        <v>FORMATO: Prueba interna</v>
      </c>
      <c r="D3" s="577"/>
      <c r="E3" s="577"/>
      <c r="F3" s="577"/>
      <c r="G3" s="577"/>
      <c r="H3" s="476"/>
      <c r="I3" s="476"/>
    </row>
    <row r="4" spans="2:13" s="60" customFormat="1" x14ac:dyDescent="0.3">
      <c r="B4" s="59"/>
      <c r="C4" s="59"/>
      <c r="D4" s="59"/>
      <c r="E4" s="59"/>
      <c r="F4" s="59"/>
      <c r="G4" s="59"/>
    </row>
    <row r="5" spans="2:13" s="60" customFormat="1" ht="15" customHeight="1" x14ac:dyDescent="0.3">
      <c r="B5" s="573" t="s">
        <v>540</v>
      </c>
      <c r="C5" s="574"/>
      <c r="D5" s="574"/>
      <c r="E5" s="574"/>
      <c r="F5" s="574"/>
      <c r="G5" s="574"/>
      <c r="H5" s="574"/>
      <c r="I5" s="575"/>
    </row>
    <row r="6" spans="2:13" s="65" customFormat="1" ht="13" x14ac:dyDescent="0.3">
      <c r="B6" s="61"/>
      <c r="C6" s="62"/>
      <c r="D6" s="285"/>
      <c r="E6" s="285"/>
      <c r="F6" s="62"/>
      <c r="G6" s="62"/>
      <c r="H6" s="63"/>
      <c r="I6" s="64"/>
    </row>
    <row r="7" spans="2:13" s="65" customFormat="1" ht="13" x14ac:dyDescent="0.3">
      <c r="B7" s="558" t="s">
        <v>1540</v>
      </c>
      <c r="C7" s="559"/>
      <c r="D7" s="568" t="s">
        <v>1564</v>
      </c>
      <c r="E7" s="568"/>
      <c r="F7" s="568"/>
      <c r="G7" s="568"/>
      <c r="H7" s="568"/>
      <c r="I7" s="569"/>
    </row>
    <row r="8" spans="2:13" s="65" customFormat="1" ht="13" x14ac:dyDescent="0.3">
      <c r="B8" s="347" t="s">
        <v>1541</v>
      </c>
      <c r="C8" s="348"/>
      <c r="D8" s="568" t="s">
        <v>1564</v>
      </c>
      <c r="E8" s="568"/>
      <c r="F8" s="568"/>
      <c r="G8" s="568"/>
      <c r="H8" s="568"/>
      <c r="I8" s="569"/>
    </row>
    <row r="9" spans="2:13" s="65" customFormat="1" ht="13" x14ac:dyDescent="0.3">
      <c r="B9" s="347" t="s">
        <v>567</v>
      </c>
      <c r="C9" s="348"/>
      <c r="D9" s="568" t="s">
        <v>1594</v>
      </c>
      <c r="E9" s="568"/>
      <c r="F9" s="568"/>
      <c r="G9" s="568"/>
      <c r="H9" s="568"/>
      <c r="I9" s="569"/>
    </row>
    <row r="10" spans="2:13" s="65" customFormat="1" ht="13" x14ac:dyDescent="0.3">
      <c r="B10" s="558" t="s">
        <v>14</v>
      </c>
      <c r="C10" s="559"/>
      <c r="D10" s="568" t="s">
        <v>1592</v>
      </c>
      <c r="E10" s="568"/>
      <c r="F10" s="568"/>
      <c r="G10" s="568"/>
      <c r="H10" s="568"/>
      <c r="I10" s="569"/>
    </row>
    <row r="11" spans="2:13" s="65" customFormat="1" ht="13" x14ac:dyDescent="0.3">
      <c r="B11" s="66"/>
      <c r="C11" s="285"/>
      <c r="D11" s="285" t="s">
        <v>18</v>
      </c>
      <c r="E11" s="285"/>
      <c r="F11" s="62"/>
      <c r="G11" s="62"/>
      <c r="H11" s="63"/>
      <c r="I11" s="64"/>
    </row>
    <row r="12" spans="2:13" s="65" customFormat="1" ht="31.5" customHeight="1" x14ac:dyDescent="0.3">
      <c r="B12" s="562" t="str">
        <f>CONCATENATE("Se dan por finalizadas las pruebas del proyecto ",D10, " de acuerdo a las siguientes consideraciones: ")</f>
        <v xml:space="preserve">Se dan por finalizadas las pruebas del proyecto : Mejoras IBM de acuerdo a las siguientes consideraciones: </v>
      </c>
      <c r="C12" s="563"/>
      <c r="D12" s="563"/>
      <c r="E12" s="563"/>
      <c r="F12" s="563"/>
      <c r="G12" s="563"/>
      <c r="H12" s="563"/>
      <c r="I12" s="564"/>
    </row>
    <row r="13" spans="2:13" s="65" customFormat="1" ht="39.75" customHeight="1" x14ac:dyDescent="0.3">
      <c r="B13" s="565" t="s">
        <v>1595</v>
      </c>
      <c r="C13" s="566"/>
      <c r="D13" s="566"/>
      <c r="E13" s="566"/>
      <c r="F13" s="566"/>
      <c r="G13" s="566"/>
      <c r="H13" s="566"/>
      <c r="I13" s="567"/>
    </row>
    <row r="14" spans="2:13" s="65" customFormat="1" ht="52.5" customHeight="1" x14ac:dyDescent="0.3">
      <c r="B14" s="565" t="str">
        <f>CONCATENATE("Teniendo en cuenta la definición de los requisitos del proyecto y las consideraciones mencionadas anteriormente, se acepta como producto conforme la aplicación ",D10,".")</f>
        <v>Teniendo en cuenta la definición de los requisitos del proyecto y las consideraciones mencionadas anteriormente, se acepta como producto conforme la aplicación : Mejoras IBM.</v>
      </c>
      <c r="C14" s="566"/>
      <c r="D14" s="566"/>
      <c r="E14" s="566"/>
      <c r="F14" s="566"/>
      <c r="G14" s="566"/>
      <c r="H14" s="566"/>
      <c r="I14" s="567"/>
    </row>
    <row r="15" spans="2:13" s="70" customFormat="1" ht="13" x14ac:dyDescent="0.3">
      <c r="B15" s="67" t="s">
        <v>539</v>
      </c>
      <c r="C15" s="68"/>
      <c r="D15" s="68"/>
      <c r="E15" s="68"/>
      <c r="F15" s="68"/>
      <c r="G15" s="68"/>
      <c r="H15" s="68"/>
      <c r="I15" s="69"/>
    </row>
    <row r="16" spans="2:13" s="70" customFormat="1" ht="61.25" customHeight="1" x14ac:dyDescent="0.3">
      <c r="B16" s="570"/>
      <c r="C16" s="571"/>
      <c r="D16" s="571"/>
      <c r="E16" s="571"/>
      <c r="F16" s="571"/>
      <c r="G16" s="571"/>
      <c r="H16" s="571"/>
      <c r="I16" s="572"/>
    </row>
    <row r="17" spans="1:10" s="70" customFormat="1" ht="13" x14ac:dyDescent="0.3">
      <c r="B17" s="172"/>
      <c r="C17" s="173"/>
      <c r="D17" s="173"/>
      <c r="E17" s="173"/>
      <c r="F17" s="173"/>
      <c r="G17" s="173"/>
      <c r="H17" s="173"/>
      <c r="I17" s="174"/>
    </row>
    <row r="18" spans="1:10" s="70" customFormat="1" ht="12.75" customHeight="1" x14ac:dyDescent="0.3">
      <c r="B18" s="172"/>
      <c r="C18" s="173"/>
      <c r="D18" s="173"/>
      <c r="E18" s="173"/>
      <c r="F18" s="173"/>
      <c r="G18" s="173"/>
      <c r="H18" s="173"/>
      <c r="I18" s="174"/>
    </row>
    <row r="19" spans="1:10" s="70" customFormat="1" ht="12.75" customHeight="1" x14ac:dyDescent="0.3">
      <c r="B19" s="560"/>
      <c r="C19" s="561"/>
      <c r="D19" s="173"/>
      <c r="E19" s="173"/>
      <c r="F19" s="173"/>
      <c r="G19" s="173"/>
      <c r="H19" s="173"/>
      <c r="I19" s="174"/>
    </row>
    <row r="20" spans="1:10" s="70" customFormat="1" ht="12.75" customHeight="1" x14ac:dyDescent="0.3">
      <c r="B20" s="71" t="s">
        <v>1593</v>
      </c>
      <c r="C20" s="72"/>
      <c r="D20" s="173"/>
      <c r="E20" s="173"/>
      <c r="F20" s="173"/>
      <c r="G20" s="173"/>
      <c r="H20" s="173"/>
      <c r="I20" s="174"/>
    </row>
    <row r="21" spans="1:10" s="70" customFormat="1" ht="12" customHeight="1" x14ac:dyDescent="0.3">
      <c r="B21" s="67"/>
      <c r="C21" s="173"/>
      <c r="D21" s="173"/>
      <c r="E21" s="173"/>
      <c r="F21" s="173"/>
      <c r="G21" s="173"/>
      <c r="H21" s="173"/>
      <c r="I21" s="174"/>
    </row>
    <row r="22" spans="1:10" s="70" customFormat="1" ht="13" x14ac:dyDescent="0.3">
      <c r="B22" s="67"/>
      <c r="C22" s="173"/>
      <c r="D22" s="173"/>
      <c r="E22" s="173"/>
      <c r="F22" s="173"/>
      <c r="G22" s="173"/>
      <c r="H22" s="173"/>
      <c r="I22" s="174"/>
    </row>
    <row r="23" spans="1:10" s="70" customFormat="1" ht="13" x14ac:dyDescent="0.3">
      <c r="B23" s="67"/>
      <c r="C23" s="173"/>
      <c r="D23" s="173"/>
      <c r="E23" s="173"/>
      <c r="F23" s="173"/>
      <c r="G23" s="173"/>
      <c r="H23" s="173"/>
      <c r="I23" s="174"/>
    </row>
    <row r="24" spans="1:10" s="70" customFormat="1" ht="13" x14ac:dyDescent="0.3">
      <c r="B24" s="67"/>
      <c r="C24" s="173"/>
      <c r="D24" s="173"/>
      <c r="E24" s="173"/>
      <c r="F24" s="173"/>
      <c r="G24" s="173"/>
      <c r="H24" s="173"/>
      <c r="I24" s="174"/>
    </row>
    <row r="25" spans="1:10" s="70" customFormat="1" ht="13" x14ac:dyDescent="0.3">
      <c r="B25" s="172"/>
      <c r="C25" s="173"/>
      <c r="D25" s="173"/>
      <c r="E25" s="173"/>
      <c r="F25" s="173"/>
      <c r="G25" s="173"/>
      <c r="H25" s="173"/>
      <c r="I25" s="174"/>
    </row>
    <row r="26" spans="1:10" s="70" customFormat="1" ht="13" x14ac:dyDescent="0.3">
      <c r="B26" s="172"/>
      <c r="C26" s="173"/>
      <c r="D26" s="173"/>
      <c r="E26" s="173"/>
      <c r="F26" s="173"/>
      <c r="G26" s="173"/>
      <c r="H26" s="173"/>
      <c r="I26" s="174"/>
    </row>
    <row r="27" spans="1:10" s="70" customFormat="1" ht="13" x14ac:dyDescent="0.3">
      <c r="D27" s="173"/>
      <c r="E27" s="173"/>
      <c r="F27" s="173"/>
      <c r="G27" s="173"/>
      <c r="H27" s="173"/>
      <c r="I27" s="174"/>
    </row>
    <row r="28" spans="1:10" s="70" customFormat="1" ht="13" x14ac:dyDescent="0.3">
      <c r="D28" s="173"/>
      <c r="E28" s="173"/>
      <c r="F28" s="173"/>
      <c r="G28" s="173"/>
      <c r="H28" s="173"/>
      <c r="I28" s="174"/>
    </row>
    <row r="29" spans="1:10" s="70" customFormat="1" x14ac:dyDescent="0.3">
      <c r="B29" s="286"/>
      <c r="C29" s="287"/>
      <c r="D29" s="287"/>
      <c r="E29" s="287"/>
      <c r="I29" s="73"/>
    </row>
    <row r="30" spans="1:10" s="70" customFormat="1" x14ac:dyDescent="0.3">
      <c r="B30" s="74"/>
      <c r="C30" s="75"/>
      <c r="D30" s="75"/>
      <c r="E30" s="75"/>
      <c r="F30" s="76"/>
      <c r="G30" s="77"/>
      <c r="H30" s="75"/>
      <c r="I30" s="78"/>
    </row>
    <row r="31" spans="1:10" s="79" customFormat="1" ht="15" customHeight="1" x14ac:dyDescent="0.3">
      <c r="A31" s="82"/>
      <c r="B31" s="84"/>
      <c r="C31" s="85"/>
      <c r="D31" s="70"/>
      <c r="E31" s="85"/>
      <c r="F31" s="85"/>
      <c r="G31" s="85"/>
      <c r="H31" s="85"/>
      <c r="I31" s="87"/>
      <c r="J31" s="81"/>
    </row>
    <row r="32" spans="1:10" s="79" customFormat="1" x14ac:dyDescent="0.3">
      <c r="D32" s="86"/>
    </row>
    <row r="34" spans="10:10" x14ac:dyDescent="0.3">
      <c r="J34" s="88"/>
    </row>
    <row r="35" spans="10:10" ht="22.5" customHeight="1" x14ac:dyDescent="0.3"/>
    <row r="36" spans="10:10" ht="21" customHeight="1" x14ac:dyDescent="0.3"/>
  </sheetData>
  <sheetProtection formatCells="0" formatColumns="0" formatRows="0" insertRows="0" insertHyperlinks="0" deleteColumns="0" deleteRows="0"/>
  <mergeCells count="16">
    <mergeCell ref="B5:I5"/>
    <mergeCell ref="B2:B3"/>
    <mergeCell ref="C2:G2"/>
    <mergeCell ref="H2:I3"/>
    <mergeCell ref="C3:G3"/>
    <mergeCell ref="B10:C10"/>
    <mergeCell ref="B19:C19"/>
    <mergeCell ref="B7:C7"/>
    <mergeCell ref="B12:I12"/>
    <mergeCell ref="B13:I13"/>
    <mergeCell ref="B14:I14"/>
    <mergeCell ref="D7:I7"/>
    <mergeCell ref="D8:I8"/>
    <mergeCell ref="D9:I9"/>
    <mergeCell ref="D10:I10"/>
    <mergeCell ref="B16:I16"/>
  </mergeCells>
  <pageMargins left="0.7" right="0.7" top="0.75" bottom="0.75" header="0.3" footer="0.3"/>
  <pageSetup orientation="landscape" r:id="rId1"/>
  <drawing r:id="rId2"/>
  <legacyDrawing r:id="rId3"/>
  <controls>
    <mc:AlternateContent xmlns:mc="http://schemas.openxmlformats.org/markup-compatibility/2006">
      <mc:Choice Requires="x14">
        <control shapeId="8193" r:id="rId4" name="CommandButton1">
          <controlPr defaultSize="0" autoLine="0" r:id="rId5">
            <anchor moveWithCells="1">
              <from>
                <xdr:col>11</xdr:col>
                <xdr:colOff>25400</xdr:colOff>
                <xdr:row>0</xdr:row>
                <xdr:rowOff>101600</xdr:rowOff>
              </from>
              <to>
                <xdr:col>12</xdr:col>
                <xdr:colOff>330200</xdr:colOff>
                <xdr:row>1</xdr:row>
                <xdr:rowOff>241300</xdr:rowOff>
              </to>
            </anchor>
          </controlPr>
        </control>
      </mc:Choice>
      <mc:Fallback>
        <control shapeId="8193"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B1:H303"/>
  <sheetViews>
    <sheetView workbookViewId="0">
      <selection activeCell="J11" sqref="J11"/>
    </sheetView>
  </sheetViews>
  <sheetFormatPr defaultColWidth="11.453125" defaultRowHeight="14.5" x14ac:dyDescent="0.35"/>
  <cols>
    <col min="1" max="1" width="2.54296875" style="89" customWidth="1"/>
    <col min="2" max="2" width="7.36328125" style="89" customWidth="1"/>
    <col min="3" max="3" width="6.6328125" style="89" customWidth="1"/>
    <col min="4" max="4" width="43.1796875" style="89" customWidth="1"/>
    <col min="5" max="5" width="8.90625" style="89" customWidth="1"/>
    <col min="6" max="6" width="11" style="89" customWidth="1"/>
    <col min="7" max="7" width="9.453125" style="89" customWidth="1"/>
    <col min="8" max="8" width="7.54296875" style="89" customWidth="1"/>
    <col min="9" max="16384" width="11.453125" style="89"/>
  </cols>
  <sheetData>
    <row r="1" spans="2:8" ht="8.25" customHeight="1" x14ac:dyDescent="0.35">
      <c r="B1" s="90"/>
      <c r="C1" s="90"/>
      <c r="D1" s="90"/>
      <c r="E1" s="90"/>
      <c r="F1" s="90"/>
      <c r="G1" s="90"/>
      <c r="H1" s="90"/>
    </row>
    <row r="2" spans="2:8" ht="27.75" customHeight="1" x14ac:dyDescent="0.35">
      <c r="B2" s="521"/>
      <c r="C2" s="521"/>
      <c r="D2" s="582" t="str">
        <f>Planeación!D1</f>
        <v>VERIFICACIÓN Y VALIDACIÓN</v>
      </c>
      <c r="E2" s="582"/>
      <c r="F2" s="582"/>
      <c r="G2" s="523" t="str">
        <f>Planeación!K1</f>
        <v>Versión: 10
Fecha de emisión:  21/03/2018
Código: F-TAI-010-001</v>
      </c>
      <c r="H2" s="523"/>
    </row>
    <row r="3" spans="2:8" ht="24" customHeight="1" x14ac:dyDescent="0.35">
      <c r="B3" s="521"/>
      <c r="C3" s="521"/>
      <c r="D3" s="582" t="str">
        <f>Planeación!D2</f>
        <v>FORMATO: Prueba interna</v>
      </c>
      <c r="E3" s="582"/>
      <c r="F3" s="582"/>
      <c r="G3" s="523"/>
      <c r="H3" s="523"/>
    </row>
    <row r="4" spans="2:8" s="161" customFormat="1" x14ac:dyDescent="0.35">
      <c r="B4" s="162"/>
      <c r="C4" s="162"/>
      <c r="D4" s="162"/>
      <c r="E4" s="162"/>
      <c r="F4" s="162"/>
      <c r="G4" s="162"/>
      <c r="H4" s="162"/>
    </row>
    <row r="5" spans="2:8" s="161" customFormat="1" ht="29.25" customHeight="1" x14ac:dyDescent="0.35">
      <c r="C5" s="163"/>
      <c r="D5" s="579" t="s">
        <v>748</v>
      </c>
      <c r="E5" s="580"/>
      <c r="F5" s="581"/>
    </row>
    <row r="6" spans="2:8" s="161" customFormat="1" x14ac:dyDescent="0.35">
      <c r="C6" s="37"/>
      <c r="D6" s="164" t="s">
        <v>153</v>
      </c>
      <c r="E6"/>
      <c r="F6"/>
    </row>
    <row r="7" spans="2:8" s="161" customFormat="1" x14ac:dyDescent="0.35">
      <c r="C7" s="37"/>
      <c r="D7" s="165" t="s">
        <v>1546</v>
      </c>
      <c r="E7"/>
      <c r="F7"/>
    </row>
    <row r="8" spans="2:8" s="161" customFormat="1" x14ac:dyDescent="0.35">
      <c r="C8" s="37"/>
      <c r="D8" s="165" t="s">
        <v>1576</v>
      </c>
      <c r="E8"/>
      <c r="F8"/>
    </row>
    <row r="9" spans="2:8" s="161" customFormat="1" x14ac:dyDescent="0.35">
      <c r="C9" s="37"/>
      <c r="D9" s="165" t="s">
        <v>1577</v>
      </c>
      <c r="E9"/>
      <c r="F9"/>
    </row>
    <row r="10" spans="2:8" s="161" customFormat="1" x14ac:dyDescent="0.35">
      <c r="C10" s="37"/>
      <c r="D10" s="165" t="s">
        <v>1578</v>
      </c>
      <c r="E10"/>
      <c r="F10"/>
    </row>
    <row r="11" spans="2:8" s="161" customFormat="1" x14ac:dyDescent="0.35">
      <c r="C11" s="37"/>
      <c r="D11" s="165" t="s">
        <v>1579</v>
      </c>
      <c r="E11"/>
      <c r="F11"/>
    </row>
    <row r="12" spans="2:8" s="161" customFormat="1" x14ac:dyDescent="0.35">
      <c r="C12" s="37"/>
      <c r="D12" s="165" t="s">
        <v>1580</v>
      </c>
      <c r="E12"/>
      <c r="F12"/>
    </row>
    <row r="13" spans="2:8" s="161" customFormat="1" x14ac:dyDescent="0.35">
      <c r="C13" s="37"/>
      <c r="D13"/>
      <c r="E13"/>
      <c r="F13"/>
    </row>
    <row r="14" spans="2:8" s="161" customFormat="1" x14ac:dyDescent="0.35">
      <c r="C14" s="37"/>
      <c r="D14"/>
      <c r="E14"/>
      <c r="F14"/>
    </row>
    <row r="15" spans="2:8" s="161" customFormat="1" x14ac:dyDescent="0.35">
      <c r="C15" s="37"/>
      <c r="D15"/>
      <c r="E15"/>
      <c r="F15"/>
    </row>
    <row r="16" spans="2:8" s="161" customFormat="1" x14ac:dyDescent="0.35">
      <c r="C16" s="37"/>
      <c r="D16"/>
      <c r="E16"/>
      <c r="F16"/>
    </row>
    <row r="17" spans="3:6" s="161" customFormat="1" x14ac:dyDescent="0.35">
      <c r="C17" s="37"/>
      <c r="D17"/>
      <c r="E17"/>
      <c r="F17"/>
    </row>
    <row r="18" spans="3:6" s="161" customFormat="1" x14ac:dyDescent="0.35">
      <c r="C18" s="37"/>
      <c r="D18"/>
      <c r="E18"/>
      <c r="F18"/>
    </row>
    <row r="19" spans="3:6" s="161" customFormat="1" x14ac:dyDescent="0.35">
      <c r="C19" s="37"/>
      <c r="D19"/>
      <c r="E19"/>
      <c r="F19"/>
    </row>
    <row r="20" spans="3:6" s="161" customFormat="1" x14ac:dyDescent="0.35">
      <c r="C20" s="37"/>
      <c r="D20"/>
      <c r="E20"/>
      <c r="F20"/>
    </row>
    <row r="21" spans="3:6" s="161" customFormat="1" x14ac:dyDescent="0.35">
      <c r="C21" s="37"/>
      <c r="D21"/>
      <c r="E21"/>
      <c r="F21"/>
    </row>
    <row r="22" spans="3:6" s="161" customFormat="1" x14ac:dyDescent="0.35">
      <c r="C22" s="37"/>
      <c r="D22"/>
      <c r="E22"/>
      <c r="F22"/>
    </row>
    <row r="23" spans="3:6" s="161" customFormat="1" x14ac:dyDescent="0.35">
      <c r="C23" s="37"/>
      <c r="D23"/>
      <c r="E23"/>
      <c r="F23"/>
    </row>
    <row r="24" spans="3:6" s="161" customFormat="1" x14ac:dyDescent="0.35">
      <c r="C24" s="37"/>
      <c r="D24"/>
      <c r="E24"/>
      <c r="F24"/>
    </row>
    <row r="25" spans="3:6" s="161" customFormat="1" x14ac:dyDescent="0.35">
      <c r="C25" s="37"/>
      <c r="D25"/>
      <c r="E25"/>
      <c r="F25"/>
    </row>
    <row r="26" spans="3:6" s="161" customFormat="1" x14ac:dyDescent="0.35">
      <c r="C26" s="37"/>
      <c r="D26"/>
      <c r="E26"/>
      <c r="F26"/>
    </row>
    <row r="27" spans="3:6" s="161" customFormat="1" x14ac:dyDescent="0.35">
      <c r="C27" s="37"/>
      <c r="D27"/>
      <c r="E27"/>
      <c r="F27"/>
    </row>
    <row r="28" spans="3:6" s="161" customFormat="1" x14ac:dyDescent="0.35">
      <c r="C28" s="37"/>
      <c r="D28"/>
      <c r="E28"/>
      <c r="F28"/>
    </row>
    <row r="29" spans="3:6" s="161" customFormat="1" x14ac:dyDescent="0.35">
      <c r="C29" s="37"/>
      <c r="D29"/>
      <c r="E29"/>
      <c r="F29"/>
    </row>
    <row r="30" spans="3:6" s="161" customFormat="1" x14ac:dyDescent="0.35">
      <c r="C30" s="37"/>
      <c r="D30"/>
      <c r="E30"/>
      <c r="F30"/>
    </row>
    <row r="31" spans="3:6" s="161" customFormat="1" x14ac:dyDescent="0.35">
      <c r="C31" s="37"/>
      <c r="D31"/>
      <c r="E31"/>
      <c r="F31"/>
    </row>
    <row r="32" spans="3:6" s="161" customFormat="1" x14ac:dyDescent="0.35">
      <c r="C32" s="37"/>
      <c r="D32"/>
      <c r="E32"/>
      <c r="F32"/>
    </row>
    <row r="33" spans="3:6" s="161" customFormat="1" x14ac:dyDescent="0.35">
      <c r="C33" s="37"/>
      <c r="D33"/>
      <c r="E33"/>
      <c r="F33"/>
    </row>
    <row r="34" spans="3:6" s="161" customFormat="1" x14ac:dyDescent="0.35">
      <c r="C34" s="37"/>
      <c r="D34"/>
      <c r="E34"/>
      <c r="F34"/>
    </row>
    <row r="35" spans="3:6" s="161" customFormat="1" x14ac:dyDescent="0.35">
      <c r="C35" s="37"/>
      <c r="D35"/>
      <c r="E35"/>
      <c r="F35"/>
    </row>
    <row r="36" spans="3:6" s="161" customFormat="1" x14ac:dyDescent="0.35">
      <c r="C36" s="37"/>
      <c r="D36"/>
      <c r="E36"/>
      <c r="F36"/>
    </row>
    <row r="37" spans="3:6" s="161" customFormat="1" x14ac:dyDescent="0.35">
      <c r="C37" s="37"/>
      <c r="D37"/>
      <c r="E37"/>
      <c r="F37"/>
    </row>
    <row r="38" spans="3:6" s="161" customFormat="1" x14ac:dyDescent="0.35">
      <c r="C38" s="37"/>
      <c r="D38"/>
      <c r="E38"/>
      <c r="F38"/>
    </row>
    <row r="39" spans="3:6" s="161" customFormat="1" x14ac:dyDescent="0.35">
      <c r="C39" s="37"/>
      <c r="D39"/>
      <c r="E39"/>
      <c r="F39"/>
    </row>
    <row r="40" spans="3:6" s="161" customFormat="1" x14ac:dyDescent="0.35">
      <c r="C40" s="37"/>
      <c r="D40"/>
      <c r="E40"/>
      <c r="F40"/>
    </row>
    <row r="41" spans="3:6" s="161" customFormat="1" x14ac:dyDescent="0.35">
      <c r="C41" s="37"/>
      <c r="D41"/>
      <c r="E41"/>
      <c r="F41"/>
    </row>
    <row r="42" spans="3:6" s="161" customFormat="1" x14ac:dyDescent="0.35">
      <c r="C42" s="37"/>
      <c r="D42"/>
      <c r="E42"/>
      <c r="F42"/>
    </row>
    <row r="43" spans="3:6" s="161" customFormat="1" x14ac:dyDescent="0.35">
      <c r="C43" s="37"/>
      <c r="D43"/>
      <c r="E43"/>
      <c r="F43"/>
    </row>
    <row r="44" spans="3:6" s="161" customFormat="1" x14ac:dyDescent="0.35">
      <c r="C44" s="37"/>
      <c r="D44"/>
      <c r="E44"/>
      <c r="F44"/>
    </row>
    <row r="45" spans="3:6" s="161" customFormat="1" x14ac:dyDescent="0.35">
      <c r="C45" s="37"/>
      <c r="D45"/>
      <c r="E45"/>
      <c r="F45"/>
    </row>
    <row r="46" spans="3:6" s="161" customFormat="1" x14ac:dyDescent="0.35">
      <c r="C46" s="37"/>
      <c r="D46"/>
      <c r="E46"/>
      <c r="F46"/>
    </row>
    <row r="47" spans="3:6" s="161" customFormat="1" x14ac:dyDescent="0.35">
      <c r="C47" s="37"/>
      <c r="D47"/>
      <c r="E47"/>
      <c r="F47"/>
    </row>
    <row r="48" spans="3:6" s="161" customFormat="1" x14ac:dyDescent="0.35">
      <c r="D48"/>
      <c r="E48"/>
      <c r="F48"/>
    </row>
    <row r="49" spans="4:6" x14ac:dyDescent="0.35">
      <c r="D49"/>
      <c r="E49"/>
      <c r="F49"/>
    </row>
    <row r="50" spans="4:6" x14ac:dyDescent="0.35">
      <c r="D50"/>
      <c r="E50"/>
      <c r="F50"/>
    </row>
    <row r="51" spans="4:6" x14ac:dyDescent="0.35">
      <c r="D51"/>
      <c r="E51"/>
      <c r="F51"/>
    </row>
    <row r="52" spans="4:6" x14ac:dyDescent="0.35">
      <c r="D52"/>
      <c r="E52"/>
      <c r="F52"/>
    </row>
    <row r="53" spans="4:6" x14ac:dyDescent="0.35">
      <c r="D53"/>
      <c r="E53"/>
      <c r="F53"/>
    </row>
    <row r="54" spans="4:6" x14ac:dyDescent="0.35">
      <c r="D54"/>
      <c r="E54"/>
      <c r="F54"/>
    </row>
    <row r="55" spans="4:6" x14ac:dyDescent="0.35">
      <c r="D55"/>
      <c r="E55"/>
      <c r="F55"/>
    </row>
    <row r="56" spans="4:6" x14ac:dyDescent="0.35">
      <c r="D56"/>
      <c r="E56"/>
      <c r="F56"/>
    </row>
    <row r="57" spans="4:6" x14ac:dyDescent="0.35">
      <c r="D57"/>
      <c r="E57"/>
      <c r="F57"/>
    </row>
    <row r="58" spans="4:6" x14ac:dyDescent="0.35">
      <c r="D58"/>
      <c r="E58"/>
      <c r="F58"/>
    </row>
    <row r="59" spans="4:6" x14ac:dyDescent="0.35">
      <c r="D59"/>
      <c r="E59"/>
      <c r="F59"/>
    </row>
    <row r="60" spans="4:6" x14ac:dyDescent="0.35">
      <c r="D60"/>
      <c r="E60"/>
      <c r="F60"/>
    </row>
    <row r="61" spans="4:6" x14ac:dyDescent="0.35">
      <c r="D61"/>
      <c r="E61"/>
      <c r="F61"/>
    </row>
    <row r="62" spans="4:6" x14ac:dyDescent="0.35">
      <c r="D62"/>
      <c r="E62"/>
      <c r="F62"/>
    </row>
    <row r="63" spans="4:6" x14ac:dyDescent="0.35">
      <c r="D63"/>
      <c r="E63"/>
      <c r="F63"/>
    </row>
    <row r="64" spans="4:6" x14ac:dyDescent="0.35">
      <c r="D64"/>
      <c r="E64"/>
      <c r="F64"/>
    </row>
    <row r="65" spans="4:6" x14ac:dyDescent="0.35">
      <c r="D65"/>
      <c r="E65"/>
      <c r="F65"/>
    </row>
    <row r="66" spans="4:6" x14ac:dyDescent="0.35">
      <c r="D66"/>
      <c r="E66"/>
      <c r="F66"/>
    </row>
    <row r="67" spans="4:6" x14ac:dyDescent="0.35">
      <c r="D67"/>
      <c r="E67"/>
      <c r="F67"/>
    </row>
    <row r="68" spans="4:6" x14ac:dyDescent="0.35">
      <c r="D68"/>
      <c r="E68"/>
      <c r="F68"/>
    </row>
    <row r="69" spans="4:6" x14ac:dyDescent="0.35">
      <c r="D69"/>
      <c r="E69"/>
      <c r="F69"/>
    </row>
    <row r="70" spans="4:6" x14ac:dyDescent="0.35">
      <c r="D70"/>
      <c r="E70"/>
      <c r="F70"/>
    </row>
    <row r="71" spans="4:6" x14ac:dyDescent="0.35">
      <c r="D71"/>
      <c r="E71"/>
      <c r="F71"/>
    </row>
    <row r="72" spans="4:6" x14ac:dyDescent="0.35">
      <c r="D72"/>
      <c r="E72"/>
      <c r="F72"/>
    </row>
    <row r="73" spans="4:6" x14ac:dyDescent="0.35">
      <c r="D73"/>
      <c r="E73"/>
      <c r="F73"/>
    </row>
    <row r="74" spans="4:6" x14ac:dyDescent="0.35">
      <c r="D74"/>
      <c r="E74"/>
      <c r="F74"/>
    </row>
    <row r="75" spans="4:6" x14ac:dyDescent="0.35">
      <c r="D75"/>
      <c r="E75"/>
      <c r="F75"/>
    </row>
    <row r="76" spans="4:6" x14ac:dyDescent="0.35">
      <c r="D76"/>
      <c r="E76"/>
      <c r="F76"/>
    </row>
    <row r="77" spans="4:6" x14ac:dyDescent="0.35">
      <c r="D77"/>
      <c r="E77"/>
      <c r="F77"/>
    </row>
    <row r="78" spans="4:6" x14ac:dyDescent="0.35">
      <c r="D78"/>
      <c r="E78"/>
      <c r="F78"/>
    </row>
    <row r="79" spans="4:6" x14ac:dyDescent="0.35">
      <c r="D79"/>
      <c r="E79"/>
      <c r="F79"/>
    </row>
    <row r="80" spans="4:6" x14ac:dyDescent="0.35">
      <c r="D80"/>
      <c r="E80"/>
      <c r="F80"/>
    </row>
    <row r="81" spans="4:6" x14ac:dyDescent="0.35">
      <c r="D81"/>
      <c r="E81"/>
      <c r="F81"/>
    </row>
    <row r="82" spans="4:6" x14ac:dyDescent="0.35">
      <c r="D82"/>
      <c r="E82"/>
      <c r="F82"/>
    </row>
    <row r="83" spans="4:6" x14ac:dyDescent="0.35">
      <c r="D83"/>
      <c r="E83"/>
      <c r="F83"/>
    </row>
    <row r="84" spans="4:6" x14ac:dyDescent="0.35">
      <c r="D84"/>
      <c r="E84"/>
      <c r="F84"/>
    </row>
    <row r="85" spans="4:6" x14ac:dyDescent="0.35">
      <c r="D85"/>
      <c r="E85"/>
      <c r="F85"/>
    </row>
    <row r="86" spans="4:6" x14ac:dyDescent="0.35">
      <c r="D86"/>
      <c r="E86"/>
      <c r="F86"/>
    </row>
    <row r="87" spans="4:6" x14ac:dyDescent="0.35">
      <c r="D87"/>
      <c r="E87"/>
      <c r="F87"/>
    </row>
    <row r="88" spans="4:6" x14ac:dyDescent="0.35">
      <c r="D88"/>
      <c r="E88"/>
      <c r="F88"/>
    </row>
    <row r="89" spans="4:6" x14ac:dyDescent="0.35">
      <c r="D89"/>
      <c r="E89"/>
      <c r="F89"/>
    </row>
    <row r="90" spans="4:6" x14ac:dyDescent="0.35">
      <c r="D90"/>
      <c r="E90"/>
      <c r="F90"/>
    </row>
    <row r="91" spans="4:6" x14ac:dyDescent="0.35">
      <c r="D91"/>
      <c r="E91"/>
      <c r="F91"/>
    </row>
    <row r="92" spans="4:6" x14ac:dyDescent="0.35">
      <c r="D92"/>
      <c r="E92"/>
      <c r="F92"/>
    </row>
    <row r="93" spans="4:6" x14ac:dyDescent="0.35">
      <c r="D93"/>
      <c r="E93"/>
      <c r="F93"/>
    </row>
    <row r="94" spans="4:6" x14ac:dyDescent="0.35">
      <c r="D94"/>
      <c r="E94"/>
      <c r="F94"/>
    </row>
    <row r="95" spans="4:6" x14ac:dyDescent="0.35">
      <c r="D95"/>
      <c r="E95"/>
      <c r="F95"/>
    </row>
    <row r="96" spans="4:6" x14ac:dyDescent="0.35">
      <c r="D96"/>
      <c r="E96"/>
      <c r="F96"/>
    </row>
    <row r="97" spans="4:6" x14ac:dyDescent="0.35">
      <c r="D97"/>
      <c r="E97"/>
      <c r="F97"/>
    </row>
    <row r="98" spans="4:6" x14ac:dyDescent="0.35">
      <c r="D98"/>
      <c r="E98"/>
      <c r="F98"/>
    </row>
    <row r="99" spans="4:6" x14ac:dyDescent="0.35">
      <c r="D99"/>
      <c r="E99"/>
      <c r="F99"/>
    </row>
    <row r="100" spans="4:6" x14ac:dyDescent="0.35">
      <c r="D100"/>
      <c r="E100"/>
      <c r="F100"/>
    </row>
    <row r="101" spans="4:6" x14ac:dyDescent="0.35">
      <c r="D101"/>
      <c r="E101"/>
      <c r="F101"/>
    </row>
    <row r="102" spans="4:6" x14ac:dyDescent="0.35">
      <c r="D102"/>
      <c r="E102"/>
      <c r="F102"/>
    </row>
    <row r="103" spans="4:6" x14ac:dyDescent="0.35">
      <c r="D103"/>
      <c r="E103"/>
      <c r="F103"/>
    </row>
    <row r="104" spans="4:6" x14ac:dyDescent="0.35">
      <c r="D104"/>
      <c r="E104"/>
      <c r="F104"/>
    </row>
    <row r="105" spans="4:6" x14ac:dyDescent="0.35">
      <c r="D105"/>
      <c r="E105"/>
      <c r="F105"/>
    </row>
    <row r="106" spans="4:6" x14ac:dyDescent="0.35">
      <c r="D106"/>
      <c r="E106"/>
      <c r="F106"/>
    </row>
    <row r="107" spans="4:6" x14ac:dyDescent="0.35">
      <c r="D107"/>
      <c r="E107"/>
      <c r="F107"/>
    </row>
    <row r="108" spans="4:6" x14ac:dyDescent="0.35">
      <c r="D108"/>
      <c r="E108"/>
      <c r="F108"/>
    </row>
    <row r="109" spans="4:6" x14ac:dyDescent="0.35">
      <c r="D109"/>
      <c r="E109"/>
      <c r="F109"/>
    </row>
    <row r="110" spans="4:6" x14ac:dyDescent="0.35">
      <c r="D110"/>
      <c r="E110"/>
      <c r="F110"/>
    </row>
    <row r="111" spans="4:6" x14ac:dyDescent="0.35">
      <c r="D111"/>
      <c r="E111"/>
      <c r="F111"/>
    </row>
    <row r="112" spans="4:6" x14ac:dyDescent="0.35">
      <c r="D112"/>
      <c r="E112"/>
      <c r="F112"/>
    </row>
    <row r="113" spans="4:6" x14ac:dyDescent="0.35">
      <c r="D113"/>
      <c r="E113"/>
      <c r="F113"/>
    </row>
    <row r="114" spans="4:6" x14ac:dyDescent="0.35">
      <c r="D114"/>
      <c r="E114"/>
      <c r="F114"/>
    </row>
    <row r="115" spans="4:6" x14ac:dyDescent="0.35">
      <c r="D115"/>
      <c r="E115"/>
      <c r="F115"/>
    </row>
    <row r="116" spans="4:6" x14ac:dyDescent="0.35">
      <c r="D116"/>
      <c r="E116"/>
      <c r="F116"/>
    </row>
    <row r="117" spans="4:6" x14ac:dyDescent="0.35">
      <c r="D117"/>
      <c r="E117"/>
      <c r="F117"/>
    </row>
    <row r="118" spans="4:6" x14ac:dyDescent="0.35">
      <c r="D118"/>
      <c r="E118"/>
      <c r="F118"/>
    </row>
    <row r="119" spans="4:6" x14ac:dyDescent="0.35">
      <c r="D119"/>
      <c r="E119"/>
      <c r="F119"/>
    </row>
    <row r="120" spans="4:6" x14ac:dyDescent="0.35">
      <c r="D120"/>
      <c r="E120"/>
      <c r="F120"/>
    </row>
    <row r="121" spans="4:6" x14ac:dyDescent="0.35">
      <c r="D121"/>
      <c r="E121"/>
      <c r="F121"/>
    </row>
    <row r="122" spans="4:6" x14ac:dyDescent="0.35">
      <c r="D122"/>
      <c r="E122"/>
      <c r="F122"/>
    </row>
    <row r="123" spans="4:6" x14ac:dyDescent="0.35">
      <c r="D123"/>
      <c r="E123"/>
      <c r="F123"/>
    </row>
    <row r="124" spans="4:6" x14ac:dyDescent="0.35">
      <c r="D124"/>
      <c r="E124"/>
      <c r="F124"/>
    </row>
    <row r="125" spans="4:6" x14ac:dyDescent="0.35">
      <c r="D125"/>
      <c r="E125"/>
      <c r="F125"/>
    </row>
    <row r="126" spans="4:6" x14ac:dyDescent="0.35">
      <c r="D126"/>
      <c r="E126"/>
      <c r="F126"/>
    </row>
    <row r="127" spans="4:6" x14ac:dyDescent="0.35">
      <c r="D127"/>
      <c r="E127"/>
      <c r="F127"/>
    </row>
    <row r="128" spans="4:6" x14ac:dyDescent="0.35">
      <c r="D128"/>
      <c r="E128"/>
      <c r="F128"/>
    </row>
    <row r="129" spans="4:6" x14ac:dyDescent="0.35">
      <c r="D129"/>
      <c r="E129"/>
      <c r="F129"/>
    </row>
    <row r="130" spans="4:6" x14ac:dyDescent="0.35">
      <c r="D130"/>
      <c r="E130"/>
      <c r="F130"/>
    </row>
    <row r="131" spans="4:6" x14ac:dyDescent="0.35">
      <c r="D131"/>
      <c r="E131"/>
      <c r="F131"/>
    </row>
    <row r="132" spans="4:6" x14ac:dyDescent="0.35">
      <c r="D132"/>
      <c r="E132"/>
      <c r="F132"/>
    </row>
    <row r="133" spans="4:6" x14ac:dyDescent="0.35">
      <c r="D133"/>
      <c r="E133"/>
      <c r="F133"/>
    </row>
    <row r="134" spans="4:6" x14ac:dyDescent="0.35">
      <c r="D134"/>
      <c r="E134"/>
      <c r="F134"/>
    </row>
    <row r="135" spans="4:6" x14ac:dyDescent="0.35">
      <c r="D135"/>
      <c r="E135"/>
      <c r="F135"/>
    </row>
    <row r="136" spans="4:6" x14ac:dyDescent="0.35">
      <c r="D136"/>
      <c r="E136"/>
      <c r="F136"/>
    </row>
    <row r="137" spans="4:6" x14ac:dyDescent="0.35">
      <c r="D137"/>
      <c r="E137"/>
      <c r="F137"/>
    </row>
    <row r="138" spans="4:6" x14ac:dyDescent="0.35">
      <c r="D138"/>
      <c r="E138"/>
      <c r="F138"/>
    </row>
    <row r="139" spans="4:6" x14ac:dyDescent="0.35">
      <c r="D139"/>
      <c r="E139"/>
      <c r="F139"/>
    </row>
    <row r="140" spans="4:6" x14ac:dyDescent="0.35">
      <c r="D140"/>
      <c r="E140"/>
      <c r="F140"/>
    </row>
    <row r="141" spans="4:6" x14ac:dyDescent="0.35">
      <c r="D141"/>
      <c r="E141"/>
      <c r="F141"/>
    </row>
    <row r="142" spans="4:6" x14ac:dyDescent="0.35">
      <c r="D142"/>
      <c r="E142"/>
      <c r="F142"/>
    </row>
    <row r="143" spans="4:6" x14ac:dyDescent="0.35">
      <c r="D143"/>
      <c r="E143"/>
      <c r="F143"/>
    </row>
    <row r="144" spans="4:6" x14ac:dyDescent="0.35">
      <c r="D144"/>
      <c r="E144"/>
      <c r="F144"/>
    </row>
    <row r="145" spans="4:6" x14ac:dyDescent="0.35">
      <c r="D145"/>
      <c r="E145"/>
      <c r="F145"/>
    </row>
    <row r="146" spans="4:6" x14ac:dyDescent="0.35">
      <c r="D146"/>
      <c r="E146"/>
      <c r="F146"/>
    </row>
    <row r="147" spans="4:6" x14ac:dyDescent="0.35">
      <c r="D147"/>
      <c r="E147"/>
      <c r="F147"/>
    </row>
    <row r="148" spans="4:6" x14ac:dyDescent="0.35">
      <c r="D148"/>
      <c r="E148"/>
      <c r="F148"/>
    </row>
    <row r="149" spans="4:6" x14ac:dyDescent="0.35">
      <c r="D149"/>
      <c r="E149"/>
      <c r="F149"/>
    </row>
    <row r="150" spans="4:6" x14ac:dyDescent="0.35">
      <c r="D150"/>
      <c r="E150"/>
      <c r="F150"/>
    </row>
    <row r="151" spans="4:6" x14ac:dyDescent="0.35">
      <c r="D151"/>
      <c r="E151"/>
      <c r="F151"/>
    </row>
    <row r="152" spans="4:6" x14ac:dyDescent="0.35">
      <c r="D152"/>
      <c r="E152"/>
      <c r="F152"/>
    </row>
    <row r="153" spans="4:6" x14ac:dyDescent="0.35">
      <c r="D153"/>
      <c r="E153"/>
      <c r="F153"/>
    </row>
    <row r="154" spans="4:6" x14ac:dyDescent="0.35">
      <c r="D154"/>
      <c r="E154"/>
      <c r="F154"/>
    </row>
    <row r="155" spans="4:6" x14ac:dyDescent="0.35">
      <c r="D155"/>
      <c r="E155"/>
      <c r="F155"/>
    </row>
    <row r="156" spans="4:6" x14ac:dyDescent="0.35">
      <c r="D156"/>
      <c r="E156"/>
      <c r="F156"/>
    </row>
    <row r="157" spans="4:6" x14ac:dyDescent="0.35">
      <c r="D157"/>
      <c r="E157"/>
      <c r="F157"/>
    </row>
    <row r="158" spans="4:6" x14ac:dyDescent="0.35">
      <c r="D158"/>
      <c r="E158"/>
      <c r="F158"/>
    </row>
    <row r="159" spans="4:6" x14ac:dyDescent="0.35">
      <c r="D159"/>
      <c r="E159"/>
      <c r="F159"/>
    </row>
    <row r="160" spans="4:6" x14ac:dyDescent="0.35">
      <c r="D160"/>
      <c r="E160"/>
      <c r="F160"/>
    </row>
    <row r="161" spans="4:6" x14ac:dyDescent="0.35">
      <c r="D161"/>
      <c r="E161"/>
      <c r="F161"/>
    </row>
    <row r="162" spans="4:6" x14ac:dyDescent="0.35">
      <c r="D162"/>
      <c r="E162"/>
      <c r="F162"/>
    </row>
    <row r="163" spans="4:6" x14ac:dyDescent="0.35">
      <c r="D163"/>
      <c r="E163"/>
      <c r="F163"/>
    </row>
    <row r="164" spans="4:6" x14ac:dyDescent="0.35">
      <c r="D164"/>
      <c r="E164"/>
      <c r="F164"/>
    </row>
    <row r="165" spans="4:6" x14ac:dyDescent="0.35">
      <c r="D165"/>
      <c r="E165"/>
      <c r="F165"/>
    </row>
    <row r="166" spans="4:6" x14ac:dyDescent="0.35">
      <c r="D166"/>
      <c r="E166"/>
      <c r="F166"/>
    </row>
    <row r="167" spans="4:6" x14ac:dyDescent="0.35">
      <c r="D167"/>
      <c r="E167"/>
      <c r="F167"/>
    </row>
    <row r="168" spans="4:6" x14ac:dyDescent="0.35">
      <c r="D168"/>
      <c r="E168"/>
      <c r="F168"/>
    </row>
    <row r="169" spans="4:6" x14ac:dyDescent="0.35">
      <c r="D169"/>
      <c r="E169"/>
      <c r="F169"/>
    </row>
    <row r="170" spans="4:6" x14ac:dyDescent="0.35">
      <c r="D170"/>
      <c r="E170"/>
      <c r="F170"/>
    </row>
    <row r="171" spans="4:6" x14ac:dyDescent="0.35">
      <c r="D171"/>
      <c r="E171"/>
      <c r="F171"/>
    </row>
    <row r="172" spans="4:6" x14ac:dyDescent="0.35">
      <c r="D172"/>
      <c r="E172"/>
      <c r="F172"/>
    </row>
    <row r="173" spans="4:6" x14ac:dyDescent="0.35">
      <c r="D173"/>
      <c r="E173"/>
      <c r="F173"/>
    </row>
    <row r="174" spans="4:6" x14ac:dyDescent="0.35">
      <c r="D174"/>
      <c r="E174"/>
      <c r="F174"/>
    </row>
    <row r="175" spans="4:6" x14ac:dyDescent="0.35">
      <c r="D175"/>
      <c r="E175"/>
      <c r="F175"/>
    </row>
    <row r="176" spans="4:6" x14ac:dyDescent="0.35">
      <c r="D176"/>
      <c r="E176"/>
      <c r="F176"/>
    </row>
    <row r="177" spans="4:6" x14ac:dyDescent="0.35">
      <c r="D177"/>
      <c r="E177"/>
      <c r="F177"/>
    </row>
    <row r="178" spans="4:6" x14ac:dyDescent="0.35">
      <c r="D178"/>
      <c r="E178"/>
      <c r="F178"/>
    </row>
    <row r="179" spans="4:6" x14ac:dyDescent="0.35">
      <c r="D179"/>
      <c r="E179"/>
      <c r="F179"/>
    </row>
    <row r="180" spans="4:6" x14ac:dyDescent="0.35">
      <c r="D180"/>
      <c r="E180"/>
      <c r="F180"/>
    </row>
    <row r="181" spans="4:6" x14ac:dyDescent="0.35">
      <c r="D181"/>
      <c r="E181"/>
      <c r="F181"/>
    </row>
    <row r="182" spans="4:6" x14ac:dyDescent="0.35">
      <c r="D182"/>
      <c r="E182"/>
      <c r="F182"/>
    </row>
    <row r="183" spans="4:6" x14ac:dyDescent="0.35">
      <c r="D183"/>
      <c r="E183"/>
      <c r="F183"/>
    </row>
    <row r="184" spans="4:6" x14ac:dyDescent="0.35">
      <c r="D184"/>
      <c r="E184"/>
      <c r="F184"/>
    </row>
    <row r="185" spans="4:6" x14ac:dyDescent="0.35">
      <c r="D185"/>
      <c r="E185"/>
      <c r="F185"/>
    </row>
    <row r="186" spans="4:6" x14ac:dyDescent="0.35">
      <c r="D186"/>
      <c r="E186"/>
      <c r="F186"/>
    </row>
    <row r="187" spans="4:6" x14ac:dyDescent="0.35">
      <c r="D187"/>
      <c r="E187"/>
      <c r="F187"/>
    </row>
    <row r="188" spans="4:6" x14ac:dyDescent="0.35">
      <c r="D188"/>
      <c r="E188"/>
      <c r="F188"/>
    </row>
    <row r="189" spans="4:6" x14ac:dyDescent="0.35">
      <c r="D189"/>
      <c r="E189"/>
      <c r="F189"/>
    </row>
    <row r="190" spans="4:6" x14ac:dyDescent="0.35">
      <c r="D190"/>
      <c r="E190"/>
      <c r="F190"/>
    </row>
    <row r="191" spans="4:6" x14ac:dyDescent="0.35">
      <c r="D191"/>
      <c r="E191"/>
      <c r="F191"/>
    </row>
    <row r="192" spans="4:6" x14ac:dyDescent="0.35">
      <c r="D192"/>
      <c r="E192"/>
      <c r="F192"/>
    </row>
    <row r="193" spans="4:6" x14ac:dyDescent="0.35">
      <c r="D193"/>
      <c r="E193"/>
      <c r="F193"/>
    </row>
    <row r="194" spans="4:6" x14ac:dyDescent="0.35">
      <c r="D194"/>
      <c r="E194"/>
      <c r="F194"/>
    </row>
    <row r="195" spans="4:6" x14ac:dyDescent="0.35">
      <c r="D195"/>
      <c r="E195"/>
      <c r="F195"/>
    </row>
    <row r="196" spans="4:6" x14ac:dyDescent="0.35">
      <c r="D196"/>
      <c r="E196"/>
      <c r="F196"/>
    </row>
    <row r="197" spans="4:6" x14ac:dyDescent="0.35">
      <c r="D197"/>
      <c r="E197"/>
      <c r="F197"/>
    </row>
    <row r="198" spans="4:6" x14ac:dyDescent="0.35">
      <c r="D198"/>
      <c r="E198"/>
      <c r="F198"/>
    </row>
    <row r="199" spans="4:6" x14ac:dyDescent="0.35">
      <c r="D199"/>
      <c r="E199"/>
      <c r="F199"/>
    </row>
    <row r="200" spans="4:6" x14ac:dyDescent="0.35">
      <c r="D200"/>
      <c r="E200"/>
      <c r="F200"/>
    </row>
    <row r="201" spans="4:6" x14ac:dyDescent="0.35">
      <c r="D201"/>
      <c r="E201"/>
      <c r="F201"/>
    </row>
    <row r="202" spans="4:6" x14ac:dyDescent="0.35">
      <c r="D202"/>
      <c r="E202"/>
      <c r="F202"/>
    </row>
    <row r="203" spans="4:6" x14ac:dyDescent="0.35">
      <c r="D203"/>
      <c r="E203"/>
      <c r="F203"/>
    </row>
    <row r="204" spans="4:6" x14ac:dyDescent="0.35">
      <c r="D204"/>
      <c r="E204"/>
      <c r="F204"/>
    </row>
    <row r="205" spans="4:6" x14ac:dyDescent="0.35">
      <c r="D205"/>
      <c r="E205"/>
      <c r="F205"/>
    </row>
    <row r="206" spans="4:6" x14ac:dyDescent="0.35">
      <c r="D206"/>
      <c r="E206"/>
      <c r="F206"/>
    </row>
    <row r="207" spans="4:6" x14ac:dyDescent="0.35">
      <c r="D207"/>
      <c r="E207"/>
      <c r="F207"/>
    </row>
    <row r="208" spans="4:6" x14ac:dyDescent="0.35">
      <c r="D208"/>
      <c r="E208"/>
      <c r="F208"/>
    </row>
    <row r="209" spans="4:6" x14ac:dyDescent="0.35">
      <c r="D209"/>
      <c r="E209"/>
      <c r="F209"/>
    </row>
    <row r="210" spans="4:6" x14ac:dyDescent="0.35">
      <c r="D210"/>
      <c r="E210"/>
      <c r="F210"/>
    </row>
    <row r="211" spans="4:6" x14ac:dyDescent="0.35">
      <c r="D211"/>
      <c r="E211"/>
      <c r="F211"/>
    </row>
    <row r="212" spans="4:6" x14ac:dyDescent="0.35">
      <c r="D212"/>
      <c r="E212"/>
      <c r="F212"/>
    </row>
    <row r="213" spans="4:6" x14ac:dyDescent="0.35">
      <c r="D213"/>
      <c r="E213"/>
      <c r="F213"/>
    </row>
    <row r="214" spans="4:6" x14ac:dyDescent="0.35">
      <c r="D214"/>
      <c r="E214"/>
      <c r="F214"/>
    </row>
    <row r="215" spans="4:6" x14ac:dyDescent="0.35">
      <c r="D215"/>
      <c r="E215"/>
      <c r="F215"/>
    </row>
    <row r="216" spans="4:6" x14ac:dyDescent="0.35">
      <c r="D216"/>
      <c r="E216"/>
      <c r="F216"/>
    </row>
    <row r="217" spans="4:6" x14ac:dyDescent="0.35">
      <c r="D217"/>
      <c r="E217"/>
      <c r="F217"/>
    </row>
    <row r="218" spans="4:6" x14ac:dyDescent="0.35">
      <c r="D218"/>
      <c r="E218"/>
      <c r="F218"/>
    </row>
    <row r="219" spans="4:6" x14ac:dyDescent="0.35">
      <c r="D219"/>
      <c r="E219"/>
      <c r="F219"/>
    </row>
    <row r="220" spans="4:6" x14ac:dyDescent="0.35">
      <c r="D220"/>
      <c r="E220"/>
      <c r="F220"/>
    </row>
    <row r="221" spans="4:6" x14ac:dyDescent="0.35">
      <c r="D221"/>
      <c r="E221"/>
      <c r="F221"/>
    </row>
    <row r="222" spans="4:6" x14ac:dyDescent="0.35">
      <c r="D222"/>
      <c r="E222"/>
      <c r="F222"/>
    </row>
    <row r="223" spans="4:6" x14ac:dyDescent="0.35">
      <c r="D223"/>
      <c r="E223"/>
      <c r="F223"/>
    </row>
    <row r="224" spans="4:6" x14ac:dyDescent="0.35">
      <c r="D224"/>
      <c r="E224"/>
      <c r="F224"/>
    </row>
    <row r="225" spans="4:6" x14ac:dyDescent="0.35">
      <c r="D225"/>
      <c r="E225"/>
      <c r="F225"/>
    </row>
    <row r="226" spans="4:6" x14ac:dyDescent="0.35">
      <c r="D226"/>
      <c r="E226"/>
      <c r="F226"/>
    </row>
    <row r="227" spans="4:6" x14ac:dyDescent="0.35">
      <c r="D227"/>
      <c r="E227"/>
      <c r="F227"/>
    </row>
    <row r="228" spans="4:6" x14ac:dyDescent="0.35">
      <c r="D228"/>
      <c r="E228"/>
      <c r="F228"/>
    </row>
    <row r="229" spans="4:6" x14ac:dyDescent="0.35">
      <c r="D229"/>
      <c r="E229"/>
      <c r="F229"/>
    </row>
    <row r="230" spans="4:6" x14ac:dyDescent="0.35">
      <c r="D230"/>
      <c r="E230"/>
      <c r="F230"/>
    </row>
    <row r="231" spans="4:6" x14ac:dyDescent="0.35">
      <c r="D231"/>
      <c r="E231"/>
      <c r="F231"/>
    </row>
    <row r="232" spans="4:6" x14ac:dyDescent="0.35">
      <c r="D232"/>
      <c r="E232"/>
      <c r="F232"/>
    </row>
    <row r="233" spans="4:6" x14ac:dyDescent="0.35">
      <c r="D233"/>
      <c r="E233"/>
      <c r="F233"/>
    </row>
    <row r="234" spans="4:6" x14ac:dyDescent="0.35">
      <c r="D234"/>
      <c r="E234"/>
      <c r="F234"/>
    </row>
    <row r="235" spans="4:6" x14ac:dyDescent="0.35">
      <c r="D235"/>
      <c r="E235"/>
      <c r="F235"/>
    </row>
    <row r="236" spans="4:6" x14ac:dyDescent="0.35">
      <c r="D236"/>
      <c r="E236"/>
      <c r="F236"/>
    </row>
    <row r="237" spans="4:6" x14ac:dyDescent="0.35">
      <c r="D237"/>
      <c r="E237"/>
      <c r="F237"/>
    </row>
    <row r="238" spans="4:6" x14ac:dyDescent="0.35">
      <c r="D238"/>
      <c r="E238"/>
      <c r="F238"/>
    </row>
    <row r="239" spans="4:6" x14ac:dyDescent="0.35">
      <c r="D239"/>
      <c r="E239"/>
      <c r="F239"/>
    </row>
    <row r="240" spans="4:6" x14ac:dyDescent="0.35">
      <c r="D240"/>
      <c r="E240"/>
      <c r="F240"/>
    </row>
    <row r="241" spans="4:6" x14ac:dyDescent="0.35">
      <c r="D241"/>
      <c r="E241"/>
      <c r="F241"/>
    </row>
    <row r="242" spans="4:6" x14ac:dyDescent="0.35">
      <c r="D242"/>
      <c r="E242"/>
      <c r="F242"/>
    </row>
    <row r="243" spans="4:6" x14ac:dyDescent="0.35">
      <c r="D243"/>
      <c r="E243"/>
      <c r="F243"/>
    </row>
    <row r="244" spans="4:6" x14ac:dyDescent="0.35">
      <c r="D244"/>
      <c r="E244"/>
      <c r="F244"/>
    </row>
    <row r="245" spans="4:6" x14ac:dyDescent="0.35">
      <c r="D245"/>
      <c r="E245"/>
      <c r="F245"/>
    </row>
    <row r="246" spans="4:6" x14ac:dyDescent="0.35">
      <c r="D246"/>
      <c r="E246"/>
      <c r="F246"/>
    </row>
    <row r="247" spans="4:6" x14ac:dyDescent="0.35">
      <c r="D247"/>
      <c r="E247"/>
      <c r="F247"/>
    </row>
    <row r="248" spans="4:6" x14ac:dyDescent="0.35">
      <c r="D248"/>
      <c r="E248"/>
      <c r="F248"/>
    </row>
    <row r="249" spans="4:6" x14ac:dyDescent="0.35">
      <c r="D249"/>
      <c r="E249"/>
      <c r="F249"/>
    </row>
    <row r="250" spans="4:6" x14ac:dyDescent="0.35">
      <c r="D250"/>
      <c r="E250"/>
      <c r="F250"/>
    </row>
    <row r="251" spans="4:6" x14ac:dyDescent="0.35">
      <c r="D251"/>
      <c r="E251"/>
      <c r="F251"/>
    </row>
    <row r="252" spans="4:6" x14ac:dyDescent="0.35">
      <c r="D252"/>
      <c r="E252"/>
      <c r="F252"/>
    </row>
    <row r="253" spans="4:6" x14ac:dyDescent="0.35">
      <c r="D253"/>
      <c r="E253"/>
      <c r="F253"/>
    </row>
    <row r="254" spans="4:6" x14ac:dyDescent="0.35">
      <c r="D254"/>
      <c r="E254"/>
      <c r="F254"/>
    </row>
    <row r="255" spans="4:6" x14ac:dyDescent="0.35">
      <c r="D255"/>
      <c r="E255"/>
      <c r="F255"/>
    </row>
    <row r="256" spans="4:6" x14ac:dyDescent="0.35">
      <c r="D256"/>
      <c r="E256"/>
      <c r="F256"/>
    </row>
    <row r="257" spans="4:6" x14ac:dyDescent="0.35">
      <c r="D257"/>
      <c r="E257"/>
      <c r="F257"/>
    </row>
    <row r="258" spans="4:6" x14ac:dyDescent="0.35">
      <c r="D258"/>
      <c r="E258"/>
      <c r="F258"/>
    </row>
    <row r="259" spans="4:6" x14ac:dyDescent="0.35">
      <c r="D259"/>
      <c r="E259"/>
      <c r="F259"/>
    </row>
    <row r="260" spans="4:6" x14ac:dyDescent="0.35">
      <c r="D260"/>
      <c r="E260"/>
      <c r="F260"/>
    </row>
    <row r="261" spans="4:6" x14ac:dyDescent="0.35">
      <c r="D261"/>
      <c r="E261"/>
      <c r="F261"/>
    </row>
    <row r="262" spans="4:6" x14ac:dyDescent="0.35">
      <c r="D262"/>
      <c r="E262"/>
      <c r="F262"/>
    </row>
    <row r="263" spans="4:6" x14ac:dyDescent="0.35">
      <c r="D263"/>
      <c r="E263"/>
      <c r="F263"/>
    </row>
    <row r="264" spans="4:6" x14ac:dyDescent="0.35">
      <c r="D264"/>
      <c r="E264"/>
      <c r="F264"/>
    </row>
    <row r="265" spans="4:6" x14ac:dyDescent="0.35">
      <c r="D265"/>
      <c r="E265"/>
      <c r="F265"/>
    </row>
    <row r="266" spans="4:6" x14ac:dyDescent="0.35">
      <c r="D266"/>
      <c r="E266"/>
      <c r="F266"/>
    </row>
    <row r="267" spans="4:6" x14ac:dyDescent="0.35">
      <c r="D267"/>
      <c r="E267"/>
      <c r="F267"/>
    </row>
    <row r="268" spans="4:6" x14ac:dyDescent="0.35">
      <c r="D268"/>
      <c r="E268"/>
      <c r="F268"/>
    </row>
    <row r="269" spans="4:6" x14ac:dyDescent="0.35">
      <c r="D269"/>
      <c r="E269"/>
      <c r="F269"/>
    </row>
    <row r="270" spans="4:6" x14ac:dyDescent="0.35">
      <c r="D270"/>
      <c r="E270"/>
      <c r="F270"/>
    </row>
    <row r="271" spans="4:6" x14ac:dyDescent="0.35">
      <c r="D271"/>
      <c r="E271"/>
      <c r="F271"/>
    </row>
    <row r="272" spans="4:6" x14ac:dyDescent="0.35">
      <c r="D272"/>
      <c r="E272"/>
      <c r="F272"/>
    </row>
    <row r="273" spans="4:6" x14ac:dyDescent="0.35">
      <c r="D273"/>
      <c r="E273"/>
      <c r="F273"/>
    </row>
    <row r="274" spans="4:6" x14ac:dyDescent="0.35">
      <c r="D274"/>
      <c r="E274"/>
      <c r="F274"/>
    </row>
    <row r="275" spans="4:6" x14ac:dyDescent="0.35">
      <c r="D275"/>
      <c r="E275"/>
      <c r="F275"/>
    </row>
    <row r="276" spans="4:6" x14ac:dyDescent="0.35">
      <c r="D276"/>
      <c r="E276"/>
      <c r="F276"/>
    </row>
    <row r="277" spans="4:6" x14ac:dyDescent="0.35">
      <c r="D277"/>
      <c r="E277"/>
      <c r="F277"/>
    </row>
    <row r="278" spans="4:6" x14ac:dyDescent="0.35">
      <c r="D278"/>
      <c r="E278"/>
      <c r="F278"/>
    </row>
    <row r="279" spans="4:6" x14ac:dyDescent="0.35">
      <c r="D279"/>
      <c r="E279"/>
      <c r="F279"/>
    </row>
    <row r="280" spans="4:6" x14ac:dyDescent="0.35">
      <c r="D280"/>
      <c r="E280"/>
      <c r="F280"/>
    </row>
    <row r="281" spans="4:6" x14ac:dyDescent="0.35">
      <c r="D281"/>
      <c r="E281"/>
      <c r="F281"/>
    </row>
    <row r="282" spans="4:6" x14ac:dyDescent="0.35">
      <c r="D282"/>
      <c r="E282"/>
      <c r="F282"/>
    </row>
    <row r="283" spans="4:6" x14ac:dyDescent="0.35">
      <c r="D283"/>
      <c r="E283"/>
      <c r="F283"/>
    </row>
    <row r="284" spans="4:6" x14ac:dyDescent="0.35">
      <c r="D284"/>
      <c r="E284"/>
      <c r="F284"/>
    </row>
    <row r="285" spans="4:6" x14ac:dyDescent="0.35">
      <c r="D285"/>
      <c r="E285"/>
      <c r="F285"/>
    </row>
    <row r="286" spans="4:6" x14ac:dyDescent="0.35">
      <c r="D286"/>
      <c r="E286"/>
      <c r="F286"/>
    </row>
    <row r="287" spans="4:6" x14ac:dyDescent="0.35">
      <c r="D287"/>
      <c r="E287"/>
      <c r="F287"/>
    </row>
    <row r="288" spans="4:6" x14ac:dyDescent="0.35">
      <c r="D288"/>
      <c r="E288"/>
      <c r="F288"/>
    </row>
    <row r="289" spans="4:6" x14ac:dyDescent="0.35">
      <c r="D289"/>
      <c r="E289"/>
      <c r="F289"/>
    </row>
    <row r="290" spans="4:6" x14ac:dyDescent="0.35">
      <c r="D290"/>
      <c r="E290"/>
      <c r="F290"/>
    </row>
    <row r="291" spans="4:6" x14ac:dyDescent="0.35">
      <c r="D291"/>
      <c r="E291"/>
      <c r="F291"/>
    </row>
    <row r="292" spans="4:6" x14ac:dyDescent="0.35">
      <c r="D292"/>
      <c r="E292"/>
      <c r="F292"/>
    </row>
    <row r="293" spans="4:6" x14ac:dyDescent="0.35">
      <c r="D293"/>
      <c r="E293"/>
      <c r="F293"/>
    </row>
    <row r="294" spans="4:6" x14ac:dyDescent="0.35">
      <c r="D294"/>
      <c r="E294"/>
      <c r="F294"/>
    </row>
    <row r="295" spans="4:6" x14ac:dyDescent="0.35">
      <c r="D295"/>
      <c r="E295"/>
      <c r="F295"/>
    </row>
    <row r="296" spans="4:6" x14ac:dyDescent="0.35">
      <c r="D296"/>
      <c r="E296"/>
      <c r="F296"/>
    </row>
    <row r="297" spans="4:6" x14ac:dyDescent="0.35">
      <c r="D297"/>
      <c r="E297"/>
      <c r="F297"/>
    </row>
    <row r="298" spans="4:6" x14ac:dyDescent="0.35">
      <c r="D298"/>
      <c r="E298"/>
      <c r="F298"/>
    </row>
    <row r="299" spans="4:6" x14ac:dyDescent="0.35">
      <c r="D299"/>
      <c r="E299"/>
      <c r="F299"/>
    </row>
    <row r="300" spans="4:6" x14ac:dyDescent="0.35">
      <c r="D300"/>
      <c r="E300"/>
      <c r="F300"/>
    </row>
    <row r="301" spans="4:6" x14ac:dyDescent="0.35">
      <c r="D301"/>
      <c r="E301"/>
      <c r="F301"/>
    </row>
    <row r="302" spans="4:6" x14ac:dyDescent="0.35">
      <c r="D302"/>
      <c r="E302"/>
      <c r="F302"/>
    </row>
    <row r="303" spans="4:6" x14ac:dyDescent="0.35">
      <c r="D303"/>
      <c r="E303"/>
      <c r="F303"/>
    </row>
  </sheetData>
  <mergeCells count="5">
    <mergeCell ref="D5:F5"/>
    <mergeCell ref="G2:H3"/>
    <mergeCell ref="B2:C3"/>
    <mergeCell ref="D2:F2"/>
    <mergeCell ref="D3:F3"/>
  </mergeCells>
  <pageMargins left="0.7" right="0.7" top="0.75" bottom="0.75" header="0.3" footer="0.3"/>
  <pageSetup orientation="portrait" r:id="rId2"/>
  <drawing r:id="rId3"/>
  <legacyDrawing r:id="rId4"/>
  <controls>
    <mc:AlternateContent xmlns:mc="http://schemas.openxmlformats.org/markup-compatibility/2006">
      <mc:Choice Requires="x14">
        <control shapeId="10241" r:id="rId5" name="CommandButton1">
          <controlPr defaultSize="0" autoLine="0" r:id="rId6">
            <anchor moveWithCells="1">
              <from>
                <xdr:col>1</xdr:col>
                <xdr:colOff>0</xdr:colOff>
                <xdr:row>4</xdr:row>
                <xdr:rowOff>25400</xdr:rowOff>
              </from>
              <to>
                <xdr:col>2</xdr:col>
                <xdr:colOff>228600</xdr:colOff>
                <xdr:row>4</xdr:row>
                <xdr:rowOff>349250</xdr:rowOff>
              </to>
            </anchor>
          </controlPr>
        </control>
      </mc:Choice>
      <mc:Fallback>
        <control shapeId="10241" r:id="rId5"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S26"/>
  <sheetViews>
    <sheetView workbookViewId="0">
      <selection activeCell="K27" sqref="K27"/>
    </sheetView>
  </sheetViews>
  <sheetFormatPr defaultColWidth="11.453125" defaultRowHeight="14.5" x14ac:dyDescent="0.35"/>
  <cols>
    <col min="1" max="1" width="5" style="27" customWidth="1"/>
    <col min="2" max="2" width="6.54296875" style="27" customWidth="1"/>
    <col min="3" max="3" width="9.6328125" style="27" customWidth="1"/>
    <col min="4" max="6" width="11.453125" style="27"/>
    <col min="7" max="7" width="18.36328125" style="27" customWidth="1"/>
    <col min="8" max="8" width="2.6328125" style="27" customWidth="1"/>
    <col min="9" max="9" width="7.36328125" style="27" customWidth="1"/>
    <col min="10" max="10" width="15" style="27" customWidth="1"/>
    <col min="11" max="11" width="15.36328125" style="27" customWidth="1"/>
    <col min="12" max="12" width="11.453125" style="27"/>
    <col min="13" max="13" width="15.54296875" style="27" customWidth="1"/>
    <col min="14" max="14" width="3.36328125" style="27" customWidth="1"/>
    <col min="15" max="17" width="11.453125" style="27"/>
    <col min="18" max="18" width="11.36328125" style="27" customWidth="1"/>
    <col min="19" max="19" width="17.6328125" style="27" customWidth="1"/>
    <col min="20" max="16384" width="11.453125" style="27"/>
  </cols>
  <sheetData>
    <row r="1" spans="1:19" ht="8.25" customHeight="1" x14ac:dyDescent="0.35">
      <c r="B1" s="28"/>
      <c r="C1" s="28"/>
      <c r="D1" s="28"/>
      <c r="E1" s="28"/>
      <c r="F1" s="28"/>
      <c r="G1" s="28"/>
      <c r="H1" s="28"/>
      <c r="I1" s="28"/>
      <c r="J1" s="28"/>
      <c r="K1" s="28"/>
      <c r="L1" s="28"/>
      <c r="M1" s="28"/>
      <c r="N1" s="28"/>
      <c r="O1" s="28"/>
      <c r="P1" s="28"/>
      <c r="Q1" s="28"/>
    </row>
    <row r="2" spans="1:19" ht="26.25" customHeight="1" x14ac:dyDescent="0.35">
      <c r="A2" s="29"/>
      <c r="B2" s="521"/>
      <c r="C2" s="521"/>
      <c r="D2" s="522" t="s">
        <v>690</v>
      </c>
      <c r="E2" s="522"/>
      <c r="F2" s="522"/>
      <c r="G2" s="522"/>
      <c r="H2" s="522"/>
      <c r="I2" s="522"/>
      <c r="J2" s="522"/>
      <c r="K2" s="522"/>
      <c r="L2" s="522"/>
      <c r="M2" s="522"/>
      <c r="N2" s="522"/>
      <c r="O2" s="522"/>
      <c r="P2" s="522"/>
      <c r="Q2" s="522"/>
      <c r="R2" s="523" t="s">
        <v>541</v>
      </c>
      <c r="S2" s="523"/>
    </row>
    <row r="3" spans="1:19" ht="26.25" customHeight="1" x14ac:dyDescent="0.35">
      <c r="A3" s="29"/>
      <c r="B3" s="521"/>
      <c r="C3" s="521"/>
      <c r="D3" s="522" t="s">
        <v>19</v>
      </c>
      <c r="E3" s="522"/>
      <c r="F3" s="522"/>
      <c r="G3" s="522"/>
      <c r="H3" s="522"/>
      <c r="I3" s="522"/>
      <c r="J3" s="522"/>
      <c r="K3" s="522"/>
      <c r="L3" s="522"/>
      <c r="M3" s="522"/>
      <c r="N3" s="522"/>
      <c r="O3" s="522"/>
      <c r="P3" s="522"/>
      <c r="Q3" s="522"/>
      <c r="R3" s="523"/>
      <c r="S3" s="523"/>
    </row>
    <row r="4" spans="1:19" ht="12" customHeight="1" x14ac:dyDescent="0.35">
      <c r="B4" s="31"/>
      <c r="C4" s="31"/>
      <c r="D4" s="31"/>
      <c r="E4" s="31"/>
      <c r="F4" s="31"/>
      <c r="G4" s="31"/>
      <c r="H4" s="31"/>
      <c r="I4" s="31"/>
      <c r="J4" s="31"/>
      <c r="K4" s="31"/>
      <c r="L4" s="31"/>
      <c r="M4" s="31"/>
      <c r="N4" s="31"/>
      <c r="O4" s="31"/>
      <c r="P4" s="31"/>
      <c r="Q4" s="31"/>
    </row>
    <row r="5" spans="1:19" ht="12" customHeight="1" x14ac:dyDescent="0.35"/>
    <row r="6" spans="1:19" ht="18.5" x14ac:dyDescent="0.45">
      <c r="B6" s="587" t="s">
        <v>776</v>
      </c>
      <c r="C6" s="587"/>
      <c r="D6" s="587"/>
      <c r="E6" s="587"/>
      <c r="F6" s="587"/>
      <c r="G6" s="587"/>
      <c r="I6" s="587" t="s">
        <v>776</v>
      </c>
      <c r="J6" s="587"/>
      <c r="K6" s="587"/>
      <c r="L6" s="587"/>
      <c r="M6" s="587"/>
      <c r="O6" s="587" t="s">
        <v>776</v>
      </c>
      <c r="P6" s="587"/>
      <c r="Q6" s="587"/>
      <c r="R6" s="587"/>
      <c r="S6" s="587"/>
    </row>
    <row r="7" spans="1:19" x14ac:dyDescent="0.35">
      <c r="A7" s="29"/>
      <c r="B7" s="152">
        <v>1</v>
      </c>
      <c r="C7" s="583" t="s">
        <v>777</v>
      </c>
      <c r="D7" s="583"/>
      <c r="E7" s="583"/>
      <c r="F7" s="583"/>
      <c r="G7" s="138">
        <f>Planeación!E14</f>
        <v>0</v>
      </c>
      <c r="H7" s="160"/>
      <c r="I7" s="152">
        <v>21</v>
      </c>
      <c r="J7" s="154" t="s">
        <v>806</v>
      </c>
      <c r="K7" s="155"/>
      <c r="L7" s="155"/>
      <c r="M7" s="156">
        <f>Avance!N18</f>
        <v>20.399999999999999</v>
      </c>
      <c r="N7" s="30"/>
      <c r="O7" s="152">
        <v>41</v>
      </c>
      <c r="P7" s="583" t="s">
        <v>825</v>
      </c>
      <c r="Q7" s="583"/>
      <c r="R7" s="583"/>
      <c r="S7" s="157">
        <f>Avance!Q11</f>
        <v>0</v>
      </c>
    </row>
    <row r="8" spans="1:19" x14ac:dyDescent="0.35">
      <c r="A8" s="29"/>
      <c r="B8" s="152">
        <v>2</v>
      </c>
      <c r="C8" s="583" t="s">
        <v>794</v>
      </c>
      <c r="D8" s="583" t="s">
        <v>778</v>
      </c>
      <c r="E8" s="583"/>
      <c r="F8" s="583" t="str">
        <f>Planeación!I14</f>
        <v>No Core</v>
      </c>
      <c r="G8" s="138" t="str">
        <f>Planeación!I20</f>
        <v>Alta</v>
      </c>
      <c r="H8" s="160"/>
      <c r="I8" s="152">
        <v>22</v>
      </c>
      <c r="J8" s="583" t="s">
        <v>807</v>
      </c>
      <c r="K8" s="583"/>
      <c r="L8" s="583"/>
      <c r="M8" s="156">
        <f>Avance!N19</f>
        <v>0</v>
      </c>
      <c r="N8" s="30"/>
      <c r="O8" s="152">
        <v>42</v>
      </c>
      <c r="P8" s="583" t="s">
        <v>826</v>
      </c>
      <c r="Q8" s="583"/>
      <c r="R8" s="583"/>
      <c r="S8" s="138">
        <f>Planeación!I22</f>
        <v>0</v>
      </c>
    </row>
    <row r="9" spans="1:19" x14ac:dyDescent="0.35">
      <c r="A9" s="29"/>
      <c r="B9" s="152">
        <v>3</v>
      </c>
      <c r="C9" s="583" t="s">
        <v>795</v>
      </c>
      <c r="D9" s="583" t="s">
        <v>779</v>
      </c>
      <c r="E9" s="583"/>
      <c r="F9" s="583" t="str">
        <f>Planeación!I20</f>
        <v>Alta</v>
      </c>
      <c r="G9" s="153">
        <f>Planeación!E16</f>
        <v>0</v>
      </c>
      <c r="H9" s="160"/>
      <c r="I9" s="152">
        <v>23</v>
      </c>
      <c r="J9" s="583" t="s">
        <v>808</v>
      </c>
      <c r="K9" s="583"/>
      <c r="L9" s="583"/>
      <c r="M9" s="156">
        <f>Avance!N20</f>
        <v>0</v>
      </c>
      <c r="N9" s="30"/>
      <c r="O9" s="152">
        <v>43</v>
      </c>
      <c r="P9" s="583" t="s">
        <v>827</v>
      </c>
      <c r="Q9" s="583"/>
      <c r="R9" s="583"/>
      <c r="S9" s="138" t="str">
        <f>Avance!AF18</f>
        <v>Alta</v>
      </c>
    </row>
    <row r="10" spans="1:19" x14ac:dyDescent="0.35">
      <c r="A10" s="29"/>
      <c r="B10" s="152">
        <v>4</v>
      </c>
      <c r="C10" s="583" t="s">
        <v>835</v>
      </c>
      <c r="D10" s="583" t="s">
        <v>781</v>
      </c>
      <c r="E10" s="583"/>
      <c r="F10" s="583"/>
      <c r="G10" s="153">
        <f>Planeación!I36</f>
        <v>43040</v>
      </c>
      <c r="H10" s="160"/>
      <c r="I10" s="152">
        <v>24</v>
      </c>
      <c r="J10" s="583" t="s">
        <v>809</v>
      </c>
      <c r="K10" s="583"/>
      <c r="L10" s="583"/>
      <c r="M10" s="156">
        <f>Avance!N21</f>
        <v>0</v>
      </c>
      <c r="N10" s="30"/>
      <c r="O10" s="152">
        <v>44</v>
      </c>
      <c r="P10" s="583" t="s">
        <v>828</v>
      </c>
      <c r="Q10" s="583"/>
      <c r="R10" s="583"/>
      <c r="S10" s="156" t="str">
        <f>Avance!AB18</f>
        <v>Baja</v>
      </c>
    </row>
    <row r="11" spans="1:19" x14ac:dyDescent="0.35">
      <c r="A11" s="29"/>
      <c r="B11" s="152">
        <v>5</v>
      </c>
      <c r="C11" s="583" t="s">
        <v>796</v>
      </c>
      <c r="D11" s="583" t="s">
        <v>782</v>
      </c>
      <c r="E11" s="583"/>
      <c r="F11" s="583">
        <f>Planeación!E16</f>
        <v>0</v>
      </c>
      <c r="G11" s="153">
        <f>Planeación!J36</f>
        <v>43041</v>
      </c>
      <c r="H11" s="160"/>
      <c r="I11" s="152">
        <v>25</v>
      </c>
      <c r="J11" s="583" t="s">
        <v>810</v>
      </c>
      <c r="K11" s="583"/>
      <c r="L11" s="583"/>
      <c r="M11" s="159">
        <f>Planeación!E36</f>
        <v>5</v>
      </c>
      <c r="N11" s="30"/>
      <c r="O11" s="152">
        <v>45</v>
      </c>
      <c r="P11" s="583" t="s">
        <v>829</v>
      </c>
      <c r="Q11" s="583"/>
      <c r="R11" s="583"/>
      <c r="S11" s="138" t="str">
        <f>Avance!AF19</f>
        <v>Alta</v>
      </c>
    </row>
    <row r="12" spans="1:19" x14ac:dyDescent="0.35">
      <c r="A12" s="29"/>
      <c r="B12" s="152">
        <v>6</v>
      </c>
      <c r="C12" s="583" t="s">
        <v>784</v>
      </c>
      <c r="D12" s="583" t="s">
        <v>783</v>
      </c>
      <c r="E12" s="583"/>
      <c r="F12" s="583">
        <f>Planeación!I36</f>
        <v>43040</v>
      </c>
      <c r="G12" s="153">
        <f>Planeación!K36</f>
        <v>43056</v>
      </c>
      <c r="H12" s="160"/>
      <c r="I12" s="152">
        <v>26</v>
      </c>
      <c r="J12" s="583" t="s">
        <v>811</v>
      </c>
      <c r="K12" s="583"/>
      <c r="L12" s="583"/>
      <c r="M12" s="159">
        <f>SUM(Planeación!E37,Planeación!E38)</f>
        <v>0</v>
      </c>
      <c r="N12" s="30"/>
      <c r="O12" s="152">
        <v>46</v>
      </c>
      <c r="P12" s="583" t="s">
        <v>830</v>
      </c>
      <c r="Q12" s="583"/>
      <c r="R12" s="583"/>
      <c r="S12" s="156" t="str">
        <f>Avance!AB19</f>
        <v>Baja</v>
      </c>
    </row>
    <row r="13" spans="1:19" x14ac:dyDescent="0.35">
      <c r="A13" s="29"/>
      <c r="B13" s="152">
        <v>7</v>
      </c>
      <c r="C13" s="583" t="s">
        <v>785</v>
      </c>
      <c r="D13" s="583" t="s">
        <v>784</v>
      </c>
      <c r="E13" s="583"/>
      <c r="F13" s="583">
        <f>Planeación!K36</f>
        <v>43056</v>
      </c>
      <c r="G13" s="153">
        <f>Planeación!E17</f>
        <v>0</v>
      </c>
      <c r="H13" s="160"/>
      <c r="I13" s="152">
        <v>27</v>
      </c>
      <c r="J13" s="583" t="s">
        <v>812</v>
      </c>
      <c r="K13" s="583"/>
      <c r="L13" s="583"/>
      <c r="M13" s="159">
        <f>Planeación!E39</f>
        <v>0</v>
      </c>
      <c r="N13" s="30"/>
      <c r="O13" s="152">
        <v>47</v>
      </c>
      <c r="P13" s="583" t="s">
        <v>831</v>
      </c>
      <c r="Q13" s="583"/>
      <c r="R13" s="583"/>
      <c r="S13" s="138" t="str">
        <f>Avance!AF20</f>
        <v>Alta</v>
      </c>
    </row>
    <row r="14" spans="1:19" x14ac:dyDescent="0.35">
      <c r="A14" s="29"/>
      <c r="B14" s="152">
        <v>8</v>
      </c>
      <c r="C14" s="583" t="s">
        <v>786</v>
      </c>
      <c r="D14" s="583" t="s">
        <v>785</v>
      </c>
      <c r="E14" s="583"/>
      <c r="F14" s="583">
        <f>Planeación!E17</f>
        <v>0</v>
      </c>
      <c r="G14" s="153">
        <f>Planeación!I37</f>
        <v>0</v>
      </c>
      <c r="H14" s="160"/>
      <c r="I14" s="152">
        <v>28</v>
      </c>
      <c r="J14" s="583" t="s">
        <v>813</v>
      </c>
      <c r="K14" s="583"/>
      <c r="L14" s="583"/>
      <c r="M14" s="159" t="e">
        <f>Planeación!#REF!</f>
        <v>#REF!</v>
      </c>
      <c r="N14" s="30"/>
      <c r="O14" s="152">
        <v>48</v>
      </c>
      <c r="P14" s="583" t="s">
        <v>832</v>
      </c>
      <c r="Q14" s="583"/>
      <c r="R14" s="583"/>
      <c r="S14" s="156" t="str">
        <f>Avance!AB20</f>
        <v>Baja</v>
      </c>
    </row>
    <row r="15" spans="1:19" x14ac:dyDescent="0.35">
      <c r="A15" s="29"/>
      <c r="B15" s="152">
        <v>9</v>
      </c>
      <c r="C15" s="583" t="s">
        <v>797</v>
      </c>
      <c r="D15" s="583" t="s">
        <v>786</v>
      </c>
      <c r="E15" s="583"/>
      <c r="F15" s="583">
        <f>Planeación!I37</f>
        <v>0</v>
      </c>
      <c r="G15" s="153" t="str">
        <f>Planeación!J37</f>
        <v/>
      </c>
      <c r="H15" s="160"/>
      <c r="I15" s="152">
        <v>29</v>
      </c>
      <c r="J15" s="583" t="s">
        <v>816</v>
      </c>
      <c r="K15" s="583"/>
      <c r="L15" s="583"/>
      <c r="M15" s="159">
        <f>Avance!M18</f>
        <v>102</v>
      </c>
      <c r="N15" s="30"/>
      <c r="O15" s="152">
        <v>49</v>
      </c>
      <c r="P15" s="583" t="s">
        <v>833</v>
      </c>
      <c r="Q15" s="583"/>
      <c r="R15" s="583"/>
      <c r="S15" s="138" t="str">
        <f>Avance!AF21</f>
        <v>Alta</v>
      </c>
    </row>
    <row r="16" spans="1:19" x14ac:dyDescent="0.35">
      <c r="A16" s="29"/>
      <c r="B16" s="152">
        <v>10</v>
      </c>
      <c r="C16" s="583" t="s">
        <v>798</v>
      </c>
      <c r="D16" s="583" t="s">
        <v>787</v>
      </c>
      <c r="E16" s="583"/>
      <c r="F16" s="583">
        <f>Planeación!E18</f>
        <v>0</v>
      </c>
      <c r="G16" s="153">
        <f>Planeación!E18</f>
        <v>0</v>
      </c>
      <c r="H16" s="160"/>
      <c r="I16" s="152">
        <v>30</v>
      </c>
      <c r="J16" s="583" t="s">
        <v>814</v>
      </c>
      <c r="K16" s="583"/>
      <c r="L16" s="583"/>
      <c r="M16" s="159">
        <f>Avance!M19</f>
        <v>0</v>
      </c>
      <c r="N16" s="30"/>
      <c r="O16" s="152">
        <v>50</v>
      </c>
      <c r="P16" s="583" t="s">
        <v>834</v>
      </c>
      <c r="Q16" s="583"/>
      <c r="R16" s="583"/>
      <c r="S16" s="156" t="str">
        <f>Avance!AB21</f>
        <v>Baja</v>
      </c>
    </row>
    <row r="17" spans="1:19" x14ac:dyDescent="0.35">
      <c r="A17" s="29"/>
      <c r="B17" s="152">
        <v>11</v>
      </c>
      <c r="C17" s="583" t="s">
        <v>799</v>
      </c>
      <c r="D17" s="583" t="s">
        <v>788</v>
      </c>
      <c r="E17" s="583"/>
      <c r="F17" s="583">
        <f>Planeación!K38</f>
        <v>0</v>
      </c>
      <c r="G17" s="153">
        <f>Planeación!K38</f>
        <v>0</v>
      </c>
      <c r="H17" s="160"/>
      <c r="I17" s="152">
        <v>31</v>
      </c>
      <c r="J17" s="583" t="s">
        <v>815</v>
      </c>
      <c r="K17" s="583"/>
      <c r="L17" s="583"/>
      <c r="M17" s="159">
        <f>Avance!M20</f>
        <v>0</v>
      </c>
      <c r="N17" s="30"/>
      <c r="O17" s="152">
        <v>51</v>
      </c>
      <c r="P17" s="583"/>
      <c r="Q17" s="583"/>
      <c r="R17" s="583"/>
      <c r="S17" s="138"/>
    </row>
    <row r="18" spans="1:19" x14ac:dyDescent="0.35">
      <c r="A18" s="29"/>
      <c r="B18" s="152">
        <v>12</v>
      </c>
      <c r="C18" s="584" t="s">
        <v>800</v>
      </c>
      <c r="D18" s="585"/>
      <c r="E18" s="585"/>
      <c r="F18" s="586"/>
      <c r="G18" s="153">
        <f>Planeación!E19</f>
        <v>0</v>
      </c>
      <c r="H18" s="160"/>
      <c r="I18" s="152">
        <v>32</v>
      </c>
      <c r="J18" s="583" t="s">
        <v>817</v>
      </c>
      <c r="K18" s="583"/>
      <c r="L18" s="583"/>
      <c r="M18" s="159">
        <f>Avance!M21</f>
        <v>0</v>
      </c>
      <c r="N18" s="30"/>
      <c r="O18" s="152">
        <v>52</v>
      </c>
      <c r="P18" s="583"/>
      <c r="Q18" s="583"/>
      <c r="R18" s="583"/>
      <c r="S18" s="138"/>
    </row>
    <row r="19" spans="1:19" x14ac:dyDescent="0.35">
      <c r="A19" s="29"/>
      <c r="B19" s="152">
        <v>13</v>
      </c>
      <c r="C19" s="583" t="s">
        <v>801</v>
      </c>
      <c r="D19" s="583" t="s">
        <v>789</v>
      </c>
      <c r="E19" s="583"/>
      <c r="F19" s="583">
        <f>Planeación!I39</f>
        <v>0</v>
      </c>
      <c r="G19" s="153">
        <f>Planeación!E20</f>
        <v>0</v>
      </c>
      <c r="H19" s="160"/>
      <c r="I19" s="152">
        <v>33</v>
      </c>
      <c r="J19" s="583" t="s">
        <v>818</v>
      </c>
      <c r="K19" s="583"/>
      <c r="L19" s="583"/>
      <c r="M19" s="159">
        <f>'G. de Incidentes'!T9</f>
        <v>0</v>
      </c>
      <c r="N19" s="30"/>
      <c r="O19" s="152">
        <v>53</v>
      </c>
      <c r="P19" s="583"/>
      <c r="Q19" s="583"/>
      <c r="R19" s="583"/>
      <c r="S19" s="138"/>
    </row>
    <row r="20" spans="1:19" x14ac:dyDescent="0.35">
      <c r="A20" s="29"/>
      <c r="B20" s="152">
        <v>14</v>
      </c>
      <c r="C20" s="583" t="s">
        <v>836</v>
      </c>
      <c r="D20" s="583"/>
      <c r="E20" s="583"/>
      <c r="F20" s="583"/>
      <c r="G20" s="153">
        <f>Planeación!E21</f>
        <v>0</v>
      </c>
      <c r="H20" s="160"/>
      <c r="I20" s="152">
        <v>34</v>
      </c>
      <c r="J20" s="583" t="s">
        <v>819</v>
      </c>
      <c r="K20" s="583"/>
      <c r="L20" s="583"/>
      <c r="M20" s="159">
        <f>'G. de Incidentes'!U6</f>
        <v>0</v>
      </c>
      <c r="N20" s="30"/>
      <c r="O20" s="152">
        <v>54</v>
      </c>
      <c r="P20" s="583"/>
      <c r="Q20" s="583"/>
      <c r="R20" s="583"/>
      <c r="S20" s="138"/>
    </row>
    <row r="21" spans="1:19" x14ac:dyDescent="0.35">
      <c r="A21" s="29"/>
      <c r="B21" s="152">
        <v>15</v>
      </c>
      <c r="C21" s="583" t="s">
        <v>789</v>
      </c>
      <c r="D21" s="583" t="s">
        <v>790</v>
      </c>
      <c r="E21" s="583"/>
      <c r="F21" s="583" t="str">
        <f>Planeación!J39</f>
        <v/>
      </c>
      <c r="G21" s="153">
        <f>Planeación!I39</f>
        <v>0</v>
      </c>
      <c r="H21" s="160"/>
      <c r="I21" s="152">
        <v>35</v>
      </c>
      <c r="J21" s="583" t="s">
        <v>820</v>
      </c>
      <c r="K21" s="583"/>
      <c r="L21" s="583"/>
      <c r="M21" s="159">
        <f>Avance!D30</f>
        <v>0</v>
      </c>
      <c r="N21" s="30"/>
      <c r="O21" s="152">
        <v>55</v>
      </c>
      <c r="P21" s="583"/>
      <c r="Q21" s="583"/>
      <c r="R21" s="583"/>
      <c r="S21" s="138"/>
    </row>
    <row r="22" spans="1:19" x14ac:dyDescent="0.35">
      <c r="A22" s="29"/>
      <c r="B22" s="152">
        <v>16</v>
      </c>
      <c r="C22" s="583" t="s">
        <v>802</v>
      </c>
      <c r="D22" s="583" t="s">
        <v>791</v>
      </c>
      <c r="E22" s="583"/>
      <c r="F22" s="583" t="e">
        <f>Planeación!#REF!</f>
        <v>#REF!</v>
      </c>
      <c r="G22" s="153" t="str">
        <f>Planeación!J39</f>
        <v/>
      </c>
      <c r="H22" s="160"/>
      <c r="I22" s="152">
        <v>36</v>
      </c>
      <c r="J22" s="583" t="s">
        <v>821</v>
      </c>
      <c r="K22" s="583"/>
      <c r="L22" s="583"/>
      <c r="M22" s="159">
        <f>'G. de Incidentes'!U8</f>
        <v>0</v>
      </c>
      <c r="N22" s="30"/>
      <c r="O22" s="152">
        <v>56</v>
      </c>
      <c r="P22" s="583"/>
      <c r="Q22" s="583"/>
      <c r="R22" s="583"/>
      <c r="S22" s="138"/>
    </row>
    <row r="23" spans="1:19" x14ac:dyDescent="0.35">
      <c r="A23" s="29"/>
      <c r="B23" s="152">
        <v>17</v>
      </c>
      <c r="C23" s="583" t="s">
        <v>803</v>
      </c>
      <c r="D23" s="583" t="s">
        <v>791</v>
      </c>
      <c r="E23" s="583"/>
      <c r="F23" s="583" t="e">
        <f>Planeación!#REF!</f>
        <v>#REF!</v>
      </c>
      <c r="G23" s="153" t="e">
        <f>Planeación!#REF!</f>
        <v>#REF!</v>
      </c>
      <c r="H23" s="160"/>
      <c r="I23" s="152">
        <v>37</v>
      </c>
      <c r="J23" s="583" t="s">
        <v>822</v>
      </c>
      <c r="K23" s="583"/>
      <c r="L23" s="583"/>
      <c r="M23" s="159">
        <f>'G. de Incidentes'!T13</f>
        <v>0</v>
      </c>
      <c r="N23" s="30"/>
      <c r="O23" s="152">
        <v>57</v>
      </c>
      <c r="P23" s="583"/>
      <c r="Q23" s="583"/>
      <c r="R23" s="583"/>
      <c r="S23" s="138"/>
    </row>
    <row r="24" spans="1:19" x14ac:dyDescent="0.35">
      <c r="A24" s="29"/>
      <c r="B24" s="152">
        <v>18</v>
      </c>
      <c r="C24" s="583" t="s">
        <v>804</v>
      </c>
      <c r="D24" s="583"/>
      <c r="E24" s="583"/>
      <c r="F24" s="583"/>
      <c r="G24" s="153">
        <f>Planeación!K39</f>
        <v>0</v>
      </c>
      <c r="H24" s="160"/>
      <c r="I24" s="152">
        <v>38</v>
      </c>
      <c r="J24" s="583" t="s">
        <v>823</v>
      </c>
      <c r="K24" s="583"/>
      <c r="L24" s="583"/>
      <c r="M24" s="157">
        <f>Avance!Q8</f>
        <v>5</v>
      </c>
      <c r="N24" s="30"/>
      <c r="O24" s="152">
        <v>58</v>
      </c>
      <c r="P24" s="583"/>
      <c r="Q24" s="583"/>
      <c r="R24" s="583"/>
      <c r="S24" s="138"/>
    </row>
    <row r="25" spans="1:19" x14ac:dyDescent="0.35">
      <c r="A25" s="29"/>
      <c r="B25" s="152">
        <v>19</v>
      </c>
      <c r="C25" s="583" t="s">
        <v>805</v>
      </c>
      <c r="D25" s="583"/>
      <c r="E25" s="583"/>
      <c r="F25" s="583"/>
      <c r="G25" s="153">
        <f>Planeación!K40</f>
        <v>0</v>
      </c>
      <c r="H25" s="160"/>
      <c r="I25" s="152">
        <v>39</v>
      </c>
      <c r="J25" s="583" t="s">
        <v>824</v>
      </c>
      <c r="K25" s="583"/>
      <c r="L25" s="583"/>
      <c r="M25" s="157">
        <f>Avance!Q10</f>
        <v>0</v>
      </c>
      <c r="N25" s="30"/>
      <c r="O25" s="152">
        <v>59</v>
      </c>
      <c r="P25" s="583"/>
      <c r="Q25" s="583"/>
      <c r="R25" s="583"/>
      <c r="S25" s="138"/>
    </row>
    <row r="26" spans="1:19" x14ac:dyDescent="0.35">
      <c r="C26" s="31"/>
      <c r="D26" s="31"/>
      <c r="E26" s="31"/>
      <c r="F26" s="31"/>
      <c r="I26" s="31"/>
      <c r="J26" s="31"/>
      <c r="K26" s="31"/>
      <c r="L26" s="31"/>
      <c r="M26" s="31"/>
    </row>
  </sheetData>
  <sheetProtection algorithmName="SHA-512" hashValue="KNmdDfS4tXnk4Xm1m7+CGEyjBTmNwUj2Un+I3T6ZptOi/XKFO5UPXUNKHoZ549XcmYFmrm56RT2u8TLWLAbUiw==" saltValue="/vAZD19y/txOffN61WsRPg==" spinCount="100000" sheet="1" objects="1" scenarios="1"/>
  <protectedRanges>
    <protectedRange algorithmName="SHA-512" hashValue="SpzNBIktZaTTgAt59klrAteZxQK5e2mGFn7LLiVocvQCK0Iz9W7P2oWkkX4Hdkzp2DpY3bQ3z82EZBepJn1gPQ==" saltValue="Ym0+19YCjC5APOs96L8Crg==" spinCount="100000" sqref="P21:R21" name="Tiempo de pruebas" securityDescriptor="O:WDG:WDD:(A;;CC;;;S-1-5-21-1366399632-701985892-3742940101-16423)"/>
  </protectedRanges>
  <mergeCells count="63">
    <mergeCell ref="P15:R15"/>
    <mergeCell ref="P16:R16"/>
    <mergeCell ref="P21:R21"/>
    <mergeCell ref="P22:R22"/>
    <mergeCell ref="C19:F19"/>
    <mergeCell ref="C21:F21"/>
    <mergeCell ref="C22:F22"/>
    <mergeCell ref="P13:R13"/>
    <mergeCell ref="J8:L8"/>
    <mergeCell ref="J9:L9"/>
    <mergeCell ref="J21:L21"/>
    <mergeCell ref="J22:L22"/>
    <mergeCell ref="J13:L13"/>
    <mergeCell ref="J14:L14"/>
    <mergeCell ref="J15:L15"/>
    <mergeCell ref="J11:L11"/>
    <mergeCell ref="J12:L12"/>
    <mergeCell ref="P8:R8"/>
    <mergeCell ref="P9:R9"/>
    <mergeCell ref="P10:R10"/>
    <mergeCell ref="P11:R11"/>
    <mergeCell ref="P12:R12"/>
    <mergeCell ref="P14:R14"/>
    <mergeCell ref="C11:F11"/>
    <mergeCell ref="C12:F12"/>
    <mergeCell ref="J19:L19"/>
    <mergeCell ref="J20:L20"/>
    <mergeCell ref="J16:L16"/>
    <mergeCell ref="J17:L17"/>
    <mergeCell ref="J18:L18"/>
    <mergeCell ref="C13:F13"/>
    <mergeCell ref="C14:F14"/>
    <mergeCell ref="C15:F15"/>
    <mergeCell ref="C16:F16"/>
    <mergeCell ref="C17:F17"/>
    <mergeCell ref="R2:S3"/>
    <mergeCell ref="B2:C3"/>
    <mergeCell ref="I6:M6"/>
    <mergeCell ref="B6:G6"/>
    <mergeCell ref="J10:L10"/>
    <mergeCell ref="C7:F7"/>
    <mergeCell ref="C8:F8"/>
    <mergeCell ref="C9:F9"/>
    <mergeCell ref="C10:F10"/>
    <mergeCell ref="P7:R7"/>
    <mergeCell ref="D2:Q2"/>
    <mergeCell ref="D3:Q3"/>
    <mergeCell ref="O6:S6"/>
    <mergeCell ref="C24:F24"/>
    <mergeCell ref="C25:F25"/>
    <mergeCell ref="P17:R17"/>
    <mergeCell ref="P18:R18"/>
    <mergeCell ref="P19:R19"/>
    <mergeCell ref="P20:R20"/>
    <mergeCell ref="C18:F18"/>
    <mergeCell ref="C20:F20"/>
    <mergeCell ref="J23:L23"/>
    <mergeCell ref="J24:L24"/>
    <mergeCell ref="J25:L25"/>
    <mergeCell ref="P23:R23"/>
    <mergeCell ref="P24:R24"/>
    <mergeCell ref="P25:R25"/>
    <mergeCell ref="C23:F23"/>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B2:K38"/>
  <sheetViews>
    <sheetView workbookViewId="0">
      <selection activeCell="O7" sqref="O7"/>
    </sheetView>
  </sheetViews>
  <sheetFormatPr defaultColWidth="11.453125" defaultRowHeight="14.5" x14ac:dyDescent="0.35"/>
  <cols>
    <col min="1" max="1" width="5" style="166" customWidth="1"/>
    <col min="2" max="2" width="16.36328125" style="166" customWidth="1"/>
    <col min="3" max="16384" width="11.453125" style="166"/>
  </cols>
  <sheetData>
    <row r="2" spans="2:11" ht="30.75" customHeight="1" x14ac:dyDescent="0.35">
      <c r="B2" s="521"/>
      <c r="C2" s="522" t="str">
        <f>Planeación!D1</f>
        <v>VERIFICACIÓN Y VALIDACIÓN</v>
      </c>
      <c r="D2" s="522"/>
      <c r="E2" s="522"/>
      <c r="F2" s="522"/>
      <c r="G2" s="522"/>
      <c r="H2" s="522"/>
      <c r="I2" s="522"/>
      <c r="J2" s="523" t="str">
        <f>Planeación!K1</f>
        <v>Versión: 10
Fecha de emisión:  21/03/2018
Código: F-TAI-010-001</v>
      </c>
      <c r="K2" s="523"/>
    </row>
    <row r="3" spans="2:11" ht="24" customHeight="1" x14ac:dyDescent="0.35">
      <c r="B3" s="521"/>
      <c r="C3" s="522" t="str">
        <f>Planeación!D2</f>
        <v>FORMATO: Prueba interna</v>
      </c>
      <c r="D3" s="522"/>
      <c r="E3" s="522"/>
      <c r="F3" s="522"/>
      <c r="G3" s="522"/>
      <c r="H3" s="522"/>
      <c r="I3" s="522"/>
      <c r="J3" s="523"/>
      <c r="K3" s="523"/>
    </row>
    <row r="5" spans="2:11" ht="18.5" x14ac:dyDescent="0.45">
      <c r="B5" s="482" t="s">
        <v>847</v>
      </c>
      <c r="C5" s="482"/>
      <c r="D5" s="482"/>
      <c r="E5" s="482"/>
      <c r="F5" s="482"/>
      <c r="G5" s="482"/>
      <c r="H5" s="482"/>
      <c r="I5" s="482"/>
      <c r="J5" s="482"/>
      <c r="K5" s="482"/>
    </row>
    <row r="6" spans="2:11" x14ac:dyDescent="0.35">
      <c r="B6" s="590" t="s">
        <v>848</v>
      </c>
      <c r="C6" s="590"/>
      <c r="D6" s="590"/>
      <c r="E6" s="590"/>
      <c r="F6" s="588"/>
      <c r="G6" s="588"/>
      <c r="H6" s="588"/>
      <c r="I6" s="588"/>
      <c r="J6" s="588"/>
      <c r="K6" s="588"/>
    </row>
    <row r="7" spans="2:11" x14ac:dyDescent="0.35">
      <c r="B7" s="590"/>
      <c r="C7" s="590"/>
      <c r="D7" s="590"/>
      <c r="E7" s="590"/>
      <c r="F7" s="588"/>
      <c r="G7" s="588"/>
      <c r="H7" s="588"/>
      <c r="I7" s="588"/>
      <c r="J7" s="588"/>
      <c r="K7" s="588"/>
    </row>
    <row r="8" spans="2:11" x14ac:dyDescent="0.35">
      <c r="B8" s="590"/>
      <c r="C8" s="590"/>
      <c r="D8" s="590"/>
      <c r="E8" s="590"/>
      <c r="F8" s="588" t="s">
        <v>852</v>
      </c>
      <c r="G8" s="588"/>
      <c r="H8" s="588"/>
      <c r="I8" s="588"/>
      <c r="J8" s="588"/>
      <c r="K8" s="588"/>
    </row>
    <row r="9" spans="2:11" x14ac:dyDescent="0.35">
      <c r="B9" s="590"/>
      <c r="C9" s="590"/>
      <c r="D9" s="590"/>
      <c r="E9" s="590"/>
      <c r="F9" s="589"/>
      <c r="G9" s="589"/>
      <c r="H9" s="589"/>
      <c r="I9" s="589"/>
      <c r="J9" s="589"/>
      <c r="K9" s="589"/>
    </row>
    <row r="10" spans="2:11" x14ac:dyDescent="0.35">
      <c r="B10" s="590" t="s">
        <v>849</v>
      </c>
      <c r="C10" s="590"/>
      <c r="D10" s="590"/>
      <c r="E10" s="590"/>
      <c r="F10" s="589"/>
      <c r="G10" s="589"/>
      <c r="H10" s="589"/>
      <c r="I10" s="589"/>
      <c r="J10" s="589"/>
      <c r="K10" s="589"/>
    </row>
    <row r="11" spans="2:11" x14ac:dyDescent="0.35">
      <c r="B11" s="590"/>
      <c r="C11" s="590"/>
      <c r="D11" s="590"/>
      <c r="E11" s="590"/>
      <c r="F11" s="589"/>
      <c r="G11" s="589"/>
      <c r="H11" s="589"/>
      <c r="I11" s="589"/>
      <c r="J11" s="589"/>
      <c r="K11" s="589"/>
    </row>
    <row r="12" spans="2:11" x14ac:dyDescent="0.35">
      <c r="B12" s="590"/>
      <c r="C12" s="590"/>
      <c r="D12" s="590"/>
      <c r="E12" s="590"/>
      <c r="F12" s="589"/>
      <c r="G12" s="589"/>
      <c r="H12" s="589"/>
      <c r="I12" s="589"/>
      <c r="J12" s="589"/>
      <c r="K12" s="589"/>
    </row>
    <row r="13" spans="2:11" x14ac:dyDescent="0.35">
      <c r="B13" s="590"/>
      <c r="C13" s="590"/>
      <c r="D13" s="590"/>
      <c r="E13" s="590"/>
      <c r="F13" s="589"/>
      <c r="G13" s="589"/>
      <c r="H13" s="589"/>
      <c r="I13" s="589"/>
      <c r="J13" s="589"/>
      <c r="K13" s="589"/>
    </row>
    <row r="14" spans="2:11" x14ac:dyDescent="0.35">
      <c r="B14" s="590" t="s">
        <v>850</v>
      </c>
      <c r="C14" s="590"/>
      <c r="D14" s="590"/>
      <c r="E14" s="590"/>
      <c r="F14" s="589"/>
      <c r="G14" s="589"/>
      <c r="H14" s="589"/>
      <c r="I14" s="589"/>
      <c r="J14" s="589"/>
      <c r="K14" s="589"/>
    </row>
    <row r="15" spans="2:11" x14ac:dyDescent="0.35">
      <c r="B15" s="590"/>
      <c r="C15" s="590"/>
      <c r="D15" s="590"/>
      <c r="E15" s="590"/>
      <c r="F15" s="589"/>
      <c r="G15" s="589"/>
      <c r="H15" s="589"/>
      <c r="I15" s="589"/>
      <c r="J15" s="589"/>
      <c r="K15" s="589"/>
    </row>
    <row r="16" spans="2:11" x14ac:dyDescent="0.35">
      <c r="B16" s="590"/>
      <c r="C16" s="590"/>
      <c r="D16" s="590"/>
      <c r="E16" s="590"/>
      <c r="F16" s="589"/>
      <c r="G16" s="589"/>
      <c r="H16" s="589"/>
      <c r="I16" s="589"/>
      <c r="J16" s="589"/>
      <c r="K16" s="589"/>
    </row>
    <row r="17" spans="2:11" x14ac:dyDescent="0.35">
      <c r="B17" s="590"/>
      <c r="C17" s="590"/>
      <c r="D17" s="590"/>
      <c r="E17" s="590"/>
      <c r="F17" s="589"/>
      <c r="G17" s="589"/>
      <c r="H17" s="589"/>
      <c r="I17" s="589"/>
      <c r="J17" s="589"/>
      <c r="K17" s="589"/>
    </row>
    <row r="18" spans="2:11" x14ac:dyDescent="0.35">
      <c r="B18" s="590" t="s">
        <v>853</v>
      </c>
      <c r="C18" s="590"/>
      <c r="D18" s="590"/>
      <c r="E18" s="590"/>
      <c r="F18" s="588"/>
      <c r="G18" s="588"/>
      <c r="H18" s="588"/>
      <c r="I18" s="588"/>
      <c r="J18" s="588"/>
      <c r="K18" s="588"/>
    </row>
    <row r="19" spans="2:11" x14ac:dyDescent="0.35">
      <c r="B19" s="590"/>
      <c r="C19" s="590"/>
      <c r="D19" s="590"/>
      <c r="E19" s="590"/>
      <c r="F19" s="588"/>
      <c r="G19" s="588"/>
      <c r="H19" s="588"/>
      <c r="I19" s="588"/>
      <c r="J19" s="588"/>
      <c r="K19" s="588"/>
    </row>
    <row r="20" spans="2:11" x14ac:dyDescent="0.35">
      <c r="B20" s="590"/>
      <c r="C20" s="590"/>
      <c r="D20" s="590"/>
      <c r="E20" s="590"/>
      <c r="F20" s="588"/>
      <c r="G20" s="588"/>
      <c r="H20" s="588"/>
      <c r="I20" s="588"/>
      <c r="J20" s="588"/>
      <c r="K20" s="588"/>
    </row>
    <row r="21" spans="2:11" x14ac:dyDescent="0.35">
      <c r="B21" s="590"/>
      <c r="C21" s="590"/>
      <c r="D21" s="590"/>
      <c r="E21" s="590"/>
      <c r="F21" s="588"/>
      <c r="G21" s="588"/>
      <c r="H21" s="588"/>
      <c r="I21" s="588"/>
      <c r="J21" s="588"/>
      <c r="K21" s="588"/>
    </row>
    <row r="22" spans="2:11" x14ac:dyDescent="0.35">
      <c r="B22" s="590"/>
      <c r="C22" s="590"/>
      <c r="D22" s="590"/>
      <c r="E22" s="590"/>
      <c r="F22" s="588"/>
      <c r="G22" s="588"/>
      <c r="H22" s="588"/>
      <c r="I22" s="588"/>
      <c r="J22" s="588"/>
      <c r="K22" s="588"/>
    </row>
    <row r="23" spans="2:11" x14ac:dyDescent="0.35">
      <c r="B23" s="590"/>
      <c r="C23" s="590"/>
      <c r="D23" s="590"/>
      <c r="E23" s="590"/>
      <c r="F23" s="588"/>
      <c r="G23" s="588"/>
      <c r="H23" s="588"/>
      <c r="I23" s="588"/>
      <c r="J23" s="588"/>
      <c r="K23" s="588"/>
    </row>
    <row r="24" spans="2:11" x14ac:dyDescent="0.35">
      <c r="B24" s="590"/>
      <c r="C24" s="590"/>
      <c r="D24" s="590"/>
      <c r="E24" s="590"/>
      <c r="F24" s="588"/>
      <c r="G24" s="588"/>
      <c r="H24" s="588"/>
      <c r="I24" s="588"/>
      <c r="J24" s="588"/>
      <c r="K24" s="588"/>
    </row>
    <row r="25" spans="2:11" ht="15" customHeight="1" x14ac:dyDescent="0.35">
      <c r="B25" s="590" t="s">
        <v>854</v>
      </c>
      <c r="C25" s="590"/>
      <c r="D25" s="590"/>
      <c r="E25" s="590"/>
      <c r="F25" s="588"/>
      <c r="G25" s="588"/>
      <c r="H25" s="588"/>
      <c r="I25" s="588"/>
      <c r="J25" s="588"/>
      <c r="K25" s="588"/>
    </row>
    <row r="26" spans="2:11" ht="15" customHeight="1" x14ac:dyDescent="0.35">
      <c r="B26" s="590"/>
      <c r="C26" s="590"/>
      <c r="D26" s="590"/>
      <c r="E26" s="590"/>
      <c r="F26" s="588"/>
      <c r="G26" s="588"/>
      <c r="H26" s="588"/>
      <c r="I26" s="588"/>
      <c r="J26" s="588"/>
      <c r="K26" s="588"/>
    </row>
    <row r="27" spans="2:11" ht="15" customHeight="1" x14ac:dyDescent="0.35">
      <c r="B27" s="590"/>
      <c r="C27" s="590"/>
      <c r="D27" s="590"/>
      <c r="E27" s="590"/>
      <c r="F27" s="588"/>
      <c r="G27" s="588"/>
      <c r="H27" s="588"/>
      <c r="I27" s="588"/>
      <c r="J27" s="588"/>
      <c r="K27" s="588"/>
    </row>
    <row r="28" spans="2:11" ht="15" customHeight="1" x14ac:dyDescent="0.35">
      <c r="B28" s="590"/>
      <c r="C28" s="590"/>
      <c r="D28" s="590"/>
      <c r="E28" s="590"/>
      <c r="F28" s="588"/>
      <c r="G28" s="588"/>
      <c r="H28" s="588"/>
      <c r="I28" s="588"/>
      <c r="J28" s="588"/>
      <c r="K28" s="588"/>
    </row>
    <row r="29" spans="2:11" ht="15" customHeight="1" x14ac:dyDescent="0.35">
      <c r="B29" s="590"/>
      <c r="C29" s="590"/>
      <c r="D29" s="590"/>
      <c r="E29" s="590"/>
      <c r="F29" s="588"/>
      <c r="G29" s="588"/>
      <c r="H29" s="588"/>
      <c r="I29" s="588"/>
      <c r="J29" s="588"/>
      <c r="K29" s="588"/>
    </row>
    <row r="30" spans="2:11" ht="15" customHeight="1" x14ac:dyDescent="0.35">
      <c r="B30" s="590"/>
      <c r="C30" s="590"/>
      <c r="D30" s="590"/>
      <c r="E30" s="590"/>
      <c r="F30" s="588"/>
      <c r="G30" s="588"/>
      <c r="H30" s="588"/>
      <c r="I30" s="588"/>
      <c r="J30" s="588"/>
      <c r="K30" s="588"/>
    </row>
    <row r="31" spans="2:11" ht="15" customHeight="1" x14ac:dyDescent="0.35">
      <c r="B31" s="590"/>
      <c r="C31" s="590"/>
      <c r="D31" s="590"/>
      <c r="E31" s="590"/>
      <c r="F31" s="588"/>
      <c r="G31" s="588"/>
      <c r="H31" s="588"/>
      <c r="I31" s="588"/>
      <c r="J31" s="588"/>
      <c r="K31" s="588"/>
    </row>
    <row r="32" spans="2:11" x14ac:dyDescent="0.35">
      <c r="B32" s="590" t="s">
        <v>851</v>
      </c>
      <c r="C32" s="590"/>
      <c r="D32" s="590"/>
      <c r="E32" s="590"/>
      <c r="F32" s="588"/>
      <c r="G32" s="588"/>
      <c r="H32" s="588"/>
      <c r="I32" s="588"/>
      <c r="J32" s="588"/>
      <c r="K32" s="588"/>
    </row>
    <row r="33" spans="2:11" x14ac:dyDescent="0.35">
      <c r="B33" s="590"/>
      <c r="C33" s="590"/>
      <c r="D33" s="590"/>
      <c r="E33" s="590"/>
      <c r="F33" s="588"/>
      <c r="G33" s="588"/>
      <c r="H33" s="588"/>
      <c r="I33" s="588"/>
      <c r="J33" s="588"/>
      <c r="K33" s="588"/>
    </row>
    <row r="34" spans="2:11" x14ac:dyDescent="0.35">
      <c r="B34" s="590"/>
      <c r="C34" s="590"/>
      <c r="D34" s="590"/>
      <c r="E34" s="590"/>
      <c r="F34" s="588"/>
      <c r="G34" s="588"/>
      <c r="H34" s="588"/>
      <c r="I34" s="588"/>
      <c r="J34" s="588"/>
      <c r="K34" s="588"/>
    </row>
    <row r="35" spans="2:11" x14ac:dyDescent="0.35">
      <c r="B35" s="590"/>
      <c r="C35" s="590"/>
      <c r="D35" s="590"/>
      <c r="E35" s="590"/>
      <c r="F35" s="588"/>
      <c r="G35" s="588"/>
      <c r="H35" s="588"/>
      <c r="I35" s="588"/>
      <c r="J35" s="588"/>
      <c r="K35" s="588"/>
    </row>
    <row r="36" spans="2:11" x14ac:dyDescent="0.35">
      <c r="B36" s="590"/>
      <c r="C36" s="590"/>
      <c r="D36" s="590"/>
      <c r="E36" s="590"/>
      <c r="F36" s="588"/>
      <c r="G36" s="588"/>
      <c r="H36" s="588"/>
      <c r="I36" s="588"/>
      <c r="J36" s="588"/>
      <c r="K36" s="588"/>
    </row>
    <row r="37" spans="2:11" x14ac:dyDescent="0.35">
      <c r="B37" s="590"/>
      <c r="C37" s="590"/>
      <c r="D37" s="590"/>
      <c r="E37" s="590"/>
      <c r="F37" s="588"/>
      <c r="G37" s="588"/>
      <c r="H37" s="588"/>
      <c r="I37" s="588"/>
      <c r="J37" s="588"/>
      <c r="K37" s="588"/>
    </row>
    <row r="38" spans="2:11" x14ac:dyDescent="0.35">
      <c r="B38" s="590"/>
      <c r="C38" s="590"/>
      <c r="D38" s="590"/>
      <c r="E38" s="590"/>
      <c r="F38" s="588"/>
      <c r="G38" s="588"/>
      <c r="H38" s="588"/>
      <c r="I38" s="588"/>
      <c r="J38" s="588"/>
      <c r="K38" s="588"/>
    </row>
  </sheetData>
  <mergeCells count="26">
    <mergeCell ref="B2:B3"/>
    <mergeCell ref="C2:I2"/>
    <mergeCell ref="J2:K3"/>
    <mergeCell ref="C3:I3"/>
    <mergeCell ref="B5:K5"/>
    <mergeCell ref="F15:K15"/>
    <mergeCell ref="B18:E24"/>
    <mergeCell ref="B25:E31"/>
    <mergeCell ref="B32:E38"/>
    <mergeCell ref="B6:E9"/>
    <mergeCell ref="B10:E13"/>
    <mergeCell ref="B14:E17"/>
    <mergeCell ref="F6:K6"/>
    <mergeCell ref="F7:K7"/>
    <mergeCell ref="F8:K8"/>
    <mergeCell ref="F9:K9"/>
    <mergeCell ref="F10:K10"/>
    <mergeCell ref="F11:K11"/>
    <mergeCell ref="F12:K12"/>
    <mergeCell ref="F13:K13"/>
    <mergeCell ref="F14:K14"/>
    <mergeCell ref="F32:K38"/>
    <mergeCell ref="F25:K31"/>
    <mergeCell ref="F16:K16"/>
    <mergeCell ref="F17:K17"/>
    <mergeCell ref="F18:K2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Check Box 2">
              <controlPr defaultSize="0" autoFill="0" autoLine="0" autoPict="0">
                <anchor moveWithCells="1">
                  <from>
                    <xdr:col>5</xdr:col>
                    <xdr:colOff>76200</xdr:colOff>
                    <xdr:row>5</xdr:row>
                    <xdr:rowOff>25400</xdr:rowOff>
                  </from>
                  <to>
                    <xdr:col>6</xdr:col>
                    <xdr:colOff>25400</xdr:colOff>
                    <xdr:row>5</xdr:row>
                    <xdr:rowOff>177800</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6</xdr:col>
                    <xdr:colOff>25400</xdr:colOff>
                    <xdr:row>5</xdr:row>
                    <xdr:rowOff>25400</xdr:rowOff>
                  </from>
                  <to>
                    <xdr:col>6</xdr:col>
                    <xdr:colOff>711200</xdr:colOff>
                    <xdr:row>5</xdr:row>
                    <xdr:rowOff>177800</xdr:rowOff>
                  </to>
                </anchor>
              </controlPr>
            </control>
          </mc:Choice>
        </mc:AlternateContent>
        <mc:AlternateContent xmlns:mc="http://schemas.openxmlformats.org/markup-compatibility/2006">
          <mc:Choice Requires="x14">
            <control shapeId="14340" r:id="rId6" name="Check Box 4">
              <controlPr defaultSize="0" autoFill="0" autoLine="0" autoPict="0">
                <anchor moveWithCells="1">
                  <from>
                    <xdr:col>5</xdr:col>
                    <xdr:colOff>76200</xdr:colOff>
                    <xdr:row>6</xdr:row>
                    <xdr:rowOff>31750</xdr:rowOff>
                  </from>
                  <to>
                    <xdr:col>6</xdr:col>
                    <xdr:colOff>25400</xdr:colOff>
                    <xdr:row>6</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BE91"/>
  <sheetViews>
    <sheetView topLeftCell="AQ1" workbookViewId="0">
      <selection activeCell="AQ1" sqref="AQ1"/>
    </sheetView>
  </sheetViews>
  <sheetFormatPr defaultColWidth="11.453125" defaultRowHeight="14.5" x14ac:dyDescent="0.35"/>
  <cols>
    <col min="1" max="1" width="2.54296875" style="1" customWidth="1"/>
    <col min="2" max="2" width="18.6328125" style="1" bestFit="1" customWidth="1"/>
    <col min="3" max="3" width="12" style="1" customWidth="1"/>
    <col min="4" max="4" width="11.453125" style="1"/>
    <col min="5" max="5" width="3" style="1" customWidth="1"/>
    <col min="6" max="6" width="13.453125" style="1" bestFit="1" customWidth="1"/>
    <col min="7" max="7" width="14.6328125" style="1" bestFit="1" customWidth="1"/>
    <col min="8" max="8" width="11.453125" style="1"/>
    <col min="9" max="9" width="2.36328125" style="1" customWidth="1"/>
    <col min="10" max="10" width="23.6328125" style="1" customWidth="1"/>
    <col min="11" max="11" width="11.6328125" style="1" customWidth="1"/>
    <col min="12" max="12" width="15.36328125" style="1" customWidth="1"/>
    <col min="13" max="13" width="2" style="1" customWidth="1"/>
    <col min="14" max="14" width="10.6328125" style="1" bestFit="1" customWidth="1"/>
    <col min="15" max="15" width="13.6328125" style="1" bestFit="1" customWidth="1"/>
    <col min="16" max="16" width="13.54296875" style="1" bestFit="1" customWidth="1"/>
    <col min="17" max="17" width="2" style="1" customWidth="1"/>
    <col min="18" max="18" width="10.6328125" style="1" bestFit="1" customWidth="1"/>
    <col min="19" max="19" width="17.36328125" style="1" customWidth="1"/>
    <col min="20" max="20" width="2" style="1" customWidth="1"/>
    <col min="21" max="21" width="13.6328125" style="1" customWidth="1"/>
    <col min="22" max="22" width="15.36328125" style="1" hidden="1" customWidth="1"/>
    <col min="23" max="23" width="2" style="1" customWidth="1"/>
    <col min="24" max="24" width="12" style="1" customWidth="1"/>
    <col min="25" max="25" width="2" style="1" customWidth="1"/>
    <col min="26" max="26" width="13.6328125" style="1" customWidth="1"/>
    <col min="27" max="27" width="2" style="1" customWidth="1"/>
    <col min="28" max="28" width="11.453125" style="1"/>
    <col min="29" max="29" width="2.36328125" style="1" customWidth="1"/>
    <col min="30" max="30" width="11.453125" style="1"/>
    <col min="31" max="31" width="1.6328125" style="1" customWidth="1"/>
    <col min="32" max="32" width="11.453125" style="1"/>
    <col min="33" max="33" width="1.6328125" style="1" customWidth="1"/>
    <col min="34" max="34" width="14.6328125" style="1" bestFit="1" customWidth="1"/>
    <col min="35" max="35" width="14.6328125" style="1" customWidth="1"/>
    <col min="36" max="36" width="15.453125" style="1" customWidth="1"/>
    <col min="37" max="37" width="18.6328125" style="1" bestFit="1" customWidth="1"/>
    <col min="38" max="39" width="11.453125" style="1"/>
    <col min="40" max="40" width="30.6328125" style="1" bestFit="1" customWidth="1"/>
    <col min="41" max="41" width="18.453125" style="1" customWidth="1"/>
    <col min="42" max="42" width="20.6328125" style="1" bestFit="1" customWidth="1"/>
    <col min="43" max="43" width="3" style="1" customWidth="1"/>
    <col min="44" max="44" width="36.36328125" style="1" bestFit="1" customWidth="1"/>
    <col min="45" max="45" width="1.6328125" style="1" customWidth="1"/>
    <col min="46" max="46" width="26.453125" style="1" customWidth="1"/>
    <col min="47" max="47" width="1.6328125" style="1" customWidth="1"/>
    <col min="48" max="48" width="13.54296875" style="1" customWidth="1"/>
    <col min="49" max="49" width="59.54296875" style="1" bestFit="1" customWidth="1"/>
    <col min="50" max="50" width="2" style="1" customWidth="1"/>
    <col min="51" max="51" width="11.453125" style="1"/>
    <col min="52" max="52" width="1.6328125" style="1" customWidth="1"/>
    <col min="53" max="53" width="11.453125" style="1"/>
    <col min="54" max="54" width="2.36328125" style="1" customWidth="1"/>
    <col min="55" max="55" width="14.54296875" style="1" customWidth="1"/>
    <col min="56" max="56" width="1.6328125" style="1" customWidth="1"/>
    <col min="57" max="16384" width="11.453125" style="1"/>
  </cols>
  <sheetData>
    <row r="1" spans="1:57" x14ac:dyDescent="0.35">
      <c r="B1" s="4"/>
      <c r="C1" s="4"/>
      <c r="D1" s="4"/>
      <c r="F1" s="4"/>
      <c r="G1" s="4"/>
      <c r="H1" s="4"/>
      <c r="J1" s="4"/>
      <c r="K1" s="4"/>
      <c r="L1" s="4"/>
      <c r="N1" s="4"/>
      <c r="O1" s="4"/>
      <c r="P1" s="4"/>
      <c r="Q1" s="4"/>
      <c r="R1" s="4"/>
      <c r="S1" s="4"/>
      <c r="U1" s="4"/>
      <c r="V1" s="4"/>
    </row>
    <row r="2" spans="1:57" ht="14.25" customHeight="1" x14ac:dyDescent="0.35">
      <c r="A2" s="2"/>
      <c r="B2" s="612" t="s">
        <v>69</v>
      </c>
      <c r="C2" s="612"/>
      <c r="D2" s="612"/>
      <c r="E2" s="7"/>
      <c r="F2" s="612" t="s">
        <v>121</v>
      </c>
      <c r="G2" s="612"/>
      <c r="H2" s="612"/>
      <c r="I2" s="7"/>
      <c r="J2" s="612" t="s">
        <v>103</v>
      </c>
      <c r="K2" s="612"/>
      <c r="L2" s="612"/>
      <c r="M2" s="6"/>
      <c r="N2" s="612" t="s">
        <v>737</v>
      </c>
      <c r="O2" s="612"/>
      <c r="P2" s="612"/>
      <c r="Q2" s="8"/>
      <c r="R2" s="612" t="s">
        <v>53</v>
      </c>
      <c r="S2" s="612"/>
      <c r="T2" s="7"/>
      <c r="V2" s="167"/>
      <c r="W2" s="3"/>
      <c r="X2" s="4"/>
      <c r="Y2" s="3"/>
      <c r="Z2" s="4"/>
      <c r="AB2" s="4"/>
      <c r="AD2" s="4"/>
      <c r="AF2" s="4"/>
      <c r="AH2" s="4"/>
      <c r="AI2" s="4"/>
      <c r="AJ2" s="4"/>
      <c r="AK2" s="4"/>
      <c r="AL2" s="4"/>
      <c r="AM2" s="4"/>
      <c r="AN2" s="4"/>
      <c r="AO2" s="4"/>
      <c r="AP2" s="4"/>
      <c r="AR2" s="4"/>
      <c r="AT2" s="4"/>
      <c r="AV2" s="4"/>
      <c r="AW2" s="4"/>
    </row>
    <row r="3" spans="1:57" ht="26.25" customHeight="1" x14ac:dyDescent="0.35">
      <c r="A3" s="2"/>
      <c r="B3" s="112" t="s">
        <v>23</v>
      </c>
      <c r="C3" s="113" t="s">
        <v>110</v>
      </c>
      <c r="D3" s="113" t="s">
        <v>111</v>
      </c>
      <c r="E3" s="7"/>
      <c r="F3" s="140" t="s">
        <v>122</v>
      </c>
      <c r="G3" s="140" t="s">
        <v>123</v>
      </c>
      <c r="H3" s="140" t="s">
        <v>124</v>
      </c>
      <c r="I3" s="7"/>
      <c r="J3" s="118" t="s">
        <v>49</v>
      </c>
      <c r="K3" s="113" t="s">
        <v>50</v>
      </c>
      <c r="L3" s="113" t="s">
        <v>51</v>
      </c>
      <c r="M3" s="7"/>
      <c r="N3" s="118" t="s">
        <v>126</v>
      </c>
      <c r="O3" s="113" t="s">
        <v>127</v>
      </c>
      <c r="P3" s="113" t="s">
        <v>51</v>
      </c>
      <c r="Q3" s="9"/>
      <c r="R3" s="118" t="s">
        <v>23</v>
      </c>
      <c r="S3" s="113" t="s">
        <v>54</v>
      </c>
      <c r="T3" s="7"/>
      <c r="U3" s="168" t="s">
        <v>23</v>
      </c>
      <c r="V3" s="128" t="s">
        <v>55</v>
      </c>
      <c r="W3" s="7"/>
      <c r="X3" s="591" t="s">
        <v>104</v>
      </c>
      <c r="Y3" s="7"/>
      <c r="Z3" s="142" t="s">
        <v>60</v>
      </c>
      <c r="AA3" s="7"/>
      <c r="AB3" s="142" t="s">
        <v>64</v>
      </c>
      <c r="AC3" s="7"/>
      <c r="AD3" s="142" t="s">
        <v>66</v>
      </c>
      <c r="AE3" s="7"/>
      <c r="AF3" s="133" t="s">
        <v>75</v>
      </c>
      <c r="AG3" s="7"/>
      <c r="AH3" s="133" t="s">
        <v>142</v>
      </c>
      <c r="AI3" s="133" t="s">
        <v>150</v>
      </c>
      <c r="AJ3" s="133" t="s">
        <v>168</v>
      </c>
      <c r="AK3" s="133" t="s">
        <v>531</v>
      </c>
      <c r="AL3" s="142" t="s">
        <v>170</v>
      </c>
      <c r="AM3" s="133" t="s">
        <v>532</v>
      </c>
      <c r="AN3" s="133" t="s">
        <v>563</v>
      </c>
      <c r="AO3" s="133" t="s">
        <v>582</v>
      </c>
      <c r="AP3" s="133" t="s">
        <v>689</v>
      </c>
      <c r="AQ3" s="7"/>
      <c r="AR3" s="133" t="s">
        <v>749</v>
      </c>
      <c r="AS3" s="7"/>
      <c r="AT3" s="133" t="s">
        <v>4</v>
      </c>
      <c r="AU3" s="7"/>
      <c r="AV3" s="591" t="s">
        <v>763</v>
      </c>
      <c r="AW3" s="591"/>
      <c r="AX3" s="3"/>
      <c r="AY3" s="133" t="s">
        <v>772</v>
      </c>
      <c r="BA3" s="133" t="s">
        <v>842</v>
      </c>
      <c r="BC3" s="133" t="s">
        <v>1519</v>
      </c>
      <c r="BE3" s="133" t="s">
        <v>1534</v>
      </c>
    </row>
    <row r="4" spans="1:57" x14ac:dyDescent="0.35">
      <c r="A4" s="2"/>
      <c r="B4" s="107" t="s">
        <v>22</v>
      </c>
      <c r="C4" s="151">
        <v>0</v>
      </c>
      <c r="D4" s="114">
        <v>0</v>
      </c>
      <c r="E4" s="7"/>
      <c r="F4" s="139">
        <v>1</v>
      </c>
      <c r="G4" s="139">
        <v>100</v>
      </c>
      <c r="H4" s="148">
        <f>(Planeación!I21/100)*G4</f>
        <v>5</v>
      </c>
      <c r="I4" s="7"/>
      <c r="J4" s="107" t="s">
        <v>47</v>
      </c>
      <c r="K4" s="603">
        <f>Planeación!I19</f>
        <v>0</v>
      </c>
      <c r="L4" s="119">
        <f>(K4/100)*40</f>
        <v>0</v>
      </c>
      <c r="M4" s="7"/>
      <c r="N4" s="107" t="s">
        <v>34</v>
      </c>
      <c r="O4" s="151">
        <f>SUM(D7,P32,P36,W18)</f>
        <v>11.666666666666668</v>
      </c>
      <c r="P4" s="151">
        <f>(O4*L14)</f>
        <v>1.1666666666666667</v>
      </c>
      <c r="Q4" s="9"/>
      <c r="R4" s="107" t="s">
        <v>22</v>
      </c>
      <c r="S4" s="110">
        <v>25</v>
      </c>
      <c r="T4" s="7"/>
      <c r="U4" s="107" t="s">
        <v>22</v>
      </c>
      <c r="V4" s="110">
        <v>30</v>
      </c>
      <c r="W4" s="7"/>
      <c r="X4" s="591"/>
      <c r="Y4" s="7"/>
      <c r="Z4" s="129" t="s">
        <v>61</v>
      </c>
      <c r="AA4" s="7"/>
      <c r="AB4" s="107" t="s">
        <v>10</v>
      </c>
      <c r="AC4" s="7"/>
      <c r="AD4" s="129"/>
      <c r="AE4" s="7"/>
      <c r="AF4" s="136">
        <v>100</v>
      </c>
      <c r="AG4" s="7"/>
      <c r="AH4" s="135" t="s">
        <v>139</v>
      </c>
      <c r="AI4" s="107" t="s">
        <v>10</v>
      </c>
      <c r="AJ4" s="107" t="s">
        <v>166</v>
      </c>
      <c r="AK4" s="107" t="s">
        <v>11</v>
      </c>
      <c r="AL4" s="129" t="s">
        <v>57</v>
      </c>
      <c r="AM4" s="107" t="s">
        <v>536</v>
      </c>
      <c r="AN4" s="107" t="s">
        <v>564</v>
      </c>
      <c r="AO4" s="107" t="s">
        <v>1520</v>
      </c>
      <c r="AP4" s="107" t="s">
        <v>167</v>
      </c>
      <c r="AQ4" s="7"/>
      <c r="AR4" s="107" t="s">
        <v>38</v>
      </c>
      <c r="AS4" s="7"/>
      <c r="AT4" s="107" t="s">
        <v>753</v>
      </c>
      <c r="AU4" s="7"/>
      <c r="AV4" s="109">
        <v>0.2</v>
      </c>
      <c r="AW4" s="109">
        <v>0.6</v>
      </c>
      <c r="AX4" s="3"/>
      <c r="AY4" s="107" t="s">
        <v>773</v>
      </c>
      <c r="BA4" s="107" t="s">
        <v>843</v>
      </c>
      <c r="BC4" s="107"/>
      <c r="BE4" s="107"/>
    </row>
    <row r="5" spans="1:57" x14ac:dyDescent="0.35">
      <c r="A5" s="2"/>
      <c r="B5" s="107" t="s">
        <v>21</v>
      </c>
      <c r="C5" s="151">
        <v>0</v>
      </c>
      <c r="D5" s="114">
        <f>C5*8</f>
        <v>0</v>
      </c>
      <c r="E5" s="7"/>
      <c r="F5" s="139">
        <v>2</v>
      </c>
      <c r="G5" s="139">
        <v>100</v>
      </c>
      <c r="H5" s="148">
        <f>(Planeación!I21/100)*G5</f>
        <v>5</v>
      </c>
      <c r="I5" s="7"/>
      <c r="J5" s="107" t="s">
        <v>48</v>
      </c>
      <c r="K5" s="603"/>
      <c r="L5" s="119">
        <f>(K4/100)*50</f>
        <v>0</v>
      </c>
      <c r="M5" s="7"/>
      <c r="N5" s="5"/>
      <c r="O5" s="5"/>
      <c r="P5" s="5"/>
      <c r="Q5" s="9"/>
      <c r="R5" s="107" t="s">
        <v>21</v>
      </c>
      <c r="S5" s="110">
        <v>17</v>
      </c>
      <c r="T5" s="7"/>
      <c r="U5" s="107" t="s">
        <v>21</v>
      </c>
      <c r="V5" s="110">
        <v>26</v>
      </c>
      <c r="W5" s="7"/>
      <c r="X5" s="129" t="s">
        <v>57</v>
      </c>
      <c r="Y5" s="7"/>
      <c r="Z5" s="129" t="s">
        <v>32</v>
      </c>
      <c r="AA5" s="7"/>
      <c r="AB5" s="129" t="s">
        <v>221</v>
      </c>
      <c r="AC5" s="7"/>
      <c r="AD5" s="129" t="s">
        <v>57</v>
      </c>
      <c r="AE5" s="7"/>
      <c r="AF5" s="136">
        <v>50</v>
      </c>
      <c r="AG5" s="7"/>
      <c r="AH5" s="135" t="s">
        <v>140</v>
      </c>
      <c r="AI5" s="107" t="s">
        <v>512</v>
      </c>
      <c r="AJ5" s="107" t="s">
        <v>560</v>
      </c>
      <c r="AK5" s="107" t="s">
        <v>12</v>
      </c>
      <c r="AL5" s="129" t="s">
        <v>58</v>
      </c>
      <c r="AM5" s="107" t="s">
        <v>533</v>
      </c>
      <c r="AN5" s="107" t="s">
        <v>565</v>
      </c>
      <c r="AO5" s="107" t="s">
        <v>1521</v>
      </c>
      <c r="AP5" s="107" t="s">
        <v>691</v>
      </c>
      <c r="AQ5" s="7"/>
      <c r="AR5" s="107" t="s">
        <v>750</v>
      </c>
      <c r="AS5" s="7"/>
      <c r="AT5" s="107" t="s">
        <v>754</v>
      </c>
      <c r="AU5" s="7"/>
      <c r="AV5" s="108" t="s">
        <v>762</v>
      </c>
      <c r="AW5" s="107"/>
      <c r="AX5" s="3"/>
      <c r="AY5" s="107" t="s">
        <v>774</v>
      </c>
      <c r="BA5" s="107" t="s">
        <v>844</v>
      </c>
      <c r="BC5" s="107" t="s">
        <v>1512</v>
      </c>
      <c r="BE5" s="107">
        <v>0</v>
      </c>
    </row>
    <row r="6" spans="1:57" x14ac:dyDescent="0.35">
      <c r="A6" s="2"/>
      <c r="B6" s="107" t="s">
        <v>52</v>
      </c>
      <c r="C6" s="151">
        <v>0</v>
      </c>
      <c r="D6" s="114">
        <f>C6*8</f>
        <v>0</v>
      </c>
      <c r="E6" s="7"/>
      <c r="F6" s="139">
        <v>3</v>
      </c>
      <c r="G6" s="139">
        <v>100</v>
      </c>
      <c r="H6" s="148">
        <f>COUNTIFS(Diseño!$B$11:$B$984,"Si",Diseño!$E$11:$E$984,"&gt;0")</f>
        <v>0</v>
      </c>
      <c r="I6" s="7"/>
      <c r="J6" s="107" t="s">
        <v>856</v>
      </c>
      <c r="K6" s="603"/>
      <c r="L6" s="119">
        <f>(K4/100)*50</f>
        <v>0</v>
      </c>
      <c r="M6" s="7"/>
      <c r="Q6" s="9"/>
      <c r="R6" s="107" t="s">
        <v>52</v>
      </c>
      <c r="S6" s="110">
        <v>15</v>
      </c>
      <c r="T6" s="7"/>
      <c r="U6" s="107" t="s">
        <v>20</v>
      </c>
      <c r="V6" s="110">
        <v>21</v>
      </c>
      <c r="W6" s="7"/>
      <c r="X6" s="129" t="s">
        <v>58</v>
      </c>
      <c r="Y6" s="7"/>
      <c r="Z6" s="107" t="s">
        <v>62</v>
      </c>
      <c r="AA6" s="7"/>
      <c r="AB6" s="129" t="s">
        <v>22</v>
      </c>
      <c r="AC6" s="7"/>
      <c r="AD6" s="129" t="s">
        <v>58</v>
      </c>
      <c r="AE6" s="7"/>
      <c r="AF6" s="136">
        <v>25</v>
      </c>
      <c r="AG6" s="7"/>
      <c r="AH6" s="135" t="s">
        <v>144</v>
      </c>
      <c r="AI6" s="107" t="s">
        <v>157</v>
      </c>
      <c r="AJ6" s="107" t="s">
        <v>165</v>
      </c>
      <c r="AK6" s="107" t="s">
        <v>10</v>
      </c>
      <c r="AL6" s="134"/>
      <c r="AM6" s="107" t="s">
        <v>534</v>
      </c>
      <c r="AN6" s="107" t="s">
        <v>566</v>
      </c>
      <c r="AO6" s="107" t="s">
        <v>1522</v>
      </c>
      <c r="AP6" s="107" t="s">
        <v>692</v>
      </c>
      <c r="AQ6" s="7"/>
      <c r="AR6" s="107" t="s">
        <v>751</v>
      </c>
      <c r="AS6" s="3"/>
      <c r="AT6" s="5"/>
      <c r="AU6" s="2"/>
      <c r="AV6" s="108" t="s">
        <v>761</v>
      </c>
      <c r="AW6" s="107" t="s">
        <v>759</v>
      </c>
      <c r="AY6" s="107" t="s">
        <v>775</v>
      </c>
      <c r="BC6" s="107" t="s">
        <v>1515</v>
      </c>
      <c r="BE6" s="107">
        <v>1</v>
      </c>
    </row>
    <row r="7" spans="1:57" x14ac:dyDescent="0.35">
      <c r="A7" s="2"/>
      <c r="B7" s="614" t="s">
        <v>112</v>
      </c>
      <c r="C7" s="614"/>
      <c r="D7" s="114">
        <f>Planeación!E36</f>
        <v>5</v>
      </c>
      <c r="E7" s="14"/>
      <c r="F7" s="602" t="s">
        <v>125</v>
      </c>
      <c r="G7" s="602"/>
      <c r="H7" s="114">
        <f>H4+H5+H6</f>
        <v>10</v>
      </c>
      <c r="I7" s="7"/>
      <c r="J7" s="9"/>
      <c r="K7" s="11"/>
      <c r="L7" s="12"/>
      <c r="M7" s="14"/>
      <c r="Q7" s="9"/>
      <c r="R7" s="9"/>
      <c r="S7" s="9"/>
      <c r="T7" s="7"/>
      <c r="V7" s="9"/>
      <c r="W7" s="3"/>
      <c r="X7" s="5"/>
      <c r="Y7" s="2"/>
      <c r="Z7" s="107" t="s">
        <v>63</v>
      </c>
      <c r="AA7" s="7"/>
      <c r="AB7" s="129" t="s">
        <v>21</v>
      </c>
      <c r="AC7" s="3"/>
      <c r="AD7" s="5"/>
      <c r="AF7" s="15"/>
      <c r="AG7" s="2"/>
      <c r="AH7" s="135" t="s">
        <v>143</v>
      </c>
      <c r="AI7" s="107" t="s">
        <v>880</v>
      </c>
      <c r="AJ7" s="107" t="s">
        <v>561</v>
      </c>
      <c r="AK7" s="107" t="s">
        <v>9</v>
      </c>
      <c r="AL7" s="7"/>
      <c r="AM7" s="107" t="s">
        <v>169</v>
      </c>
      <c r="AN7" s="107" t="s">
        <v>578</v>
      </c>
      <c r="AO7" s="107"/>
      <c r="AP7" s="107" t="s">
        <v>693</v>
      </c>
      <c r="AQ7" s="7"/>
      <c r="AR7" s="107" t="s">
        <v>74</v>
      </c>
      <c r="AS7" s="3"/>
      <c r="AV7" s="108" t="s">
        <v>758</v>
      </c>
      <c r="AW7" s="107" t="s">
        <v>760</v>
      </c>
      <c r="BC7" s="107" t="s">
        <v>145</v>
      </c>
      <c r="BE7" s="107">
        <v>2</v>
      </c>
    </row>
    <row r="8" spans="1:57" x14ac:dyDescent="0.35">
      <c r="A8" s="2"/>
      <c r="B8" s="17"/>
      <c r="C8" s="17"/>
      <c r="D8" s="17"/>
      <c r="E8" s="111"/>
      <c r="F8" s="17"/>
      <c r="G8" s="17"/>
      <c r="H8" s="17"/>
      <c r="J8" s="10"/>
      <c r="K8" s="10"/>
      <c r="L8" s="10"/>
      <c r="M8" s="4"/>
      <c r="N8" s="10"/>
      <c r="O8" s="10"/>
      <c r="P8" s="10"/>
      <c r="Q8" s="10"/>
      <c r="R8" s="10"/>
      <c r="S8" s="10"/>
      <c r="T8" s="4"/>
      <c r="U8" s="10"/>
      <c r="V8" s="10"/>
      <c r="W8" s="4"/>
      <c r="X8" s="4"/>
      <c r="Y8" s="13"/>
      <c r="Z8" s="10"/>
      <c r="AA8" s="7"/>
      <c r="AB8" s="107" t="s">
        <v>20</v>
      </c>
      <c r="AC8" s="3"/>
      <c r="AG8" s="2"/>
      <c r="AH8" s="135" t="s">
        <v>146</v>
      </c>
      <c r="AI8" s="107" t="s">
        <v>224</v>
      </c>
      <c r="AJ8" s="107" t="s">
        <v>164</v>
      </c>
      <c r="AK8" s="107" t="s">
        <v>138</v>
      </c>
      <c r="AL8" s="7"/>
      <c r="AM8" s="107" t="s">
        <v>535</v>
      </c>
      <c r="AN8" s="107" t="s">
        <v>579</v>
      </c>
      <c r="AO8" s="107" t="s">
        <v>167</v>
      </c>
      <c r="AP8" s="107" t="s">
        <v>709</v>
      </c>
      <c r="AQ8" s="7"/>
      <c r="AR8" s="107" t="s">
        <v>752</v>
      </c>
      <c r="AS8" s="3"/>
      <c r="BC8" s="107" t="s">
        <v>1513</v>
      </c>
      <c r="BE8" s="107">
        <v>3</v>
      </c>
    </row>
    <row r="9" spans="1:57" x14ac:dyDescent="0.35">
      <c r="B9" s="144" t="s">
        <v>82</v>
      </c>
      <c r="C9" s="144" t="s">
        <v>723</v>
      </c>
      <c r="D9" s="618" t="s">
        <v>83</v>
      </c>
      <c r="E9" s="618"/>
      <c r="F9" s="618"/>
      <c r="G9" s="618"/>
      <c r="H9" s="3"/>
      <c r="I9" s="2"/>
      <c r="J9" s="608" t="s">
        <v>100</v>
      </c>
      <c r="K9" s="608"/>
      <c r="L9" s="150" t="s">
        <v>101</v>
      </c>
      <c r="M9" s="608" t="s">
        <v>149</v>
      </c>
      <c r="N9" s="608"/>
      <c r="O9" s="608"/>
      <c r="P9" s="3"/>
      <c r="Q9" s="2"/>
      <c r="R9" s="608" t="s">
        <v>573</v>
      </c>
      <c r="S9" s="608"/>
      <c r="T9" s="3"/>
      <c r="AA9" s="3"/>
      <c r="AB9" s="5"/>
      <c r="AG9" s="2"/>
      <c r="AH9" s="135" t="s">
        <v>145</v>
      </c>
      <c r="AI9" s="107" t="s">
        <v>225</v>
      </c>
      <c r="AJ9" s="16"/>
      <c r="AK9" s="5"/>
      <c r="AM9" s="5"/>
      <c r="AN9" s="5"/>
      <c r="AO9" s="5"/>
      <c r="AP9" s="5"/>
      <c r="AQ9" s="2"/>
      <c r="AR9" s="107" t="s">
        <v>34</v>
      </c>
      <c r="AS9" s="3"/>
      <c r="BC9" s="107" t="s">
        <v>1514</v>
      </c>
      <c r="BE9" s="107">
        <v>4</v>
      </c>
    </row>
    <row r="10" spans="1:57" ht="15" customHeight="1" x14ac:dyDescent="0.35">
      <c r="B10" s="616" t="s">
        <v>81</v>
      </c>
      <c r="C10" s="615" t="str">
        <f>Planeación!I14</f>
        <v>No Core</v>
      </c>
      <c r="D10" s="139" t="s">
        <v>80</v>
      </c>
      <c r="E10" s="596" t="s">
        <v>20</v>
      </c>
      <c r="F10" s="596"/>
      <c r="G10" s="139">
        <v>50</v>
      </c>
      <c r="H10" s="3"/>
      <c r="I10" s="2"/>
      <c r="J10" s="607" t="s">
        <v>38</v>
      </c>
      <c r="K10" s="607"/>
      <c r="L10" s="120">
        <v>0.1</v>
      </c>
      <c r="M10" s="595">
        <v>0.1</v>
      </c>
      <c r="N10" s="593"/>
      <c r="O10" s="593"/>
      <c r="P10" s="3"/>
      <c r="Q10" s="7"/>
      <c r="R10" s="613">
        <f ca="1">TODAY()</f>
        <v>43842</v>
      </c>
      <c r="S10" s="593"/>
      <c r="T10" s="3"/>
      <c r="AA10" s="3"/>
      <c r="AG10" s="2"/>
      <c r="AH10" s="135" t="s">
        <v>141</v>
      </c>
      <c r="AI10" s="107" t="s">
        <v>511</v>
      </c>
      <c r="AJ10" s="3"/>
      <c r="AQ10" s="2"/>
      <c r="AR10" s="107" t="s">
        <v>755</v>
      </c>
      <c r="AS10" s="3"/>
      <c r="BC10" s="107" t="s">
        <v>141</v>
      </c>
      <c r="BE10" s="107">
        <v>5</v>
      </c>
    </row>
    <row r="11" spans="1:57" x14ac:dyDescent="0.35">
      <c r="B11" s="616"/>
      <c r="C11" s="615"/>
      <c r="D11" s="139" t="s">
        <v>79</v>
      </c>
      <c r="E11" s="596" t="s">
        <v>22</v>
      </c>
      <c r="F11" s="596"/>
      <c r="G11" s="139">
        <v>100</v>
      </c>
      <c r="H11" s="3"/>
      <c r="I11" s="6"/>
      <c r="J11" s="607" t="s">
        <v>32</v>
      </c>
      <c r="K11" s="607"/>
      <c r="L11" s="120">
        <v>0.25</v>
      </c>
      <c r="M11" s="595">
        <v>0.25</v>
      </c>
      <c r="N11" s="593"/>
      <c r="O11" s="593"/>
      <c r="P11" s="3"/>
      <c r="Q11" s="3"/>
      <c r="R11" s="5"/>
      <c r="S11" s="5"/>
      <c r="AA11" s="3"/>
      <c r="AH11" s="121"/>
      <c r="AI11" s="107" t="s">
        <v>513</v>
      </c>
      <c r="AJ11" s="3"/>
      <c r="AQ11" s="2"/>
      <c r="AR11" s="107" t="s">
        <v>756</v>
      </c>
      <c r="AS11" s="3"/>
      <c r="BE11" s="107">
        <v>6</v>
      </c>
    </row>
    <row r="12" spans="1:57" x14ac:dyDescent="0.35">
      <c r="B12" s="616" t="s">
        <v>84</v>
      </c>
      <c r="C12" s="617">
        <f>Planeación!I15</f>
        <v>0</v>
      </c>
      <c r="D12" s="139" t="s">
        <v>87</v>
      </c>
      <c r="E12" s="596" t="s">
        <v>20</v>
      </c>
      <c r="F12" s="596"/>
      <c r="G12" s="139">
        <v>50</v>
      </c>
      <c r="H12" s="3"/>
      <c r="I12" s="2"/>
      <c r="J12" s="607" t="s">
        <v>74</v>
      </c>
      <c r="K12" s="607"/>
      <c r="L12" s="120">
        <v>0.5</v>
      </c>
      <c r="M12" s="595">
        <v>0.5</v>
      </c>
      <c r="N12" s="593"/>
      <c r="O12" s="593"/>
      <c r="P12" s="3"/>
      <c r="Q12" s="3"/>
      <c r="AA12" s="3"/>
      <c r="AH12" s="2"/>
      <c r="AI12" s="107" t="s">
        <v>514</v>
      </c>
      <c r="AJ12" s="3"/>
      <c r="AR12" s="5"/>
      <c r="BE12" s="107">
        <v>7</v>
      </c>
    </row>
    <row r="13" spans="1:57" x14ac:dyDescent="0.35">
      <c r="B13" s="616"/>
      <c r="C13" s="615"/>
      <c r="D13" s="139" t="s">
        <v>88</v>
      </c>
      <c r="E13" s="596" t="s">
        <v>21</v>
      </c>
      <c r="F13" s="596"/>
      <c r="G13" s="139">
        <v>75</v>
      </c>
      <c r="H13" s="3"/>
      <c r="I13" s="2"/>
      <c r="J13" s="607" t="s">
        <v>99</v>
      </c>
      <c r="K13" s="607"/>
      <c r="L13" s="120">
        <v>0.05</v>
      </c>
      <c r="M13" s="595">
        <v>0.05</v>
      </c>
      <c r="N13" s="593"/>
      <c r="O13" s="593"/>
      <c r="P13" s="3"/>
      <c r="Q13" s="3"/>
      <c r="AA13" s="3"/>
      <c r="AH13" s="2"/>
      <c r="AI13" s="107" t="s">
        <v>515</v>
      </c>
      <c r="AJ13" s="3"/>
      <c r="BE13" s="107">
        <v>8</v>
      </c>
    </row>
    <row r="14" spans="1:57" x14ac:dyDescent="0.35">
      <c r="B14" s="616"/>
      <c r="C14" s="615"/>
      <c r="D14" s="139" t="s">
        <v>89</v>
      </c>
      <c r="E14" s="596" t="s">
        <v>22</v>
      </c>
      <c r="F14" s="596"/>
      <c r="G14" s="139">
        <v>101</v>
      </c>
      <c r="H14" s="3"/>
      <c r="I14" s="2"/>
      <c r="J14" s="607" t="s">
        <v>34</v>
      </c>
      <c r="K14" s="607"/>
      <c r="L14" s="122">
        <v>0.1</v>
      </c>
      <c r="M14" s="595">
        <v>0.1</v>
      </c>
      <c r="N14" s="593"/>
      <c r="O14" s="593"/>
      <c r="P14" s="3"/>
      <c r="Q14"/>
      <c r="R14"/>
      <c r="S14"/>
      <c r="T14"/>
      <c r="U14"/>
      <c r="V14" s="5"/>
      <c r="W14" s="5"/>
      <c r="X14" s="5"/>
      <c r="Y14" s="5"/>
      <c r="Z14" s="5"/>
      <c r="AH14" s="2"/>
      <c r="AI14" s="107" t="s">
        <v>516</v>
      </c>
      <c r="AJ14" s="3"/>
      <c r="BE14" s="107">
        <v>9</v>
      </c>
    </row>
    <row r="15" spans="1:57" ht="15" customHeight="1" x14ac:dyDescent="0.35">
      <c r="B15" s="616" t="s">
        <v>85</v>
      </c>
      <c r="C15" s="615">
        <f>Planeación!I16</f>
        <v>0</v>
      </c>
      <c r="D15" s="139" t="s">
        <v>58</v>
      </c>
      <c r="E15" s="596" t="s">
        <v>20</v>
      </c>
      <c r="F15" s="596"/>
      <c r="G15" s="139">
        <v>50</v>
      </c>
      <c r="H15" s="3"/>
      <c r="I15" s="2"/>
      <c r="J15" s="10"/>
      <c r="K15" s="125"/>
      <c r="L15" s="126"/>
      <c r="M15" s="17"/>
      <c r="N15" s="10"/>
      <c r="O15" s="10"/>
      <c r="P15" s="17"/>
      <c r="Q15" s="4"/>
      <c r="R15" s="111"/>
      <c r="S15" s="111"/>
      <c r="T15" s="4"/>
      <c r="U15" s="4"/>
      <c r="V15" s="4"/>
      <c r="W15" s="4"/>
      <c r="X15" s="4"/>
      <c r="Y15" s="4"/>
      <c r="Z15" s="4"/>
      <c r="AH15" s="2"/>
      <c r="AI15" s="107" t="s">
        <v>577</v>
      </c>
      <c r="AJ15" s="3"/>
      <c r="BE15" s="107">
        <v>10</v>
      </c>
    </row>
    <row r="16" spans="1:57" ht="15" customHeight="1" x14ac:dyDescent="0.35">
      <c r="B16" s="616"/>
      <c r="C16" s="615"/>
      <c r="D16" s="139" t="s">
        <v>57</v>
      </c>
      <c r="E16" s="596" t="s">
        <v>22</v>
      </c>
      <c r="F16" s="596"/>
      <c r="G16" s="139">
        <v>100</v>
      </c>
      <c r="H16" s="3"/>
      <c r="I16" s="2"/>
      <c r="J16" s="608" t="s">
        <v>109</v>
      </c>
      <c r="K16" s="608"/>
      <c r="L16" s="608"/>
      <c r="M16" s="608"/>
      <c r="N16" s="608"/>
      <c r="O16" s="608"/>
      <c r="P16" s="608"/>
      <c r="Q16" s="608"/>
      <c r="R16" s="608"/>
      <c r="S16" s="608"/>
      <c r="T16" s="608"/>
      <c r="U16" s="608"/>
      <c r="V16" s="609" t="s">
        <v>120</v>
      </c>
      <c r="W16" s="604" t="s">
        <v>120</v>
      </c>
      <c r="X16" s="604"/>
      <c r="Y16" s="3"/>
      <c r="AA16" s="3"/>
      <c r="AH16" s="2"/>
      <c r="AI16" s="107" t="s">
        <v>576</v>
      </c>
      <c r="AJ16" s="3"/>
      <c r="BE16" s="107">
        <v>11</v>
      </c>
    </row>
    <row r="17" spans="1:57" ht="15" customHeight="1" x14ac:dyDescent="0.35">
      <c r="B17" s="616" t="s">
        <v>86</v>
      </c>
      <c r="C17" s="615">
        <f>Planeación!I17</f>
        <v>0</v>
      </c>
      <c r="D17" s="139" t="s">
        <v>92</v>
      </c>
      <c r="E17" s="596" t="s">
        <v>20</v>
      </c>
      <c r="F17" s="596"/>
      <c r="G17" s="139">
        <v>50</v>
      </c>
      <c r="H17" s="3"/>
      <c r="I17" s="2"/>
      <c r="J17" s="605" t="s">
        <v>23</v>
      </c>
      <c r="K17" s="605"/>
      <c r="L17" s="147" t="s">
        <v>105</v>
      </c>
      <c r="M17" s="605" t="s">
        <v>106</v>
      </c>
      <c r="N17" s="605"/>
      <c r="O17" s="123" t="s">
        <v>107</v>
      </c>
      <c r="P17" s="147" t="s">
        <v>108</v>
      </c>
      <c r="Q17" s="605" t="s">
        <v>113</v>
      </c>
      <c r="R17" s="605"/>
      <c r="S17" s="605" t="s">
        <v>114</v>
      </c>
      <c r="T17" s="605"/>
      <c r="U17" s="147" t="s">
        <v>115</v>
      </c>
      <c r="V17" s="609"/>
      <c r="W17" s="604"/>
      <c r="X17" s="604"/>
      <c r="Y17" s="3"/>
      <c r="AA17" s="3"/>
      <c r="AI17" s="5"/>
      <c r="BE17" s="107">
        <v>12</v>
      </c>
    </row>
    <row r="18" spans="1:57" x14ac:dyDescent="0.35">
      <c r="B18" s="616"/>
      <c r="C18" s="615"/>
      <c r="D18" s="139" t="s">
        <v>91</v>
      </c>
      <c r="E18" s="596" t="s">
        <v>21</v>
      </c>
      <c r="F18" s="596"/>
      <c r="G18" s="139">
        <v>75</v>
      </c>
      <c r="H18" s="3"/>
      <c r="I18" s="2"/>
      <c r="J18" s="601" t="s">
        <v>22</v>
      </c>
      <c r="K18" s="601"/>
      <c r="L18" s="149">
        <f>Parametros!I4</f>
        <v>15</v>
      </c>
      <c r="M18" s="610">
        <f>Parametros!J4</f>
        <v>10</v>
      </c>
      <c r="N18" s="611"/>
      <c r="O18" s="149">
        <f>Parametros!K4</f>
        <v>6</v>
      </c>
      <c r="P18" s="149">
        <f>Parametros!L4</f>
        <v>9</v>
      </c>
      <c r="Q18" s="606">
        <f>P18+O18+M18+L18</f>
        <v>40</v>
      </c>
      <c r="R18" s="606"/>
      <c r="S18" s="603">
        <f>H7*Q18</f>
        <v>400</v>
      </c>
      <c r="T18" s="603"/>
      <c r="U18" s="114">
        <f>S18/60</f>
        <v>6.666666666666667</v>
      </c>
      <c r="V18" s="596">
        <f>IF(Planeación!I20="Alta",Param_General!U18,IF(Planeación!I20="Media",Param_General!U19,IF(Planeación!I20="Baja",Param_General!U20,"F")))</f>
        <v>6.666666666666667</v>
      </c>
      <c r="W18" s="596">
        <f>IF(Planeación!I20="Alta",U18,IF(Planeación!I20="Media",U19,IF(Planeación!I20="Baja",U20,"F")))</f>
        <v>6.666666666666667</v>
      </c>
      <c r="X18" s="596"/>
      <c r="Y18" s="3"/>
      <c r="AA18" s="3"/>
      <c r="BE18" s="107">
        <v>13</v>
      </c>
    </row>
    <row r="19" spans="1:57" x14ac:dyDescent="0.35">
      <c r="B19" s="616"/>
      <c r="C19" s="615"/>
      <c r="D19" s="139" t="s">
        <v>90</v>
      </c>
      <c r="E19" s="596" t="s">
        <v>22</v>
      </c>
      <c r="F19" s="596"/>
      <c r="G19" s="139">
        <v>100</v>
      </c>
      <c r="H19" s="3"/>
      <c r="I19" s="2"/>
      <c r="J19" s="601" t="s">
        <v>21</v>
      </c>
      <c r="K19" s="601"/>
      <c r="L19" s="149">
        <f>Parametros!I5</f>
        <v>7</v>
      </c>
      <c r="M19" s="610">
        <f>Parametros!J5</f>
        <v>7</v>
      </c>
      <c r="N19" s="611"/>
      <c r="O19" s="149">
        <f>Parametros!K5</f>
        <v>3</v>
      </c>
      <c r="P19" s="149">
        <f>Parametros!L5</f>
        <v>8</v>
      </c>
      <c r="Q19" s="606">
        <f>P19+O19+M19+L19</f>
        <v>25</v>
      </c>
      <c r="R19" s="606"/>
      <c r="S19" s="603">
        <f>H7*Q19</f>
        <v>250</v>
      </c>
      <c r="T19" s="603"/>
      <c r="U19" s="114">
        <f>S19/60</f>
        <v>4.166666666666667</v>
      </c>
      <c r="V19" s="596"/>
      <c r="W19" s="596"/>
      <c r="X19" s="596"/>
      <c r="Y19" s="3"/>
      <c r="AA19" s="3"/>
      <c r="BE19" s="107">
        <v>14</v>
      </c>
    </row>
    <row r="20" spans="1:57" x14ac:dyDescent="0.35">
      <c r="B20" s="144" t="s">
        <v>724</v>
      </c>
      <c r="C20" s="115">
        <v>4</v>
      </c>
      <c r="D20" s="618" t="s">
        <v>725</v>
      </c>
      <c r="E20" s="618"/>
      <c r="F20" s="618"/>
      <c r="G20" s="115">
        <v>8</v>
      </c>
      <c r="H20" s="3"/>
      <c r="I20" s="2"/>
      <c r="J20" s="601" t="s">
        <v>20</v>
      </c>
      <c r="K20" s="601"/>
      <c r="L20" s="149">
        <f>Parametros!I6</f>
        <v>5</v>
      </c>
      <c r="M20" s="610">
        <f>Parametros!J6</f>
        <v>6</v>
      </c>
      <c r="N20" s="611"/>
      <c r="O20" s="149">
        <f>Parametros!K6</f>
        <v>2</v>
      </c>
      <c r="P20" s="149">
        <f>Parametros!L6</f>
        <v>7</v>
      </c>
      <c r="Q20" s="606">
        <f>P20+O20+M20+L20</f>
        <v>20</v>
      </c>
      <c r="R20" s="606"/>
      <c r="S20" s="603">
        <f>H7*Q20</f>
        <v>200</v>
      </c>
      <c r="T20" s="603"/>
      <c r="U20" s="114">
        <f>S20/60</f>
        <v>3.3333333333333335</v>
      </c>
      <c r="V20" s="596"/>
      <c r="W20" s="596"/>
      <c r="X20" s="596"/>
      <c r="Y20" s="3"/>
      <c r="AA20" s="3"/>
      <c r="BE20" s="107">
        <v>15</v>
      </c>
    </row>
    <row r="21" spans="1:57" ht="29" x14ac:dyDescent="0.35">
      <c r="A21" s="2"/>
      <c r="B21" s="597" t="s">
        <v>94</v>
      </c>
      <c r="C21" s="597"/>
      <c r="D21" s="597" t="s">
        <v>95</v>
      </c>
      <c r="E21" s="597"/>
      <c r="F21" s="145" t="s">
        <v>96</v>
      </c>
      <c r="G21" s="145" t="s">
        <v>23</v>
      </c>
      <c r="H21" s="3" t="s">
        <v>97</v>
      </c>
      <c r="J21" s="10"/>
      <c r="K21" s="10"/>
      <c r="L21" s="10"/>
      <c r="M21" s="8"/>
      <c r="N21" s="10"/>
      <c r="O21" s="10"/>
      <c r="P21" s="10"/>
      <c r="Q21" s="5"/>
      <c r="R21" s="5"/>
      <c r="S21" s="10"/>
      <c r="T21" s="10"/>
      <c r="U21" s="10"/>
      <c r="V21" s="10"/>
      <c r="W21" s="10"/>
      <c r="X21" s="10"/>
      <c r="Y21" s="10"/>
      <c r="Z21" s="10"/>
      <c r="AA21" s="4"/>
      <c r="AB21" s="4"/>
      <c r="AC21" s="4"/>
      <c r="BE21" s="107">
        <v>16</v>
      </c>
    </row>
    <row r="22" spans="1:57" ht="15" customHeight="1" x14ac:dyDescent="0.35">
      <c r="A22" s="2"/>
      <c r="B22" s="607" t="str">
        <f>tipoaplicacion</f>
        <v>Tipo de Aplicación:</v>
      </c>
      <c r="C22" s="607"/>
      <c r="D22" s="593">
        <f>IF(Planeación!I14="Core",G11,IF(Planeación!I14="No Core",G10,"F"))</f>
        <v>50</v>
      </c>
      <c r="E22" s="593"/>
      <c r="F22" s="596">
        <f>SUM(D22:E25)</f>
        <v>150</v>
      </c>
      <c r="G22" s="596" t="str">
        <f>IF(F22&lt;250,"Baja",IF(AND(F22&gt;=250,F22&lt;=300),"Media",IF(F22&gt;300,"Alta","F")))</f>
        <v>Baja</v>
      </c>
      <c r="H22" s="598" t="s">
        <v>726</v>
      </c>
      <c r="I22" s="2"/>
      <c r="J22" s="602" t="s">
        <v>116</v>
      </c>
      <c r="K22" s="602"/>
      <c r="L22" s="602"/>
      <c r="M22" s="602"/>
      <c r="N22" s="602"/>
      <c r="O22" s="602"/>
      <c r="P22" s="604" t="s">
        <v>119</v>
      </c>
      <c r="Q22" s="624"/>
      <c r="R22" s="624"/>
      <c r="S22" s="620" t="s">
        <v>572</v>
      </c>
      <c r="T22" s="620"/>
      <c r="U22" s="620"/>
      <c r="V22" s="620"/>
      <c r="W22" s="620"/>
      <c r="X22" s="620"/>
      <c r="Y22" s="620"/>
      <c r="Z22" s="620"/>
      <c r="AA22" s="620"/>
      <c r="AB22" s="620"/>
      <c r="AC22" s="620"/>
      <c r="AD22" s="3"/>
      <c r="BE22" s="107">
        <v>17</v>
      </c>
    </row>
    <row r="23" spans="1:57" ht="15" customHeight="1" x14ac:dyDescent="0.35">
      <c r="A23" s="2"/>
      <c r="B23" s="607" t="str">
        <f>funcionalidades</f>
        <v>Funcionalidades:</v>
      </c>
      <c r="C23" s="607"/>
      <c r="D23" s="593">
        <f>IF(AND(Planeación!I14="Core",Planeación!I15&lt;=2),G12,IF(AND(Planeación!I15=3,Planeación!I14="Core"),G13,IF(AND(Planeación!I15&gt;=C20,Planeación!I14="Core"),G14,
IF(AND(Planeación!I14="No Core",Planeación!I15&lt;=2),G12,IF(AND(OR(Planeación!I15=3,Planeación!I15=4,Planeación!I15=5,Planeación!I15=6,Planeación!I15=7),Planeación!I14="No Core"),G13,IF(AND(Planeación!I15&gt;=G20,Planeación!I14="No Core"),G14+G10,
))))))</f>
        <v>50</v>
      </c>
      <c r="E23" s="593"/>
      <c r="F23" s="596"/>
      <c r="G23" s="596"/>
      <c r="H23" s="599"/>
      <c r="I23" s="2"/>
      <c r="J23" s="605" t="s">
        <v>23</v>
      </c>
      <c r="K23" s="605"/>
      <c r="L23" s="147" t="s">
        <v>117</v>
      </c>
      <c r="M23" s="605" t="s">
        <v>118</v>
      </c>
      <c r="N23" s="605"/>
      <c r="O23" s="147" t="s">
        <v>115</v>
      </c>
      <c r="P23" s="604"/>
      <c r="Q23" s="625"/>
      <c r="R23" s="625"/>
      <c r="S23" s="605" t="s">
        <v>126</v>
      </c>
      <c r="T23" s="605"/>
      <c r="U23" s="619" t="s">
        <v>568</v>
      </c>
      <c r="V23" s="619"/>
      <c r="W23" s="619" t="s">
        <v>569</v>
      </c>
      <c r="X23" s="619"/>
      <c r="Y23" s="619" t="s">
        <v>694</v>
      </c>
      <c r="Z23" s="619"/>
      <c r="AA23" s="619" t="s">
        <v>695</v>
      </c>
      <c r="AB23" s="619"/>
      <c r="AC23" s="619"/>
      <c r="AD23" s="3"/>
      <c r="BE23" s="107">
        <v>18</v>
      </c>
    </row>
    <row r="24" spans="1:57" x14ac:dyDescent="0.35">
      <c r="A24" s="2"/>
      <c r="B24" s="607" t="str">
        <f>tipospruebas</f>
        <v>Varios tipos de Pruebas:</v>
      </c>
      <c r="C24" s="607"/>
      <c r="D24" s="593" t="str">
        <f>IF(Planeación!I16="Si",G16,IF(Planeación!I16="No",G15,"F"))</f>
        <v>F</v>
      </c>
      <c r="E24" s="593"/>
      <c r="F24" s="596"/>
      <c r="G24" s="596"/>
      <c r="H24" s="599"/>
      <c r="I24" s="2"/>
      <c r="J24" s="601" t="s">
        <v>22</v>
      </c>
      <c r="K24" s="601"/>
      <c r="L24" s="149">
        <f>Parametros!C4</f>
        <v>30</v>
      </c>
      <c r="M24" s="611">
        <f>Planeación!E22*Param_General!L24</f>
        <v>0</v>
      </c>
      <c r="N24" s="611"/>
      <c r="O24" s="146">
        <f>M24/60</f>
        <v>0</v>
      </c>
      <c r="P24" s="606">
        <f>IF(Planeación!I20="Alta",O24,IF(Planeación!I20="Media",O25,IF(Planeación!I20="Baja",O26,"F")))</f>
        <v>0</v>
      </c>
      <c r="Q24" s="3"/>
      <c r="R24" s="2"/>
      <c r="S24" s="605"/>
      <c r="T24" s="605"/>
      <c r="U24" s="619"/>
      <c r="V24" s="619"/>
      <c r="W24" s="619"/>
      <c r="X24" s="619"/>
      <c r="Y24" s="619"/>
      <c r="Z24" s="619"/>
      <c r="AA24" s="619"/>
      <c r="AB24" s="619"/>
      <c r="AC24" s="619"/>
      <c r="AD24" s="3"/>
      <c r="BE24" s="107">
        <v>19</v>
      </c>
    </row>
    <row r="25" spans="1:57" x14ac:dyDescent="0.35">
      <c r="A25" s="2"/>
      <c r="B25" s="607" t="str">
        <f>icoa</f>
        <v>Interfaz con otros Aplicativos:</v>
      </c>
      <c r="C25" s="607"/>
      <c r="D25" s="593">
        <f>IF(Planeación!I17&lt;=1,G17,IF(Planeación!I17=2,G18,IF(Planeación!I17&gt;2,G19,"F")))</f>
        <v>50</v>
      </c>
      <c r="E25" s="593"/>
      <c r="F25" s="596"/>
      <c r="G25" s="596"/>
      <c r="H25" s="600"/>
      <c r="I25" s="2"/>
      <c r="J25" s="601" t="s">
        <v>21</v>
      </c>
      <c r="K25" s="601"/>
      <c r="L25" s="149">
        <f>Parametros!C5</f>
        <v>25</v>
      </c>
      <c r="M25" s="611">
        <f>Planeación!E22*Param_General!L25</f>
        <v>0</v>
      </c>
      <c r="N25" s="611"/>
      <c r="O25" s="146">
        <f>M25/60</f>
        <v>0</v>
      </c>
      <c r="P25" s="606"/>
      <c r="Q25" s="3"/>
      <c r="R25" s="2"/>
      <c r="S25" s="623" t="s">
        <v>549</v>
      </c>
      <c r="T25" s="623"/>
      <c r="U25" s="127">
        <f>NETWORKDAYS(Planeación!E20,Planeación!E21,0)</f>
        <v>0</v>
      </c>
      <c r="V25" s="110"/>
      <c r="W25" s="622" t="s">
        <v>65</v>
      </c>
      <c r="X25" s="622"/>
      <c r="Y25" s="622" t="s">
        <v>65</v>
      </c>
      <c r="Z25" s="622"/>
      <c r="AA25" s="621" t="s">
        <v>65</v>
      </c>
      <c r="AB25" s="621"/>
      <c r="AC25" s="621"/>
      <c r="AD25" s="3"/>
      <c r="BE25" s="107">
        <v>20</v>
      </c>
    </row>
    <row r="26" spans="1:57" x14ac:dyDescent="0.35">
      <c r="B26" s="10"/>
      <c r="C26" s="10"/>
      <c r="D26" s="10"/>
      <c r="E26" s="10"/>
      <c r="F26" s="10"/>
      <c r="G26" s="10"/>
      <c r="I26" s="2"/>
      <c r="J26" s="601" t="s">
        <v>20</v>
      </c>
      <c r="K26" s="601"/>
      <c r="L26" s="149">
        <f>Parametros!C6</f>
        <v>20</v>
      </c>
      <c r="M26" s="611">
        <f>Planeación!E22*Param_General!L26</f>
        <v>0</v>
      </c>
      <c r="N26" s="611"/>
      <c r="O26" s="146">
        <f>M26/60</f>
        <v>0</v>
      </c>
      <c r="P26" s="606"/>
      <c r="Q26" s="3"/>
      <c r="R26" s="2"/>
      <c r="S26" s="623" t="s">
        <v>38</v>
      </c>
      <c r="T26" s="623"/>
      <c r="U26" s="127">
        <f>IF(OR(Planeación!I36=0,Planeación!G36=0),0,NETWORKDAYS(Planeación!I36,Planeación!G36,0))</f>
        <v>0</v>
      </c>
      <c r="V26" s="110"/>
      <c r="W26" s="622">
        <f>IF(OR(Planeación!K36=0,Planeación!J36=0),0,NETWORKDAYS(Planeación!K36,Planeación!J36,0))</f>
        <v>-12</v>
      </c>
      <c r="X26" s="622"/>
      <c r="Y26" s="593">
        <f>IF(W26&lt;0,W26*-1,W26)</f>
        <v>12</v>
      </c>
      <c r="Z26" s="593"/>
      <c r="AA26" s="595">
        <f>(Y26/$Y$31)</f>
        <v>1</v>
      </c>
      <c r="AB26" s="595"/>
      <c r="AC26" s="595"/>
      <c r="AD26" s="3"/>
      <c r="BE26" s="107">
        <v>21</v>
      </c>
    </row>
    <row r="27" spans="1:57" x14ac:dyDescent="0.35">
      <c r="A27" s="2"/>
      <c r="B27" s="612" t="s">
        <v>191</v>
      </c>
      <c r="C27" s="612"/>
      <c r="D27" s="612"/>
      <c r="E27" s="612"/>
      <c r="F27" s="597" t="s">
        <v>222</v>
      </c>
      <c r="G27" s="597"/>
      <c r="H27" s="3"/>
      <c r="I27" s="2"/>
      <c r="J27" s="602" t="s">
        <v>509</v>
      </c>
      <c r="K27" s="602"/>
      <c r="L27" s="602"/>
      <c r="M27" s="602"/>
      <c r="N27" s="602"/>
      <c r="O27" s="602"/>
      <c r="P27" s="604" t="s">
        <v>119</v>
      </c>
      <c r="Q27" s="3"/>
      <c r="R27" s="2"/>
      <c r="S27" s="623" t="s">
        <v>570</v>
      </c>
      <c r="T27" s="623"/>
      <c r="U27" s="127">
        <f>IF(OR(Planeación!I37=0,Planeación!G37=0),0,NETWORKDAYS(Planeación!I37,Planeación!G37,0))</f>
        <v>0</v>
      </c>
      <c r="V27" s="110"/>
      <c r="W27" s="622">
        <f>IF(OR(Planeación!K37=0,Planeación!J37=0),0,NETWORKDAYS(Planeación!K37,Planeación!J37,0))</f>
        <v>0</v>
      </c>
      <c r="X27" s="622"/>
      <c r="Y27" s="593">
        <f t="shared" ref="Y27:Y30" si="0">IF(W27&lt;0,W27*-1,W27)</f>
        <v>0</v>
      </c>
      <c r="Z27" s="593"/>
      <c r="AA27" s="595">
        <f>(Y27/$Y$31)</f>
        <v>0</v>
      </c>
      <c r="AB27" s="595"/>
      <c r="AC27" s="595"/>
      <c r="AD27" s="3"/>
      <c r="BE27" s="107">
        <v>22</v>
      </c>
    </row>
    <row r="28" spans="1:57" ht="30" customHeight="1" x14ac:dyDescent="0.35">
      <c r="A28" s="2"/>
      <c r="B28" s="597" t="s">
        <v>122</v>
      </c>
      <c r="C28" s="597"/>
      <c r="D28" s="597" t="s">
        <v>206</v>
      </c>
      <c r="E28" s="597"/>
      <c r="F28" s="597"/>
      <c r="G28" s="597"/>
      <c r="H28" s="3"/>
      <c r="I28" s="2"/>
      <c r="J28" s="605" t="s">
        <v>23</v>
      </c>
      <c r="K28" s="605"/>
      <c r="L28" s="147" t="s">
        <v>117</v>
      </c>
      <c r="M28" s="605" t="s">
        <v>118</v>
      </c>
      <c r="N28" s="605"/>
      <c r="O28" s="147" t="s">
        <v>115</v>
      </c>
      <c r="P28" s="604"/>
      <c r="Q28" s="3"/>
      <c r="R28" s="2"/>
      <c r="S28" s="623" t="s">
        <v>571</v>
      </c>
      <c r="T28" s="623"/>
      <c r="U28" s="127">
        <f>IF(OR(Planeación!I38=0,Planeación!G38=0),0,NETWORKDAYS(Planeación!I38,Planeación!G38,0))</f>
        <v>0</v>
      </c>
      <c r="V28" s="110"/>
      <c r="W28" s="622">
        <f>IF(OR(Planeación!K38=0,Planeación!J38=0),0,NETWORKDAYS(Planeación!K38,Planeación!J38,0))</f>
        <v>0</v>
      </c>
      <c r="X28" s="622"/>
      <c r="Y28" s="593">
        <f t="shared" si="0"/>
        <v>0</v>
      </c>
      <c r="Z28" s="593"/>
      <c r="AA28" s="595">
        <f>(Y28/$Y$31)</f>
        <v>0</v>
      </c>
      <c r="AB28" s="595"/>
      <c r="AC28" s="595"/>
      <c r="AD28" s="3"/>
      <c r="BE28" s="107">
        <v>23</v>
      </c>
    </row>
    <row r="29" spans="1:57" x14ac:dyDescent="0.35">
      <c r="A29" s="2"/>
      <c r="B29" s="607" t="s">
        <v>192</v>
      </c>
      <c r="C29" s="607"/>
      <c r="D29" s="593" t="s">
        <v>167</v>
      </c>
      <c r="E29" s="593"/>
      <c r="F29" s="116" t="s">
        <v>192</v>
      </c>
      <c r="G29" s="117"/>
      <c r="H29" s="3"/>
      <c r="I29" s="2"/>
      <c r="J29" s="601" t="s">
        <v>22</v>
      </c>
      <c r="K29" s="601"/>
      <c r="L29" s="149">
        <f>Parametros!F4</f>
        <v>20</v>
      </c>
      <c r="M29" s="611">
        <f>Planeación!I22*Param_General!L29</f>
        <v>0</v>
      </c>
      <c r="N29" s="611"/>
      <c r="O29" s="146">
        <f>M29/60</f>
        <v>0</v>
      </c>
      <c r="P29" s="606">
        <f>IF(Planeación!I20="Alta",O29,IF(Planeación!I20="Media",O30,IF(Planeación!I20="Baja",O31,"F")))</f>
        <v>0</v>
      </c>
      <c r="Q29" s="3"/>
      <c r="R29" s="2"/>
      <c r="S29" s="623" t="s">
        <v>74</v>
      </c>
      <c r="T29" s="623"/>
      <c r="U29" s="127">
        <f>IF(OR(Planeación!I39=0,Planeación!G39=0),0,NETWORKDAYS(Planeación!I39,Planeación!G39,0))</f>
        <v>0</v>
      </c>
      <c r="V29" s="110"/>
      <c r="W29" s="622">
        <f>IF(OR(Planeación!K39=0,Planeación!J39=0),0,NETWORKDAYS(Planeación!K39,Planeación!J39,0))</f>
        <v>0</v>
      </c>
      <c r="X29" s="622"/>
      <c r="Y29" s="593">
        <f t="shared" si="0"/>
        <v>0</v>
      </c>
      <c r="Z29" s="593"/>
      <c r="AA29" s="595">
        <f>(Y29/$Y$31)</f>
        <v>0</v>
      </c>
      <c r="AB29" s="595"/>
      <c r="AC29" s="595"/>
      <c r="AD29" s="3"/>
      <c r="BE29" s="107">
        <v>24</v>
      </c>
    </row>
    <row r="30" spans="1:57" x14ac:dyDescent="0.35">
      <c r="A30" s="2"/>
      <c r="B30" s="607" t="s">
        <v>193</v>
      </c>
      <c r="C30" s="607"/>
      <c r="D30" s="593" t="e">
        <f>COUNTIF(Diseño!#REF!,"Si")</f>
        <v>#REF!</v>
      </c>
      <c r="E30" s="593"/>
      <c r="F30" s="116" t="s">
        <v>193</v>
      </c>
      <c r="G30" s="117"/>
      <c r="H30" s="3"/>
      <c r="I30" s="2"/>
      <c r="J30" s="601" t="s">
        <v>21</v>
      </c>
      <c r="K30" s="601"/>
      <c r="L30" s="149">
        <f>Parametros!F5</f>
        <v>15</v>
      </c>
      <c r="M30" s="611">
        <f>Planeación!I22*Param_General!L30</f>
        <v>0</v>
      </c>
      <c r="N30" s="611"/>
      <c r="O30" s="146">
        <f>M30/60</f>
        <v>0</v>
      </c>
      <c r="P30" s="606"/>
      <c r="Q30" s="3"/>
      <c r="R30" s="2"/>
      <c r="S30" s="623" t="s">
        <v>216</v>
      </c>
      <c r="T30" s="623"/>
      <c r="U30" s="127">
        <f>IF(OR(Planeación!I40=0,Planeación!G40=0),0,NETWORKDAYS(Planeación!I40,Planeación!G40,0))</f>
        <v>0</v>
      </c>
      <c r="V30" s="110"/>
      <c r="W30" s="622">
        <f>IF(OR(Planeación!K40=0,Planeación!J40=0),0,NETWORKDAYS(Planeación!K40,Planeación!J40,0))</f>
        <v>0</v>
      </c>
      <c r="X30" s="622"/>
      <c r="Y30" s="593">
        <f t="shared" si="0"/>
        <v>0</v>
      </c>
      <c r="Z30" s="593"/>
      <c r="AA30" s="595">
        <f>(Y30/$Y$31)</f>
        <v>0</v>
      </c>
      <c r="AB30" s="595"/>
      <c r="AC30" s="595"/>
      <c r="AD30" s="3"/>
      <c r="BE30" s="107">
        <v>25</v>
      </c>
    </row>
    <row r="31" spans="1:57" x14ac:dyDescent="0.35">
      <c r="A31" s="2"/>
      <c r="B31" s="607" t="s">
        <v>194</v>
      </c>
      <c r="C31" s="607"/>
      <c r="D31" s="593" t="e">
        <f>COUNTIF(Diseño!#REF!,"Si")</f>
        <v>#REF!</v>
      </c>
      <c r="E31" s="593"/>
      <c r="F31" s="116" t="s">
        <v>194</v>
      </c>
      <c r="G31" s="117"/>
      <c r="H31" s="3"/>
      <c r="I31" s="2"/>
      <c r="J31" s="601" t="s">
        <v>20</v>
      </c>
      <c r="K31" s="601"/>
      <c r="L31" s="149">
        <f>Parametros!F6</f>
        <v>10</v>
      </c>
      <c r="M31" s="611">
        <f>Planeación!I22*Param_General!L31</f>
        <v>0</v>
      </c>
      <c r="N31" s="611"/>
      <c r="O31" s="146">
        <f>M31/60</f>
        <v>0</v>
      </c>
      <c r="P31" s="606"/>
      <c r="Q31" s="3"/>
      <c r="R31" s="2"/>
      <c r="S31" s="602" t="s">
        <v>697</v>
      </c>
      <c r="T31" s="614"/>
      <c r="U31" s="614"/>
      <c r="V31" s="614"/>
      <c r="W31" s="614"/>
      <c r="X31" s="614"/>
      <c r="Y31" s="593">
        <f>SUM(Y26:Z30)</f>
        <v>12</v>
      </c>
      <c r="Z31" s="593"/>
      <c r="AA31" s="625"/>
      <c r="AB31" s="625"/>
      <c r="AC31" s="626"/>
    </row>
    <row r="32" spans="1:57" x14ac:dyDescent="0.35">
      <c r="A32" s="2"/>
      <c r="B32" s="607" t="s">
        <v>195</v>
      </c>
      <c r="C32" s="607"/>
      <c r="D32" s="593" t="e">
        <f>COUNTIF(Diseño!#REF!,"Si")</f>
        <v>#REF!</v>
      </c>
      <c r="E32" s="593"/>
      <c r="F32" s="116" t="s">
        <v>195</v>
      </c>
      <c r="G32" s="117"/>
      <c r="H32" s="3"/>
      <c r="I32" s="2"/>
      <c r="J32" s="602" t="s">
        <v>510</v>
      </c>
      <c r="K32" s="602"/>
      <c r="L32" s="602"/>
      <c r="M32" s="602"/>
      <c r="N32" s="602"/>
      <c r="O32" s="602"/>
      <c r="P32" s="114">
        <f>P24-P29</f>
        <v>0</v>
      </c>
      <c r="Q32" s="3"/>
      <c r="R32" s="2"/>
      <c r="S32" s="5"/>
      <c r="T32" s="16"/>
      <c r="U32" s="5"/>
      <c r="V32" s="5"/>
      <c r="W32" s="5"/>
      <c r="X32" s="5"/>
      <c r="Y32" s="5"/>
      <c r="Z32" s="5"/>
      <c r="AA32" s="5"/>
      <c r="AB32" s="5"/>
      <c r="AC32" s="5"/>
    </row>
    <row r="33" spans="1:19" x14ac:dyDescent="0.35">
      <c r="A33" s="2"/>
      <c r="B33" s="607" t="s">
        <v>196</v>
      </c>
      <c r="C33" s="607"/>
      <c r="D33" s="593" t="e">
        <f>COUNTIF(Diseño!#REF!,"Si")</f>
        <v>#REF!</v>
      </c>
      <c r="E33" s="593"/>
      <c r="F33" s="116" t="s">
        <v>196</v>
      </c>
      <c r="G33" s="117"/>
      <c r="H33" s="3"/>
      <c r="J33" s="10"/>
      <c r="K33" s="10"/>
      <c r="L33" s="10"/>
      <c r="M33" s="10"/>
      <c r="N33" s="10"/>
      <c r="O33" s="10"/>
      <c r="P33" s="10"/>
      <c r="S33" s="5"/>
    </row>
    <row r="34" spans="1:19" x14ac:dyDescent="0.35">
      <c r="A34" s="2"/>
      <c r="B34" s="607" t="s">
        <v>197</v>
      </c>
      <c r="C34" s="607"/>
      <c r="D34" s="593" t="e">
        <f>COUNTIF(Diseño!#REF!,"Si")</f>
        <v>#REF!</v>
      </c>
      <c r="E34" s="593"/>
      <c r="F34" s="116" t="s">
        <v>197</v>
      </c>
      <c r="G34" s="117"/>
      <c r="H34" s="3"/>
      <c r="I34" s="2"/>
      <c r="J34" s="602" t="s">
        <v>554</v>
      </c>
      <c r="K34" s="602"/>
      <c r="L34" s="602"/>
      <c r="M34" s="602"/>
      <c r="N34" s="602"/>
      <c r="O34" s="602"/>
      <c r="P34" s="604" t="s">
        <v>552</v>
      </c>
      <c r="Q34" s="3"/>
    </row>
    <row r="35" spans="1:19" x14ac:dyDescent="0.35">
      <c r="A35" s="2"/>
      <c r="B35" s="607" t="s">
        <v>198</v>
      </c>
      <c r="C35" s="607"/>
      <c r="D35" s="593" t="e">
        <f>COUNTIF(Diseño!#REF!,"Si")</f>
        <v>#REF!</v>
      </c>
      <c r="E35" s="593"/>
      <c r="F35" s="116" t="s">
        <v>198</v>
      </c>
      <c r="G35" s="117"/>
      <c r="H35" s="3"/>
      <c r="I35" s="2"/>
      <c r="J35" s="123" t="s">
        <v>23</v>
      </c>
      <c r="K35" s="605" t="s">
        <v>551</v>
      </c>
      <c r="L35" s="605"/>
      <c r="M35" s="605"/>
      <c r="N35" s="605"/>
      <c r="O35" s="605"/>
      <c r="P35" s="604"/>
      <c r="Q35" s="3"/>
    </row>
    <row r="36" spans="1:19" x14ac:dyDescent="0.35">
      <c r="A36" s="2"/>
      <c r="B36" s="607" t="s">
        <v>199</v>
      </c>
      <c r="C36" s="607"/>
      <c r="D36" s="593" t="e">
        <f>COUNTIF(Diseño!#REF!,"Si")</f>
        <v>#REF!</v>
      </c>
      <c r="E36" s="593"/>
      <c r="F36" s="116" t="s">
        <v>199</v>
      </c>
      <c r="G36" s="117"/>
      <c r="H36" s="3"/>
      <c r="I36" s="2"/>
      <c r="J36" s="124" t="s">
        <v>550</v>
      </c>
      <c r="K36" s="610">
        <f>Planeación!E38</f>
        <v>0</v>
      </c>
      <c r="L36" s="610"/>
      <c r="M36" s="610"/>
      <c r="N36" s="610"/>
      <c r="O36" s="610"/>
      <c r="P36" s="148">
        <f>K36</f>
        <v>0</v>
      </c>
      <c r="Q36" s="3"/>
    </row>
    <row r="37" spans="1:19" x14ac:dyDescent="0.35">
      <c r="A37" s="2"/>
      <c r="B37" s="607" t="s">
        <v>200</v>
      </c>
      <c r="C37" s="607"/>
      <c r="D37" s="593" t="e">
        <f>COUNTIF(Diseño!#REF!,"Si")</f>
        <v>#REF!</v>
      </c>
      <c r="E37" s="593"/>
      <c r="F37" s="116" t="s">
        <v>200</v>
      </c>
      <c r="G37" s="117"/>
      <c r="H37" s="3"/>
      <c r="J37" s="5"/>
      <c r="K37" s="5"/>
      <c r="L37" s="5"/>
      <c r="M37" s="5"/>
      <c r="N37" s="5"/>
      <c r="O37" s="5"/>
      <c r="P37" s="5"/>
    </row>
    <row r="38" spans="1:19" x14ac:dyDescent="0.35">
      <c r="A38" s="2"/>
      <c r="B38" s="607" t="s">
        <v>201</v>
      </c>
      <c r="C38" s="607"/>
      <c r="D38" s="593" t="e">
        <f>COUNTIF(Diseño!#REF!,"Si")</f>
        <v>#REF!</v>
      </c>
      <c r="E38" s="593"/>
      <c r="F38" s="116" t="s">
        <v>201</v>
      </c>
      <c r="G38" s="117"/>
      <c r="H38" s="3"/>
    </row>
    <row r="39" spans="1:19" x14ac:dyDescent="0.35">
      <c r="A39" s="2"/>
      <c r="B39" s="597" t="s">
        <v>202</v>
      </c>
      <c r="C39" s="597"/>
      <c r="D39" s="597" t="e">
        <f>SUM(D30:E38)</f>
        <v>#REF!</v>
      </c>
      <c r="E39" s="597"/>
      <c r="F39" s="145" t="s">
        <v>223</v>
      </c>
      <c r="G39" s="145"/>
      <c r="H39" s="3"/>
    </row>
    <row r="40" spans="1:19" x14ac:dyDescent="0.35">
      <c r="B40" s="5"/>
      <c r="C40" s="5"/>
      <c r="D40" s="5"/>
      <c r="E40" s="5"/>
      <c r="F40" s="5"/>
      <c r="G40" s="5"/>
    </row>
    <row r="41" spans="1:19" x14ac:dyDescent="0.35">
      <c r="B41" s="4"/>
      <c r="C41" s="4"/>
      <c r="D41" s="4"/>
      <c r="E41" s="4"/>
      <c r="F41" s="4"/>
      <c r="G41" s="4"/>
      <c r="H41" s="4"/>
      <c r="I41" s="4"/>
      <c r="J41" s="4"/>
      <c r="K41" s="4"/>
    </row>
    <row r="42" spans="1:19" x14ac:dyDescent="0.35">
      <c r="A42" s="2"/>
      <c r="B42" s="115" t="s">
        <v>214</v>
      </c>
      <c r="C42" s="144" t="s">
        <v>139</v>
      </c>
      <c r="D42" s="618" t="s">
        <v>140</v>
      </c>
      <c r="E42" s="618"/>
      <c r="F42" s="144" t="s">
        <v>144</v>
      </c>
      <c r="G42" s="144" t="s">
        <v>143</v>
      </c>
      <c r="H42" s="618" t="s">
        <v>146</v>
      </c>
      <c r="I42" s="618"/>
      <c r="J42" s="144" t="s">
        <v>145</v>
      </c>
      <c r="K42" s="144" t="s">
        <v>141</v>
      </c>
      <c r="L42" s="3"/>
    </row>
    <row r="43" spans="1:19" x14ac:dyDescent="0.35">
      <c r="A43" s="2"/>
      <c r="B43" s="108" t="s">
        <v>221</v>
      </c>
      <c r="C43" s="139">
        <f>SUM(COUNTIFS('G. de Incidentes'!$F$18:$F$1024,"Stopper",'G. de Incidentes'!$O$18:$O$1024,"Ambiente",'G. de Incidentes'!$H$18:$H$1024,"Si",'G. de Incidentes'!$G$18:$G$1024,"Error"))</f>
        <v>0</v>
      </c>
      <c r="D43" s="596">
        <f>SUM(COUNTIFS('G. de Incidentes'!$F$18:$F$1024,"Stopper",'G. de Incidentes'!$O$18:$O$1024,"Datos",'G. de Incidentes'!$H$18:$H$1024,"Si",'G. de Incidentes'!$G$18:$G$1024,"Error"))</f>
        <v>0</v>
      </c>
      <c r="E43" s="596"/>
      <c r="F43" s="139">
        <f>SUM(COUNTIFS('G. de Incidentes'!$F$18:$F$1024,"Stopper",'G. de Incidentes'!$O$18:$O$1024,"Funcionalidad",'G. de Incidentes'!$H$18:$H$1024,"Si",'G. de Incidentes'!$G$18:$G$1024,"Error"))</f>
        <v>0</v>
      </c>
      <c r="G43" s="139">
        <f>SUM(COUNTIFS('G. de Incidentes'!$F$18:$F$1024,"Stopper",'G. de Incidentes'!$O$18:$O$1024,"Documentación",'G. de Incidentes'!$H$18:$H$1024,"Si",'G. de Incidentes'!$G$18:$G$1024,"Error"))</f>
        <v>0</v>
      </c>
      <c r="H43" s="596">
        <f>SUM(COUNTIFS('G. de Incidentes'!$F$18:$F$1024,"Stopper",'G. de Incidentes'!$O$18:$O$1024,"Presentación",'G. de Incidentes'!$H$18:$H$1024,"Si",'G. de Incidentes'!$G$18:$G$1024,"Error"))</f>
        <v>0</v>
      </c>
      <c r="I43" s="596"/>
      <c r="J43" s="139">
        <f>SUM(COUNTIFS('G. de Incidentes'!$F$18:$F$1024,"Stopper",'G. de Incidentes'!$O$18:$O$1024,"Rendimiento",'G. de Incidentes'!$H$18:$H$1024,"Si",'G. de Incidentes'!$G$18:$G$1024,"Error"))</f>
        <v>0</v>
      </c>
      <c r="K43" s="139">
        <f>SUM(COUNTIFS('G. de Incidentes'!$F$18:$F$1024,"Stopper",'G. de Incidentes'!$O$18:$O$1024,"Seguridad",'G. de Incidentes'!$H$18:$H$1024,"Si",'G. de Incidentes'!$G$18:$G$1024,"Error"))</f>
        <v>0</v>
      </c>
      <c r="L43" s="3"/>
    </row>
    <row r="44" spans="1:19" x14ac:dyDescent="0.35">
      <c r="A44" s="2"/>
      <c r="B44" s="108" t="s">
        <v>22</v>
      </c>
      <c r="C44" s="139">
        <f>SUM(COUNTIFS('G. de Incidentes'!$F$18:$F$1024,"Alta",'G. de Incidentes'!$O$18:$O$1024,"Ambiente",'G. de Incidentes'!$H$18:$H$1024,"Si",'G. de Incidentes'!$G$18:$G$1024,"Error"))</f>
        <v>0</v>
      </c>
      <c r="D44" s="596">
        <f>SUM(COUNTIFS('G. de Incidentes'!$F$18:$F$1024,"Alta",'G. de Incidentes'!$O$18:$O$1024,"Datos",'G. de Incidentes'!$H$18:$H$1024,"Si",'G. de Incidentes'!$G$18:$G$1024,"Error"))</f>
        <v>0</v>
      </c>
      <c r="E44" s="596"/>
      <c r="F44" s="139">
        <f>SUM(COUNTIFS('G. de Incidentes'!$F$18:$F$1024,"Alta",'G. de Incidentes'!$O$18:$O$1024,"Funcionalidad",'G. de Incidentes'!$H$18:$H$1024,"Si",'G. de Incidentes'!$G$18:$G$1024,"Error"))</f>
        <v>0</v>
      </c>
      <c r="G44" s="139">
        <f>SUM(COUNTIFS('G. de Incidentes'!$F$18:$F$1024,"Alta",'G. de Incidentes'!$O$18:$O$1024,"Documentación",'G. de Incidentes'!$H$18:$H$1024,"Si",'G. de Incidentes'!$G$18:$G$1024,"Error"))</f>
        <v>0</v>
      </c>
      <c r="H44" s="596">
        <f>SUM(COUNTIFS('G. de Incidentes'!$F$18:$F$1024,"Alta",'G. de Incidentes'!$O$18:$O$1024,"Presentación",'G. de Incidentes'!$H$18:$H$1024,"Si",'G. de Incidentes'!$G$18:$G$1024,"Error"))</f>
        <v>0</v>
      </c>
      <c r="I44" s="596"/>
      <c r="J44" s="139">
        <f>SUM(COUNTIFS('G. de Incidentes'!$F$18:$F$1024,"Alta",'G. de Incidentes'!$O$18:$O$1024,"Rendimiento",'G. de Incidentes'!$H$18:$H$1024,"Si",'G. de Incidentes'!$G$18:$G$1024,"Error"))</f>
        <v>0</v>
      </c>
      <c r="K44" s="139">
        <f>SUM(COUNTIFS('G. de Incidentes'!$F$18:$F$1024,"Alta",'G. de Incidentes'!$O$18:$O$1024,"Seguridad",'G. de Incidentes'!$H$18:$H$1024,"Si",'G. de Incidentes'!$G$18:$G$1024,"Error"))</f>
        <v>0</v>
      </c>
      <c r="L44" s="3"/>
    </row>
    <row r="45" spans="1:19" x14ac:dyDescent="0.35">
      <c r="A45" s="2"/>
      <c r="B45" s="108" t="s">
        <v>21</v>
      </c>
      <c r="C45" s="139">
        <f>SUM(COUNTIFS('G. de Incidentes'!$F$18:$F$1024,"Media",'G. de Incidentes'!$O$18:$O$1024,"Ambiente",'G. de Incidentes'!$H$18:$H$1024,"Si",'G. de Incidentes'!$G$18:$G$1024,"Error"))</f>
        <v>0</v>
      </c>
      <c r="D45" s="596">
        <f>SUM(COUNTIFS('G. de Incidentes'!$F$18:$F$1024,"Media",'G. de Incidentes'!$O$18:$O$1024,"Datos",'G. de Incidentes'!$H$18:$H$1024,"Si",'G. de Incidentes'!$G$18:$G$1024,"Error"))</f>
        <v>0</v>
      </c>
      <c r="E45" s="596"/>
      <c r="F45" s="139">
        <f>SUM(COUNTIFS('G. de Incidentes'!$F$18:$F$1024,"Media",'G. de Incidentes'!$O$18:$O$1024,"Funcionalidad",'G. de Incidentes'!$H$18:$H$1024,"Si",'G. de Incidentes'!$G$18:$G$1024,"Error"))</f>
        <v>0</v>
      </c>
      <c r="G45" s="139">
        <f>SUM(COUNTIFS('G. de Incidentes'!$F$18:$F$1024,"Media",'G. de Incidentes'!$O$18:$O$1024,"Documentación",'G. de Incidentes'!$H$18:$H$1024,"Si",'G. de Incidentes'!$G$18:$G$1024,"Error"))</f>
        <v>0</v>
      </c>
      <c r="H45" s="596">
        <f>SUM(COUNTIFS('G. de Incidentes'!$F$18:$F$1024,"Media",'G. de Incidentes'!$O$18:$O$1024,"Presentación",'G. de Incidentes'!$H$18:$H$1024,"Si",'G. de Incidentes'!$G$18:$G$1024,"Error"))</f>
        <v>0</v>
      </c>
      <c r="I45" s="596"/>
      <c r="J45" s="139">
        <f>SUM(COUNTIFS('G. de Incidentes'!$F$18:$F$1024,"Media",'G. de Incidentes'!$O$18:$O$1024,"Rendimiento",'G. de Incidentes'!$H$18:$H$1024,"Si",'G. de Incidentes'!$G$18:$G$1024,"Error"))</f>
        <v>0</v>
      </c>
      <c r="K45" s="139">
        <f>SUM(COUNTIFS('G. de Incidentes'!$F$18:$F$1024,"Media",'G. de Incidentes'!$O$18:$O$1024,"Seguridad",'G. de Incidentes'!$H$18:$H$1024,"Si",'G. de Incidentes'!$G$18:$G$1024,"Error"))</f>
        <v>0</v>
      </c>
      <c r="L45" s="3"/>
    </row>
    <row r="46" spans="1:19" x14ac:dyDescent="0.35">
      <c r="A46" s="2"/>
      <c r="B46" s="108" t="s">
        <v>20</v>
      </c>
      <c r="C46" s="139">
        <f>SUM(COUNTIFS('G. de Incidentes'!$F$18:$F$1024,"Baja",'G. de Incidentes'!$O$18:$O$1024,"Ambiente",'G. de Incidentes'!$H$18:$H$1024,"Si",'G. de Incidentes'!$G$18:$G$1024,"Error"))</f>
        <v>0</v>
      </c>
      <c r="D46" s="596">
        <f>SUM(COUNTIFS('G. de Incidentes'!$F$18:$F$1024,"Baja",'G. de Incidentes'!$O$18:$O$1024,"Datos",'G. de Incidentes'!$H$18:$H$1024,"Si",'G. de Incidentes'!$G$18:$G$1024,"Error"))</f>
        <v>0</v>
      </c>
      <c r="E46" s="596"/>
      <c r="F46" s="139">
        <f>SUM(COUNTIFS('G. de Incidentes'!$F$18:$F$1024,"Baja",'G. de Incidentes'!$O$18:$O$1024,"Funcionalidad",'G. de Incidentes'!$H$18:$H$1024,"Si",'G. de Incidentes'!$G$18:$G$1024,"Error"))</f>
        <v>0</v>
      </c>
      <c r="G46" s="139">
        <f>SUM(COUNTIFS('G. de Incidentes'!$F$18:$F$1024,"Baja",'G. de Incidentes'!$O$18:$O$1024,"Documentación",'G. de Incidentes'!$H$18:$H$1024,"Si",'G. de Incidentes'!$G$18:$G$1024,"Error"))</f>
        <v>0</v>
      </c>
      <c r="H46" s="596">
        <f>SUM(COUNTIFS('G. de Incidentes'!$F$18:$F$1024,"Baja",'G. de Incidentes'!$O$18:$O$1024,"Presentación",'G. de Incidentes'!$H$18:$H$1024,"Si",'G. de Incidentes'!$G$18:$G$1024,"Error"))</f>
        <v>0</v>
      </c>
      <c r="I46" s="596"/>
      <c r="J46" s="139">
        <f>SUM(COUNTIFS('G. de Incidentes'!$F$18:$F$1024,"Baja",'G. de Incidentes'!$O$18:$O$1024,"Rendimiento",'G. de Incidentes'!$H$18:$H$1024,"Si",'G. de Incidentes'!$G$18:$G$1024,"Error"))</f>
        <v>0</v>
      </c>
      <c r="K46" s="139">
        <f>SUM(COUNTIFS('G. de Incidentes'!$F$18:$F$1024,"Baja",'G. de Incidentes'!$O$18:$O$1024,"Seguridad",'G. de Incidentes'!$H$18:$H$1024,"Si",'G. de Incidentes'!$G$18:$G$1024,"Error"))</f>
        <v>0</v>
      </c>
      <c r="L46" s="3"/>
    </row>
    <row r="47" spans="1:19" x14ac:dyDescent="0.35">
      <c r="A47" s="2"/>
      <c r="B47" s="115" t="s">
        <v>712</v>
      </c>
      <c r="C47" s="139" t="s">
        <v>65</v>
      </c>
      <c r="D47" s="596" t="s">
        <v>65</v>
      </c>
      <c r="E47" s="596"/>
      <c r="F47" s="139">
        <f>SUM(F43:F46)</f>
        <v>0</v>
      </c>
      <c r="G47" s="139">
        <f>SUM(G43:G46)</f>
        <v>0</v>
      </c>
      <c r="H47" s="596">
        <f>SUM(H43:I46)</f>
        <v>0</v>
      </c>
      <c r="I47" s="596"/>
      <c r="J47" s="139">
        <f>SUM(J43:J46)</f>
        <v>0</v>
      </c>
      <c r="K47" s="139">
        <f>SUM(K43:K46)</f>
        <v>0</v>
      </c>
      <c r="L47" s="3"/>
    </row>
    <row r="48" spans="1:19" x14ac:dyDescent="0.35">
      <c r="B48" s="10"/>
      <c r="C48" s="10"/>
      <c r="D48" s="10"/>
      <c r="E48" s="10"/>
      <c r="F48" s="10"/>
      <c r="G48" s="10"/>
      <c r="H48" s="10"/>
      <c r="I48" s="10"/>
      <c r="J48" s="10"/>
      <c r="K48" s="10"/>
      <c r="L48" s="4"/>
      <c r="M48" s="4"/>
      <c r="N48" s="4"/>
      <c r="O48" s="4"/>
      <c r="P48" s="4"/>
    </row>
    <row r="49" spans="1:36" ht="75.75" customHeight="1" x14ac:dyDescent="0.35">
      <c r="A49" s="2"/>
      <c r="B49" s="142" t="s">
        <v>150</v>
      </c>
      <c r="C49" s="142" t="s">
        <v>221</v>
      </c>
      <c r="D49" s="591" t="s">
        <v>22</v>
      </c>
      <c r="E49" s="591"/>
      <c r="F49" s="142" t="s">
        <v>21</v>
      </c>
      <c r="G49" s="142" t="s">
        <v>20</v>
      </c>
      <c r="H49" s="142" t="s">
        <v>517</v>
      </c>
      <c r="I49" s="592" t="s">
        <v>70</v>
      </c>
      <c r="J49" s="592"/>
      <c r="K49" s="142" t="s">
        <v>73</v>
      </c>
      <c r="L49" s="142" t="s">
        <v>524</v>
      </c>
      <c r="M49" s="591" t="s">
        <v>769</v>
      </c>
      <c r="N49" s="591"/>
      <c r="O49" s="142" t="s">
        <v>770</v>
      </c>
      <c r="P49" s="142" t="s">
        <v>771</v>
      </c>
    </row>
    <row r="50" spans="1:36" x14ac:dyDescent="0.35">
      <c r="A50" s="2"/>
      <c r="B50" s="107" t="s">
        <v>10</v>
      </c>
      <c r="C50" s="148" t="s">
        <v>65</v>
      </c>
      <c r="D50" s="594" t="s">
        <v>65</v>
      </c>
      <c r="E50" s="594"/>
      <c r="F50" s="148" t="s">
        <v>65</v>
      </c>
      <c r="G50" s="148" t="s">
        <v>65</v>
      </c>
      <c r="H50" s="148" t="s">
        <v>65</v>
      </c>
      <c r="I50" s="593" t="s">
        <v>65</v>
      </c>
      <c r="J50" s="593"/>
      <c r="K50" s="143" t="s">
        <v>65</v>
      </c>
      <c r="L50" s="143" t="s">
        <v>65</v>
      </c>
      <c r="M50" s="596" t="s">
        <v>65</v>
      </c>
      <c r="N50" s="596"/>
      <c r="O50" s="139" t="s">
        <v>65</v>
      </c>
      <c r="P50" s="139" t="s">
        <v>65</v>
      </c>
    </row>
    <row r="51" spans="1:36" x14ac:dyDescent="0.35">
      <c r="A51" s="2"/>
      <c r="B51" s="107" t="str">
        <f>AO4</f>
        <v>Proveedor 1x</v>
      </c>
      <c r="C51" s="148">
        <f>IF(OR($B51="No Aplica",$B51="",$B51="N/A",$B51="NA",$B51="na"),0,SUM(
COUNTIFS('G. de Incidentes'!$G$18:$G$1024,"Error",'G. de Incidentes'!$F$18:$F$1024,"Stopper",'G. de Incidentes'!$O$18:$O$1024,"Funcionalidad",'G. de Incidentes'!$D$18:$D$1024,$B51,'G. de Incidentes'!$H$18:$H$1024,"Si"),
COUNTIFS('G. de Incidentes'!$G$18:$G$1024,"Error",'G. de Incidentes'!$F$18:$F$1024,"Stopper",'G. de Incidentes'!$O$18:$O$1024,"Rendimiento",'G. de Incidentes'!$D$18:$D$1024,$B51,'G. de Incidentes'!$H$18:$H$1024,"Si"),
COUNTIFS('G. de Incidentes'!$G$18:$G$1024,"Error",'G. de Incidentes'!$F$18:$F$1024,"Stopper",'G. de Incidentes'!$O$18:$O$1024,"Seguridad",'G. de Incidentes'!$D$18:$D$1024,$B51,'G. de Incidentes'!$H$18:$H$1024,"Si"),
COUNTIFS('G. de Incidentes'!$G$18:$G$1024,"Error",'G. de Incidentes'!$F$18:$F$1024,"Stopper",'G. de Incidentes'!$O$18:$O$1024,"Documentación",'G. de Incidentes'!$D$18:$D$1024,$B51,'G. de Incidentes'!$H$18:$H$1024,"Si"),
COUNTIFS('G. de Incidentes'!$G$18:$G$1024,"Error",'G. de Incidentes'!$F$18:$F$1024,"Stopper",'G. de Incidentes'!$O$18:$O$1024,"Presentación",'G. de Incidentes'!$D$18:$D$1024,$B51,'G. de Incidentes'!$H$18:$H$1024,"Si")))</f>
        <v>0</v>
      </c>
      <c r="D51" s="594">
        <f>IF(OR($B51="No Aplica",$B51="",$B51="N/A",$B51="NA",$B51="na"),0,SUM(
COUNTIFS('G. de Incidentes'!$G$18:$G$1024,"Error",'G. de Incidentes'!$F$18:$F$1024,"Alta",'G. de Incidentes'!$O$18:$O$1024,"Funcionalidad",'G. de Incidentes'!$D$18:$D$1024,$B51,'G. de Incidentes'!$H$18:$H$1024,"Si"),
COUNTIFS('G. de Incidentes'!$G$18:$G$1024,"Error",'G. de Incidentes'!$F$18:$F$1024,"Alta",'G. de Incidentes'!$O$18:$O$1024,"Rendimiento",'G. de Incidentes'!$D$18:$D$1024,$B51,'G. de Incidentes'!$H$18:$H$1024,"Si"),
COUNTIFS('G. de Incidentes'!$G$18:$G$1024,"Error",'G. de Incidentes'!$F$18:$F$1024,"Alta",'G. de Incidentes'!$O$18:$O$1024,"Seguridad",'G. de Incidentes'!$D$18:$D$1024,$B51,'G. de Incidentes'!$H$18:$H$1024,"Si"),
COUNTIFS('G. de Incidentes'!$G$18:$G$1024,"Error",'G. de Incidentes'!$F$18:$F$1024,"Alta",'G. de Incidentes'!$O$18:$O$1024,"Documentación",'G. de Incidentes'!$D$18:$D$1024,$B51,'G. de Incidentes'!$H$18:$H$1024,"Si"),
COUNTIFS('G. de Incidentes'!$G$18:$G$1024,"Error",'G. de Incidentes'!$F$18:$F$1024,"Alta",'G. de Incidentes'!$O$18:$O$1024,"Presentación",'G. de Incidentes'!$D$18:$D$1024,$B51,'G. de Incidentes'!$H$18:$H$1024,"Si")))</f>
        <v>0</v>
      </c>
      <c r="E51" s="594"/>
      <c r="F51" s="148">
        <f>IF(OR($B51="No Aplica",$B51="",$B51="N/A",$B51="NA",$B51="na"),0,SUM(
COUNTIFS('G. de Incidentes'!$G$18:$G$1024,"Error",'G. de Incidentes'!$F$18:$F$1024,"Media",'G. de Incidentes'!$O$18:$O$1024,"Funcionalidad",'G. de Incidentes'!$D$18:$D$1024,$B51,'G. de Incidentes'!$H$18:$H$1024,"Si"),
COUNTIFS('G. de Incidentes'!$G$18:$G$1024,"Error",'G. de Incidentes'!$F$18:$F$1024,"Media",'G. de Incidentes'!$O$18:$O$1024,"Rendimiento",'G. de Incidentes'!$D$18:$D$1024,$B51,'G. de Incidentes'!$H$18:$H$1024,"Si"),
COUNTIFS('G. de Incidentes'!$G$18:$G$1024,"Error",'G. de Incidentes'!$F$18:$F$1024,"Media",'G. de Incidentes'!$O$18:$O$1024,"Seguridad",'G. de Incidentes'!$D$18:$D$1024,$B51,'G. de Incidentes'!$H$18:$H$1024,"Si"),
COUNTIFS('G. de Incidentes'!$G$18:$G$1024,"Error",'G. de Incidentes'!$F$18:$F$1024,"Media",'G. de Incidentes'!$O$18:$O$1024,"Documentación",'G. de Incidentes'!$D$18:$D$1024,$B51,'G. de Incidentes'!$H$18:$H$1024,"Si"),
COUNTIFS('G. de Incidentes'!$G$18:$G$1024,"Error",'G. de Incidentes'!$F$18:$F$1024,"Media",'G. de Incidentes'!$O$18:$O$1024,"Presentación",'G. de Incidentes'!$D$18:$D$1024,$B51,'G. de Incidentes'!$H$18:$H$1024,"Si")))</f>
        <v>0</v>
      </c>
      <c r="G51" s="148">
        <f>IF(OR($B51="No Aplica",$B51="",$B51="N/A",$B51="NA",$B51="na"),0,SUM(
COUNTIFS('G. de Incidentes'!$G$18:$G$1024,"Error",'G. de Incidentes'!$F$18:$F$1024,"Baja",'G. de Incidentes'!$O$18:$O$1024,"Funcionalidad",'G. de Incidentes'!$D$18:$D$1024,$B51,'G. de Incidentes'!$H$18:$H$1024,"Si"),
COUNTIFS('G. de Incidentes'!$G$18:$G$1024,"Error",'G. de Incidentes'!$F$18:$F$1024,"Baja",'G. de Incidentes'!$O$18:$O$1024,"Rendimiento",'G. de Incidentes'!$D$18:$D$1024,$B51,'G. de Incidentes'!$H$18:$H$1024,"Si"),
COUNTIFS('G. de Incidentes'!$G$18:$G$1024,"Error",'G. de Incidentes'!$F$18:$F$1024,"Baja",'G. de Incidentes'!$O$18:$O$1024,"Seguridad",'G. de Incidentes'!$D$18:$D$1024,$B51,'G. de Incidentes'!$H$18:$H$1024,"Si"),
COUNTIFS('G. de Incidentes'!$G$18:$G$1024,"Error",'G. de Incidentes'!$F$18:$F$1024,"Baja",'G. de Incidentes'!$O$18:$O$1024,"Documentación",'G. de Incidentes'!$D$18:$D$1024,$B51,'G. de Incidentes'!$H$18:$H$1024,"Si"),
COUNTIFS('G. de Incidentes'!$G$18:$G$1024,"Error",'G. de Incidentes'!$F$18:$F$1024,"Baja",'G. de Incidentes'!$O$18:$O$1024,"Presentación",'G. de Incidentes'!$D$18:$D$1024,$B51,'G. de Incidentes'!$H$18:$H$1024,"Si")))</f>
        <v>0</v>
      </c>
      <c r="H51" s="148">
        <f>IF(OR($B51="No Aplica",$B51="",$B51="N/A",$B51="NA",$B51="na"),0,SUM(
COUNTIFS('G. de Incidentes'!$G$18:$G$1024,"Error",'G. de Incidentes'!$P$18:$P$1024,"Si",'G. de Incidentes'!$O$18:$O$1024,"Funcionalidad",'G. de Incidentes'!$D$18:$D$1024,$B51),
COUNTIFS('G. de Incidentes'!$G$18:$G$1024,"Error",'G. de Incidentes'!$P$18:$P$1024,"Si",'G. de Incidentes'!$O$18:$O$1024,"Rendimiento",'G. de Incidentes'!$D$18:$D$1024,$B51),
COUNTIFS('G. de Incidentes'!$G$18:$G$1024,"Error",'G. de Incidentes'!$P$18:$P$1024,"Si",'G. de Incidentes'!$O$18:$O$1024,"Seguridad",'G. de Incidentes'!$D$18:$D$1024,$B51),
COUNTIFS('G. de Incidentes'!$G$18:$G$1024,"Error",'G. de Incidentes'!$P$18:$P$1024,"Si",'G. de Incidentes'!$O$18:$O$1024,"Documetación",'G. de Incidentes'!$D$18:$D$1024,$B51),
COUNTIFS('G. de Incidentes'!$G$18:$G$1024,"Error",'G. de Incidentes'!$P$18:$P$1024,"Si",'G. de Incidentes'!$O$18:$O$1024,"Presentación",'G. de Incidentes'!$D$18:$D$1024,$B51)))</f>
        <v>0</v>
      </c>
      <c r="I51" s="593">
        <f>IF(OR($B51="No Aplica",$B51="",$B51="N/A",$B51="NA",$B51="na"),0,COUNTIFS(Diseño!$A$11:$A$2005,$B51,Diseño!$E$11:$E$2005,"&gt;0"))</f>
        <v>0</v>
      </c>
      <c r="J51" s="593"/>
      <c r="K51" s="143">
        <f>IF(OR($B51="No Aplica",$B51="",$B51="N/A",$B51="NA",$B51="na"),0,COUNTIFS(Diseño!$A$11:$A$2005,$B51,Diseño!$M$11:$M$2005,"Fallido")+COUNTIFS(Diseño!$A$11:$A$2005,$B51,Diseño!$M$11:$M$2005,"Exitoso")+COUNTIFS(Diseño!$A$11:$A$2005,$B51,Diseño!$M$11:$M$2005,"No aplica")+COUNTIFS(Diseño!$A$11:$A$2005,$B51,Diseño!$M$11:$M$2005,"No se pudo ejecutar"))</f>
        <v>0</v>
      </c>
      <c r="L51" s="143">
        <f>IF(OR($B51="No Aplica",$B51="",$B51="N/A",$B51="NA",$B51="na"),0,IF(Avance!AB11&lt;=3,1,(Avance!AB11/(3))*(Avance!AB11-3)))</f>
        <v>1</v>
      </c>
      <c r="M51" s="596">
        <f>IF(OR($B51="No Aplica",$B51="",$B51="N/A",$B51="NA",$B51="na"),0,COUNTIFS(Diseño!$A$11:$A$984,$B51,Diseño!$E$11:$E$984,"&gt;0",Diseño!$F$11:$F$984,"Alto",Diseño!$M$11:$M$984,"Fallido"))</f>
        <v>0</v>
      </c>
      <c r="N51" s="596"/>
      <c r="O51" s="139">
        <f>IF(OR($B51="No Aplica",$B51="",$B51="N/A",$B51="NA",$B51="na"),0,COUNTIFS(Diseño!$A$11:$A$984,$B51,Diseño!$E$11:$E$984,"&gt;0",Diseño!$F$11:$F$984,"Medio",Diseño!$M$11:$M$984,"Fallido"))</f>
        <v>0</v>
      </c>
      <c r="P51" s="139">
        <f>IF(OR($B51="No Aplica",$B51="",$B51="N/A",$B51="NA",$B51="na"),0,COUNTIFS(Diseño!$A$11:$A$984,$B51,Diseño!$E$11:$E$984,"&gt;0",Diseño!$F$11:$F$984,"Bajo",Diseño!$M$11:$M$984,"Fallido"))</f>
        <v>0</v>
      </c>
    </row>
    <row r="52" spans="1:36" x14ac:dyDescent="0.35">
      <c r="A52" s="2"/>
      <c r="B52" s="107" t="str">
        <f>AO5</f>
        <v>Proveedor 2x</v>
      </c>
      <c r="C52" s="178">
        <f>IF(OR($B52="No Aplica",$B52="",$B52="N/A",$B52="NA",$B52="na"),0,SUM(
COUNTIFS('G. de Incidentes'!$G$18:$G$1024,"Error",'G. de Incidentes'!$F$18:$F$1024,"Stopper",'G. de Incidentes'!$O$18:$O$1024,"Funcionalidad",'G. de Incidentes'!$D$18:$D$1024,$B52,'G. de Incidentes'!$H$18:$H$1024,"Si"),
COUNTIFS('G. de Incidentes'!$G$18:$G$1024,"Error",'G. de Incidentes'!$F$18:$F$1024,"Stopper",'G. de Incidentes'!$O$18:$O$1024,"Rendimiento",'G. de Incidentes'!$D$18:$D$1024,$B52,'G. de Incidentes'!$H$18:$H$1024,"Si"),
COUNTIFS('G. de Incidentes'!$G$18:$G$1024,"Error",'G. de Incidentes'!$F$18:$F$1024,"Stopper",'G. de Incidentes'!$O$18:$O$1024,"Seguridad",'G. de Incidentes'!$D$18:$D$1024,$B52,'G. de Incidentes'!$H$18:$H$1024,"Si"),
COUNTIFS('G. de Incidentes'!$G$18:$G$1024,"Error",'G. de Incidentes'!$F$18:$F$1024,"Stopper",'G. de Incidentes'!$O$18:$O$1024,"Documentación",'G. de Incidentes'!$D$18:$D$1024,$B52,'G. de Incidentes'!$H$18:$H$1024,"Si"),
COUNTIFS('G. de Incidentes'!$G$18:$G$1024,"Error",'G. de Incidentes'!$F$18:$F$1024,"Stopper",'G. de Incidentes'!$O$18:$O$1024,"Presentación",'G. de Incidentes'!$D$18:$D$1024,$B52,'G. de Incidentes'!$H$18:$H$1024,"Si")))</f>
        <v>0</v>
      </c>
      <c r="D52" s="594">
        <f>IF(OR($B52="No Aplica",$B52="",$B52="N/A",$B52="NA",$B52="na"),0,SUM(
COUNTIFS('G. de Incidentes'!$G$18:$G$1024,"Error",'G. de Incidentes'!$F$18:$F$1024,"Alta",'G. de Incidentes'!$O$18:$O$1024,"Funcionalidad",'G. de Incidentes'!$D$18:$D$1024,$B52,'G. de Incidentes'!$H$18:$H$1024,"Si"),
COUNTIFS('G. de Incidentes'!$G$18:$G$1024,"Error",'G. de Incidentes'!$F$18:$F$1024,"Alta",'G. de Incidentes'!$O$18:$O$1024,"Rendimiento",'G. de Incidentes'!$D$18:$D$1024,$B52,'G. de Incidentes'!$H$18:$H$1024,"Si"),
COUNTIFS('G. de Incidentes'!$G$18:$G$1024,"Error",'G. de Incidentes'!$F$18:$F$1024,"Alta",'G. de Incidentes'!$O$18:$O$1024,"Seguridad",'G. de Incidentes'!$D$18:$D$1024,$B52,'G. de Incidentes'!$H$18:$H$1024,"Si"),
COUNTIFS('G. de Incidentes'!$G$18:$G$1024,"Error",'G. de Incidentes'!$F$18:$F$1024,"Alta",'G. de Incidentes'!$O$18:$O$1024,"Documentación",'G. de Incidentes'!$D$18:$D$1024,$B52,'G. de Incidentes'!$H$18:$H$1024,"Si"),
COUNTIFS('G. de Incidentes'!$G$18:$G$1024,"Error",'G. de Incidentes'!$F$18:$F$1024,"Alta",'G. de Incidentes'!$O$18:$O$1024,"Presentación",'G. de Incidentes'!$D$18:$D$1024,$B52,'G. de Incidentes'!$H$18:$H$1024,"Si")))</f>
        <v>0</v>
      </c>
      <c r="E52" s="594"/>
      <c r="F52" s="178">
        <f>IF(OR($B52="No Aplica",$B52="",$B52="N/A",$B52="NA",$B52="na"),0,SUM(
COUNTIFS('G. de Incidentes'!$G$18:$G$1024,"Error",'G. de Incidentes'!$F$18:$F$1024,"Media",'G. de Incidentes'!$O$18:$O$1024,"Funcionalidad",'G. de Incidentes'!$D$18:$D$1024,$B52,'G. de Incidentes'!$H$18:$H$1024,"Si"),
COUNTIFS('G. de Incidentes'!$G$18:$G$1024,"Error",'G. de Incidentes'!$F$18:$F$1024,"Media",'G. de Incidentes'!$O$18:$O$1024,"Rendimiento",'G. de Incidentes'!$D$18:$D$1024,$B52,'G. de Incidentes'!$H$18:$H$1024,"Si"),
COUNTIFS('G. de Incidentes'!$G$18:$G$1024,"Error",'G. de Incidentes'!$F$18:$F$1024,"Media",'G. de Incidentes'!$O$18:$O$1024,"Seguridad",'G. de Incidentes'!$D$18:$D$1024,$B52,'G. de Incidentes'!$H$18:$H$1024,"Si"),
COUNTIFS('G. de Incidentes'!$G$18:$G$1024,"Error",'G. de Incidentes'!$F$18:$F$1024,"Media",'G. de Incidentes'!$O$18:$O$1024,"Documentación",'G. de Incidentes'!$D$18:$D$1024,$B52,'G. de Incidentes'!$H$18:$H$1024,"Si"),
COUNTIFS('G. de Incidentes'!$G$18:$G$1024,"Error",'G. de Incidentes'!$F$18:$F$1024,"Media",'G. de Incidentes'!$O$18:$O$1024,"Presentación",'G. de Incidentes'!$D$18:$D$1024,$B52,'G. de Incidentes'!$H$18:$H$1024,"Si")))</f>
        <v>0</v>
      </c>
      <c r="G52" s="178">
        <f>IF(OR($B52="No Aplica",$B52="",$B52="N/A",$B52="NA",$B52="na"),0,SUM(
COUNTIFS('G. de Incidentes'!$G$18:$G$1024,"Error",'G. de Incidentes'!$F$18:$F$1024,"Baja",'G. de Incidentes'!$O$18:$O$1024,"Funcionalidad",'G. de Incidentes'!$D$18:$D$1024,$B52,'G. de Incidentes'!$H$18:$H$1024,"Si"),
COUNTIFS('G. de Incidentes'!$G$18:$G$1024,"Error",'G. de Incidentes'!$F$18:$F$1024,"Baja",'G. de Incidentes'!$O$18:$O$1024,"Rendimiento",'G. de Incidentes'!$D$18:$D$1024,$B52,'G. de Incidentes'!$H$18:$H$1024,"Si"),
COUNTIFS('G. de Incidentes'!$G$18:$G$1024,"Error",'G. de Incidentes'!$F$18:$F$1024,"Baja",'G. de Incidentes'!$O$18:$O$1024,"Seguridad",'G. de Incidentes'!$D$18:$D$1024,$B52,'G. de Incidentes'!$H$18:$H$1024,"Si"),
COUNTIFS('G. de Incidentes'!$G$18:$G$1024,"Error",'G. de Incidentes'!$F$18:$F$1024,"Baja",'G. de Incidentes'!$O$18:$O$1024,"Documentación",'G. de Incidentes'!$D$18:$D$1024,$B52,'G. de Incidentes'!$H$18:$H$1024,"Si"),
COUNTIFS('G. de Incidentes'!$G$18:$G$1024,"Error",'G. de Incidentes'!$F$18:$F$1024,"Baja",'G. de Incidentes'!$O$18:$O$1024,"Presentación",'G. de Incidentes'!$D$18:$D$1024,$B52,'G. de Incidentes'!$H$18:$H$1024,"Si")))</f>
        <v>0</v>
      </c>
      <c r="H52" s="178">
        <f>IF(OR($B52="No Aplica",$B52="",$B52="N/A",$B52="NA",$B52="na"),0,SUM(
COUNTIFS('G. de Incidentes'!$G$18:$G$1024,"Error",'G. de Incidentes'!$P$18:$P$1024,"Si",'G. de Incidentes'!$O$18:$O$1024,"Funcionalidad",'G. de Incidentes'!$D$18:$D$1024,$B52),
COUNTIFS('G. de Incidentes'!$G$18:$G$1024,"Error",'G. de Incidentes'!$P$18:$P$1024,"Si",'G. de Incidentes'!$O$18:$O$1024,"Rendimiento",'G. de Incidentes'!$D$18:$D$1024,$B52),
COUNTIFS('G. de Incidentes'!$G$18:$G$1024,"Error",'G. de Incidentes'!$P$18:$P$1024,"Si",'G. de Incidentes'!$O$18:$O$1024,"Seguridad",'G. de Incidentes'!$D$18:$D$1024,$B52),
COUNTIFS('G. de Incidentes'!$G$18:$G$1024,"Error",'G. de Incidentes'!$P$18:$P$1024,"Si",'G. de Incidentes'!$O$18:$O$1024,"Documetación",'G. de Incidentes'!$D$18:$D$1024,$B52),
COUNTIFS('G. de Incidentes'!$G$18:$G$1024,"Error",'G. de Incidentes'!$P$18:$P$1024,"Si",'G. de Incidentes'!$O$18:$O$1024,"Presentación",'G. de Incidentes'!$D$18:$D$1024,$B52)))</f>
        <v>0</v>
      </c>
      <c r="I52" s="593">
        <f>IF(OR($B52="No Aplica",$B52="",$B52="N/A",$B52="NA",$B52="na"),0,COUNTIFS(Diseño!$A$11:$A$2005,$B52,Diseño!$E$11:$E$2005,"&gt;0"))</f>
        <v>0</v>
      </c>
      <c r="J52" s="593"/>
      <c r="K52" s="177">
        <f>IF(OR($B52="No Aplica",$B52="",$B52="N/A",$B52="NA",$B52="na"),0,COUNTIFS(Diseño!$A$11:$A$2005,$B52,Diseño!$M$11:$M$2005,"Fallido")+COUNTIFS(Diseño!$A$11:$A$2005,$B52,Diseño!$M$11:$M$2005,"Exitoso")+COUNTIFS(Diseño!$A$11:$A$2005,$B52,Diseño!$M$11:$M$2005,"No aplica")+COUNTIFS(Diseño!$A$11:$A$2005,$B52,Diseño!$M$11:$M$2005,"No se pudo ejecutar"))</f>
        <v>0</v>
      </c>
      <c r="L52" s="177">
        <f>IF(OR($B52="No Aplica",$B52="",$B52="N/A",$B52="NA",$B52="na"),0,IF(Avance!AB12&lt;=3,1,(Avance!AB12/(3))*(Avance!AB12-3)))</f>
        <v>1</v>
      </c>
      <c r="M52" s="596">
        <f>IF(OR($B52="No Aplica",$B52="",$B52="N/A",$B52="NA",$B52="na"),0,COUNTIFS(Diseño!$A$11:$A$984,$B52,Diseño!$E$11:$E$984,"&gt;0",Diseño!$F$11:$F$984,"Alto",Diseño!$M$11:$M$984,"Fallido"))</f>
        <v>0</v>
      </c>
      <c r="N52" s="596"/>
      <c r="O52" s="176">
        <f>IF(OR($B52="No Aplica",$B52="",$B52="N/A",$B52="NA",$B52="na"),0,COUNTIFS(Diseño!$A$11:$A$984,$B52,Diseño!$E$11:$E$984,"&gt;0",Diseño!$F$11:$F$984,"Medio",Diseño!$M$11:$M$984,"Fallido"))</f>
        <v>0</v>
      </c>
      <c r="P52" s="176">
        <f>IF(OR($B52="No Aplica",$B52="",$B52="N/A",$B52="NA",$B52="na"),0,COUNTIFS(Diseño!$A$11:$A$984,$B52,Diseño!$E$11:$E$984,"&gt;0",Diseño!$F$11:$F$984,"Bajo",Diseño!$M$11:$M$984,"Fallido"))</f>
        <v>0</v>
      </c>
    </row>
    <row r="53" spans="1:36" x14ac:dyDescent="0.35">
      <c r="A53" s="2"/>
      <c r="B53" s="107" t="str">
        <f>AO6</f>
        <v>Proveedor 3x</v>
      </c>
      <c r="C53" s="178">
        <f>IF(OR($B53="No Aplica",$B53="",$B53="N/A",$B53="NA",$B53="na"),0,SUM(
COUNTIFS('G. de Incidentes'!$G$18:$G$1024,"Error",'G. de Incidentes'!$F$18:$F$1024,"Stopper",'G. de Incidentes'!$O$18:$O$1024,"Funcionalidad",'G. de Incidentes'!$D$18:$D$1024,$B53,'G. de Incidentes'!$H$18:$H$1024,"Si"),
COUNTIFS('G. de Incidentes'!$G$18:$G$1024,"Error",'G. de Incidentes'!$F$18:$F$1024,"Stopper",'G. de Incidentes'!$O$18:$O$1024,"Rendimiento",'G. de Incidentes'!$D$18:$D$1024,$B53,'G. de Incidentes'!$H$18:$H$1024,"Si"),
COUNTIFS('G. de Incidentes'!$G$18:$G$1024,"Error",'G. de Incidentes'!$F$18:$F$1024,"Stopper",'G. de Incidentes'!$O$18:$O$1024,"Seguridad",'G. de Incidentes'!$D$18:$D$1024,$B53,'G. de Incidentes'!$H$18:$H$1024,"Si"),
COUNTIFS('G. de Incidentes'!$G$18:$G$1024,"Error",'G. de Incidentes'!$F$18:$F$1024,"Stopper",'G. de Incidentes'!$O$18:$O$1024,"Documentación",'G. de Incidentes'!$D$18:$D$1024,$B53,'G. de Incidentes'!$H$18:$H$1024,"Si"),
COUNTIFS('G. de Incidentes'!$G$18:$G$1024,"Error",'G. de Incidentes'!$F$18:$F$1024,"Stopper",'G. de Incidentes'!$O$18:$O$1024,"Presentación",'G. de Incidentes'!$D$18:$D$1024,$B53,'G. de Incidentes'!$H$18:$H$1024,"Si")))</f>
        <v>0</v>
      </c>
      <c r="D53" s="594">
        <f>IF(OR($B53="No Aplica",$B53="",$B53="N/A",$B53="NA",$B53="na"),0,SUM(
COUNTIFS('G. de Incidentes'!$G$18:$G$1024,"Error",'G. de Incidentes'!$F$18:$F$1024,"Alta",'G. de Incidentes'!$O$18:$O$1024,"Funcionalidad",'G. de Incidentes'!$D$18:$D$1024,$B53,'G. de Incidentes'!$H$18:$H$1024,"Si"),
COUNTIFS('G. de Incidentes'!$G$18:$G$1024,"Error",'G. de Incidentes'!$F$18:$F$1024,"Alta",'G. de Incidentes'!$O$18:$O$1024,"Rendimiento",'G. de Incidentes'!$D$18:$D$1024,$B53,'G. de Incidentes'!$H$18:$H$1024,"Si"),
COUNTIFS('G. de Incidentes'!$G$18:$G$1024,"Error",'G. de Incidentes'!$F$18:$F$1024,"Alta",'G. de Incidentes'!$O$18:$O$1024,"Seguridad",'G. de Incidentes'!$D$18:$D$1024,$B53,'G. de Incidentes'!$H$18:$H$1024,"Si"),
COUNTIFS('G. de Incidentes'!$G$18:$G$1024,"Error",'G. de Incidentes'!$F$18:$F$1024,"Alta",'G. de Incidentes'!$O$18:$O$1024,"Documentación",'G. de Incidentes'!$D$18:$D$1024,$B53,'G. de Incidentes'!$H$18:$H$1024,"Si"),
COUNTIFS('G. de Incidentes'!$G$18:$G$1024,"Error",'G. de Incidentes'!$F$18:$F$1024,"Alta",'G. de Incidentes'!$O$18:$O$1024,"Presentación",'G. de Incidentes'!$D$18:$D$1024,$B53,'G. de Incidentes'!$H$18:$H$1024,"Si")))</f>
        <v>0</v>
      </c>
      <c r="E53" s="594"/>
      <c r="F53" s="178">
        <f>IF(OR($B53="No Aplica",$B53="",$B53="N/A",$B53="NA",$B53="na"),0,SUM(
COUNTIFS('G. de Incidentes'!$G$18:$G$1024,"Error",'G. de Incidentes'!$F$18:$F$1024,"Media",'G. de Incidentes'!$O$18:$O$1024,"Funcionalidad",'G. de Incidentes'!$D$18:$D$1024,$B53,'G. de Incidentes'!$H$18:$H$1024,"Si"),
COUNTIFS('G. de Incidentes'!$G$18:$G$1024,"Error",'G. de Incidentes'!$F$18:$F$1024,"Media",'G. de Incidentes'!$O$18:$O$1024,"Rendimiento",'G. de Incidentes'!$D$18:$D$1024,$B53,'G. de Incidentes'!$H$18:$H$1024,"Si"),
COUNTIFS('G. de Incidentes'!$G$18:$G$1024,"Error",'G. de Incidentes'!$F$18:$F$1024,"Media",'G. de Incidentes'!$O$18:$O$1024,"Seguridad",'G. de Incidentes'!$D$18:$D$1024,$B53,'G. de Incidentes'!$H$18:$H$1024,"Si"),
COUNTIFS('G. de Incidentes'!$G$18:$G$1024,"Error",'G. de Incidentes'!$F$18:$F$1024,"Media",'G. de Incidentes'!$O$18:$O$1024,"Documentación",'G. de Incidentes'!$D$18:$D$1024,$B53,'G. de Incidentes'!$H$18:$H$1024,"Si"),
COUNTIFS('G. de Incidentes'!$G$18:$G$1024,"Error",'G. de Incidentes'!$F$18:$F$1024,"Media",'G. de Incidentes'!$O$18:$O$1024,"Presentación",'G. de Incidentes'!$D$18:$D$1024,$B53,'G. de Incidentes'!$H$18:$H$1024,"Si")))</f>
        <v>0</v>
      </c>
      <c r="G53" s="178">
        <f>IF(OR($B53="No Aplica",$B53="",$B53="N/A",$B53="NA",$B53="na"),0,SUM(
COUNTIFS('G. de Incidentes'!$G$18:$G$1024,"Error",'G. de Incidentes'!$F$18:$F$1024,"Baja",'G. de Incidentes'!$O$18:$O$1024,"Funcionalidad",'G. de Incidentes'!$D$18:$D$1024,$B53,'G. de Incidentes'!$H$18:$H$1024,"Si"),
COUNTIFS('G. de Incidentes'!$G$18:$G$1024,"Error",'G. de Incidentes'!$F$18:$F$1024,"Baja",'G. de Incidentes'!$O$18:$O$1024,"Rendimiento",'G. de Incidentes'!$D$18:$D$1024,$B53,'G. de Incidentes'!$H$18:$H$1024,"Si"),
COUNTIFS('G. de Incidentes'!$G$18:$G$1024,"Error",'G. de Incidentes'!$F$18:$F$1024,"Baja",'G. de Incidentes'!$O$18:$O$1024,"Seguridad",'G. de Incidentes'!$D$18:$D$1024,$B53,'G. de Incidentes'!$H$18:$H$1024,"Si"),
COUNTIFS('G. de Incidentes'!$G$18:$G$1024,"Error",'G. de Incidentes'!$F$18:$F$1024,"Baja",'G. de Incidentes'!$O$18:$O$1024,"Documentación",'G. de Incidentes'!$D$18:$D$1024,$B53,'G. de Incidentes'!$H$18:$H$1024,"Si"),
COUNTIFS('G. de Incidentes'!$G$18:$G$1024,"Error",'G. de Incidentes'!$F$18:$F$1024,"Baja",'G. de Incidentes'!$O$18:$O$1024,"Presentación",'G. de Incidentes'!$D$18:$D$1024,$B53,'G. de Incidentes'!$H$18:$H$1024,"Si")))</f>
        <v>0</v>
      </c>
      <c r="H53" s="178">
        <f>IF(OR($B53="No Aplica",$B53="",$B53="N/A",$B53="NA",$B53="na"),0,SUM(
COUNTIFS('G. de Incidentes'!$G$18:$G$1024,"Error",'G. de Incidentes'!$P$18:$P$1024,"Si",'G. de Incidentes'!$O$18:$O$1024,"Funcionalidad",'G. de Incidentes'!$D$18:$D$1024,$B53),
COUNTIFS('G. de Incidentes'!$G$18:$G$1024,"Error",'G. de Incidentes'!$P$18:$P$1024,"Si",'G. de Incidentes'!$O$18:$O$1024,"Rendimiento",'G. de Incidentes'!$D$18:$D$1024,$B53),
COUNTIFS('G. de Incidentes'!$G$18:$G$1024,"Error",'G. de Incidentes'!$P$18:$P$1024,"Si",'G. de Incidentes'!$O$18:$O$1024,"Seguridad",'G. de Incidentes'!$D$18:$D$1024,$B53),
COUNTIFS('G. de Incidentes'!$G$18:$G$1024,"Error",'G. de Incidentes'!$P$18:$P$1024,"Si",'G. de Incidentes'!$O$18:$O$1024,"Documetación",'G. de Incidentes'!$D$18:$D$1024,$B53),
COUNTIFS('G. de Incidentes'!$G$18:$G$1024,"Error",'G. de Incidentes'!$P$18:$P$1024,"Si",'G. de Incidentes'!$O$18:$O$1024,"Presentación",'G. de Incidentes'!$D$18:$D$1024,$B53)))</f>
        <v>0</v>
      </c>
      <c r="I53" s="593">
        <f>IF(OR($B53="No Aplica",$B53="",$B53="N/A",$B53="NA",$B53="na"),0,COUNTIFS(Diseño!$A$11:$A$2005,$B53,Diseño!$E$11:$E$2005,"&gt;0"))</f>
        <v>0</v>
      </c>
      <c r="J53" s="593"/>
      <c r="K53" s="177">
        <f>IF(OR($B53="No Aplica",$B53="",$B53="N/A",$B53="NA",$B53="na"),0,COUNTIFS(Diseño!$A$11:$A$2005,$B53,Diseño!$M$11:$M$2005,"Fallido")+COUNTIFS(Diseño!$A$11:$A$2005,$B53,Diseño!$M$11:$M$2005,"Exitoso")+COUNTIFS(Diseño!$A$11:$A$2005,$B53,Diseño!$M$11:$M$2005,"No aplica")+COUNTIFS(Diseño!$A$11:$A$2005,$B53,Diseño!$M$11:$M$2005,"No se pudo ejecutar"))</f>
        <v>0</v>
      </c>
      <c r="L53" s="177">
        <f>IF(OR($B53="No Aplica",$B53="",$B53="N/A",$B53="NA",$B53="na"),0,IF(Avance!AB13&lt;=3,1,(Avance!AB13/(3))*(Avance!AB13-3)))</f>
        <v>1</v>
      </c>
      <c r="M53" s="596">
        <f>IF(OR($B53="No Aplica",$B53="",$B53="N/A",$B53="NA",$B53="na"),0,COUNTIFS(Diseño!$A$11:$A$984,$B53,Diseño!$E$11:$E$984,"&gt;0",Diseño!$F$11:$F$984,"Alto",Diseño!$M$11:$M$984,"Fallido"))</f>
        <v>0</v>
      </c>
      <c r="N53" s="596"/>
      <c r="O53" s="176">
        <f>IF(OR($B53="No Aplica",$B53="",$B53="N/A",$B53="NA",$B53="na"),0,COUNTIFS(Diseño!$A$11:$A$984,$B53,Diseño!$E$11:$E$984,"&gt;0",Diseño!$F$11:$F$984,"Medio",Diseño!$M$11:$M$984,"Fallido"))</f>
        <v>0</v>
      </c>
      <c r="P53" s="176">
        <f>IF(OR($B53="No Aplica",$B53="",$B53="N/A",$B53="NA",$B53="na"),0,COUNTIFS(Diseño!$A$11:$A$984,$B53,Diseño!$E$11:$E$984,"&gt;0",Diseño!$F$11:$F$984,"Bajo",Diseño!$M$11:$M$984,"Fallido"))</f>
        <v>0</v>
      </c>
    </row>
    <row r="54" spans="1:36" x14ac:dyDescent="0.35">
      <c r="A54" s="2"/>
      <c r="B54" s="107">
        <f>AO7</f>
        <v>0</v>
      </c>
      <c r="C54" s="178">
        <f>IF(OR($B54="No Aplica",$B54="",$B54="N/A",$B54="NA",$B54="na"),0,SUM(
COUNTIFS('G. de Incidentes'!$G$18:$G$1024,"Error",'G. de Incidentes'!$F$18:$F$1024,"Stopper",'G. de Incidentes'!$O$18:$O$1024,"Funcionalidad",'G. de Incidentes'!$D$18:$D$1024,$B54,'G. de Incidentes'!$H$18:$H$1024,"Si"),
COUNTIFS('G. de Incidentes'!$G$18:$G$1024,"Error",'G. de Incidentes'!$F$18:$F$1024,"Stopper",'G. de Incidentes'!$O$18:$O$1024,"Rendimiento",'G. de Incidentes'!$D$18:$D$1024,$B54,'G. de Incidentes'!$H$18:$H$1024,"Si"),
COUNTIFS('G. de Incidentes'!$G$18:$G$1024,"Error",'G. de Incidentes'!$F$18:$F$1024,"Stopper",'G. de Incidentes'!$O$18:$O$1024,"Seguridad",'G. de Incidentes'!$D$18:$D$1024,$B54,'G. de Incidentes'!$H$18:$H$1024,"Si"),
COUNTIFS('G. de Incidentes'!$G$18:$G$1024,"Error",'G. de Incidentes'!$F$18:$F$1024,"Stopper",'G. de Incidentes'!$O$18:$O$1024,"Documentación",'G. de Incidentes'!$D$18:$D$1024,$B54,'G. de Incidentes'!$H$18:$H$1024,"Si"),
COUNTIFS('G. de Incidentes'!$G$18:$G$1024,"Error",'G. de Incidentes'!$F$18:$F$1024,"Stopper",'G. de Incidentes'!$O$18:$O$1024,"Presentación",'G. de Incidentes'!$D$18:$D$1024,$B54,'G. de Incidentes'!$H$18:$H$1024,"Si")))</f>
        <v>0</v>
      </c>
      <c r="D54" s="594">
        <f>IF(OR($B54="No Aplica",$B54="",$B54="N/A",$B54="NA",$B54="na"),0,SUM(
COUNTIFS('G. de Incidentes'!$G$18:$G$1024,"Error",'G. de Incidentes'!$F$18:$F$1024,"Alta",'G. de Incidentes'!$O$18:$O$1024,"Funcionalidad",'G. de Incidentes'!$D$18:$D$1024,$B54,'G. de Incidentes'!$H$18:$H$1024,"Si"),
COUNTIFS('G. de Incidentes'!$G$18:$G$1024,"Error",'G. de Incidentes'!$F$18:$F$1024,"Alta",'G. de Incidentes'!$O$18:$O$1024,"Rendimiento",'G. de Incidentes'!$D$18:$D$1024,$B54,'G. de Incidentes'!$H$18:$H$1024,"Si"),
COUNTIFS('G. de Incidentes'!$G$18:$G$1024,"Error",'G. de Incidentes'!$F$18:$F$1024,"Alta",'G. de Incidentes'!$O$18:$O$1024,"Seguridad",'G. de Incidentes'!$D$18:$D$1024,$B54,'G. de Incidentes'!$H$18:$H$1024,"Si"),
COUNTIFS('G. de Incidentes'!$G$18:$G$1024,"Error",'G. de Incidentes'!$F$18:$F$1024,"Alta",'G. de Incidentes'!$O$18:$O$1024,"Documentación",'G. de Incidentes'!$D$18:$D$1024,$B54,'G. de Incidentes'!$H$18:$H$1024,"Si"),
COUNTIFS('G. de Incidentes'!$G$18:$G$1024,"Error",'G. de Incidentes'!$F$18:$F$1024,"Alta",'G. de Incidentes'!$O$18:$O$1024,"Presentación",'G. de Incidentes'!$D$18:$D$1024,$B54,'G. de Incidentes'!$H$18:$H$1024,"Si")))</f>
        <v>0</v>
      </c>
      <c r="E54" s="594"/>
      <c r="F54" s="178">
        <f>IF(OR($B54="No Aplica",$B54="",$B54="N/A",$B54="NA",$B54="na"),0,SUM(
COUNTIFS('G. de Incidentes'!$G$18:$G$1024,"Error",'G. de Incidentes'!$F$18:$F$1024,"Media",'G. de Incidentes'!$O$18:$O$1024,"Funcionalidad",'G. de Incidentes'!$D$18:$D$1024,$B54,'G. de Incidentes'!$H$18:$H$1024,"Si"),
COUNTIFS('G. de Incidentes'!$G$18:$G$1024,"Error",'G. de Incidentes'!$F$18:$F$1024,"Media",'G. de Incidentes'!$O$18:$O$1024,"Rendimiento",'G. de Incidentes'!$D$18:$D$1024,$B54,'G. de Incidentes'!$H$18:$H$1024,"Si"),
COUNTIFS('G. de Incidentes'!$G$18:$G$1024,"Error",'G. de Incidentes'!$F$18:$F$1024,"Media",'G. de Incidentes'!$O$18:$O$1024,"Seguridad",'G. de Incidentes'!$D$18:$D$1024,$B54,'G. de Incidentes'!$H$18:$H$1024,"Si"),
COUNTIFS('G. de Incidentes'!$G$18:$G$1024,"Error",'G. de Incidentes'!$F$18:$F$1024,"Media",'G. de Incidentes'!$O$18:$O$1024,"Documentación",'G. de Incidentes'!$D$18:$D$1024,$B54,'G. de Incidentes'!$H$18:$H$1024,"Si"),
COUNTIFS('G. de Incidentes'!$G$18:$G$1024,"Error",'G. de Incidentes'!$F$18:$F$1024,"Media",'G. de Incidentes'!$O$18:$O$1024,"Presentación",'G. de Incidentes'!$D$18:$D$1024,$B54,'G. de Incidentes'!$H$18:$H$1024,"Si")))</f>
        <v>0</v>
      </c>
      <c r="G54" s="178">
        <f>IF(OR($B54="No Aplica",$B54="",$B54="N/A",$B54="NA",$B54="na"),0,SUM(
COUNTIFS('G. de Incidentes'!$G$18:$G$1024,"Error",'G. de Incidentes'!$F$18:$F$1024,"Baja",'G. de Incidentes'!$O$18:$O$1024,"Funcionalidad",'G. de Incidentes'!$D$18:$D$1024,$B54,'G. de Incidentes'!$H$18:$H$1024,"Si"),
COUNTIFS('G. de Incidentes'!$G$18:$G$1024,"Error",'G. de Incidentes'!$F$18:$F$1024,"Baja",'G. de Incidentes'!$O$18:$O$1024,"Rendimiento",'G. de Incidentes'!$D$18:$D$1024,$B54,'G. de Incidentes'!$H$18:$H$1024,"Si"),
COUNTIFS('G. de Incidentes'!$G$18:$G$1024,"Error",'G. de Incidentes'!$F$18:$F$1024,"Baja",'G. de Incidentes'!$O$18:$O$1024,"Seguridad",'G. de Incidentes'!$D$18:$D$1024,$B54,'G. de Incidentes'!$H$18:$H$1024,"Si"),
COUNTIFS('G. de Incidentes'!$G$18:$G$1024,"Error",'G. de Incidentes'!$F$18:$F$1024,"Baja",'G. de Incidentes'!$O$18:$O$1024,"Documentación",'G. de Incidentes'!$D$18:$D$1024,$B54,'G. de Incidentes'!$H$18:$H$1024,"Si"),
COUNTIFS('G. de Incidentes'!$G$18:$G$1024,"Error",'G. de Incidentes'!$F$18:$F$1024,"Baja",'G. de Incidentes'!$O$18:$O$1024,"Presentación",'G. de Incidentes'!$D$18:$D$1024,$B54,'G. de Incidentes'!$H$18:$H$1024,"Si")))</f>
        <v>0</v>
      </c>
      <c r="H54" s="178">
        <f>IF(OR($B54="No Aplica",$B54="",$B54="N/A",$B54="NA",$B54="na"),0,SUM(
COUNTIFS('G. de Incidentes'!$G$18:$G$1024,"Error",'G. de Incidentes'!$P$18:$P$1024,"Si",'G. de Incidentes'!$O$18:$O$1024,"Funcionalidad",'G. de Incidentes'!$D$18:$D$1024,$B54),
COUNTIFS('G. de Incidentes'!$G$18:$G$1024,"Error",'G. de Incidentes'!$P$18:$P$1024,"Si",'G. de Incidentes'!$O$18:$O$1024,"Rendimiento",'G. de Incidentes'!$D$18:$D$1024,$B54),
COUNTIFS('G. de Incidentes'!$G$18:$G$1024,"Error",'G. de Incidentes'!$P$18:$P$1024,"Si",'G. de Incidentes'!$O$18:$O$1024,"Seguridad",'G. de Incidentes'!$D$18:$D$1024,$B54),
COUNTIFS('G. de Incidentes'!$G$18:$G$1024,"Error",'G. de Incidentes'!$P$18:$P$1024,"Si",'G. de Incidentes'!$O$18:$O$1024,"Documetación",'G. de Incidentes'!$D$18:$D$1024,$B54),
COUNTIFS('G. de Incidentes'!$G$18:$G$1024,"Error",'G. de Incidentes'!$P$18:$P$1024,"Si",'G. de Incidentes'!$O$18:$O$1024,"Presentación",'G. de Incidentes'!$D$18:$D$1024,$B54)))</f>
        <v>0</v>
      </c>
      <c r="I54" s="593">
        <f>IF(OR($B54="No Aplica",$B54="",$B54="N/A",$B54="NA",$B54="na"),0,COUNTIFS(Diseño!$A$11:$A$2005,$B54,Diseño!$E$11:$E$2005,"&gt;0"))</f>
        <v>0</v>
      </c>
      <c r="J54" s="593"/>
      <c r="K54" s="177">
        <f>IF(OR($B54="No Aplica",$B54="",$B54="N/A",$B54="NA",$B54="na"),0,COUNTIFS(Diseño!$A$11:$A$2005,$B54,Diseño!$M$11:$M$2005,"Fallido")+COUNTIFS(Diseño!$A$11:$A$2005,$B54,Diseño!$M$11:$M$2005,"Exitoso")+COUNTIFS(Diseño!$A$11:$A$2005,$B54,Diseño!$M$11:$M$2005,"No aplica")+COUNTIFS(Diseño!$A$11:$A$2005,$B54,Diseño!$M$11:$M$2005,"No se pudo ejecutar"))</f>
        <v>0</v>
      </c>
      <c r="L54" s="177">
        <f>IF(OR($B54="No Aplica",$B54="",$B54="N/A",$B54="NA",$B54="na"),0,IF(Avance!AB14&lt;=3,1,(Avance!AB14/(3))*(Avance!AB14-3)))</f>
        <v>1</v>
      </c>
      <c r="M54" s="596">
        <f>IF(OR($B54="No Aplica",$B54="",$B54="N/A",$B54="NA",$B54="na"),0,COUNTIFS(Diseño!$A$11:$A$984,$B54,Diseño!$E$11:$E$984,"&gt;0",Diseño!$F$11:$F$984,"Alto",Diseño!$M$11:$M$984,"Fallido"))</f>
        <v>0</v>
      </c>
      <c r="N54" s="596"/>
      <c r="O54" s="176">
        <f>IF(OR($B54="No Aplica",$B54="",$B54="N/A",$B54="NA",$B54="na"),0,COUNTIFS(Diseño!$A$11:$A$984,$B54,Diseño!$E$11:$E$984,"&gt;0",Diseño!$F$11:$F$984,"Medio",Diseño!$M$11:$M$984,"Fallido"))</f>
        <v>0</v>
      </c>
      <c r="P54" s="176">
        <f>IF(OR($B54="No Aplica",$B54="",$B54="N/A",$B54="NA",$B54="na"),0,COUNTIFS(Diseño!$A$11:$A$984,$B54,Diseño!$E$11:$E$984,"&gt;0",Diseño!$F$11:$F$984,"Bajo",Diseño!$M$11:$M$984,"Fallido"))</f>
        <v>0</v>
      </c>
    </row>
    <row r="55" spans="1:36" x14ac:dyDescent="0.35">
      <c r="A55" s="2"/>
      <c r="B55" s="5"/>
      <c r="C55" s="5"/>
      <c r="D55" s="5"/>
      <c r="E55" s="5"/>
      <c r="F55" s="5"/>
      <c r="G55" s="5"/>
      <c r="H55" s="5"/>
      <c r="I55" s="5"/>
      <c r="J55" s="5"/>
      <c r="K55" s="5"/>
      <c r="L55" s="5"/>
      <c r="M55" s="5"/>
      <c r="N55" s="5"/>
      <c r="O55" s="5"/>
      <c r="P55" s="5"/>
    </row>
    <row r="56" spans="1:36" x14ac:dyDescent="0.35">
      <c r="A56" s="2"/>
      <c r="B56" s="5"/>
      <c r="C56" s="5"/>
      <c r="D56" s="5"/>
      <c r="E56" s="5"/>
      <c r="F56" s="5"/>
      <c r="G56" s="5"/>
      <c r="H56" s="5"/>
      <c r="I56" s="5"/>
      <c r="J56" s="5"/>
      <c r="K56" s="5"/>
      <c r="L56" s="5"/>
      <c r="M56" s="5"/>
      <c r="N56" s="5"/>
      <c r="O56" s="5"/>
      <c r="P56" s="5"/>
    </row>
    <row r="57" spans="1:36" x14ac:dyDescent="0.35">
      <c r="A57" s="2"/>
      <c r="B57" s="5"/>
      <c r="C57" s="5"/>
      <c r="D57" s="5"/>
      <c r="E57" s="5"/>
      <c r="F57" s="5"/>
      <c r="G57" s="5"/>
      <c r="H57" s="5"/>
      <c r="I57" s="5"/>
      <c r="J57" s="5"/>
      <c r="K57" s="5"/>
      <c r="L57" s="5"/>
      <c r="M57" s="5"/>
      <c r="N57" s="5"/>
      <c r="O57" s="5"/>
      <c r="P57" s="5"/>
    </row>
    <row r="58" spans="1:36" x14ac:dyDescent="0.35">
      <c r="A58" s="2"/>
      <c r="B58" s="5"/>
      <c r="C58" s="5"/>
      <c r="D58" s="5"/>
      <c r="E58" s="5"/>
      <c r="F58" s="5"/>
      <c r="G58" s="5"/>
      <c r="H58" s="5"/>
      <c r="I58" s="5"/>
      <c r="J58" s="5"/>
      <c r="K58" s="5"/>
      <c r="L58" s="5"/>
      <c r="M58" s="5"/>
      <c r="N58" s="5"/>
      <c r="O58" s="5"/>
      <c r="P58" s="5"/>
    </row>
    <row r="59" spans="1:36" x14ac:dyDescent="0.35">
      <c r="A59" s="2"/>
      <c r="B59" s="5"/>
      <c r="C59" s="5"/>
      <c r="D59" s="5"/>
      <c r="E59" s="5"/>
      <c r="F59" s="5"/>
      <c r="G59" s="5"/>
      <c r="H59" s="5"/>
      <c r="I59" s="5"/>
      <c r="J59" s="5"/>
      <c r="K59" s="5"/>
      <c r="L59" s="5"/>
      <c r="M59" s="5"/>
      <c r="N59" s="5"/>
      <c r="O59" s="5"/>
      <c r="P59" s="5"/>
    </row>
    <row r="60" spans="1:36" x14ac:dyDescent="0.35">
      <c r="A60" s="2"/>
      <c r="B60" s="5"/>
      <c r="C60" s="5"/>
      <c r="D60" s="5"/>
      <c r="E60" s="5"/>
      <c r="F60" s="5"/>
      <c r="G60" s="5"/>
      <c r="H60" s="5"/>
      <c r="I60" s="5"/>
      <c r="J60" s="5"/>
      <c r="K60" s="5"/>
      <c r="L60" s="5"/>
      <c r="M60" s="5"/>
      <c r="N60" s="5"/>
      <c r="O60" s="5"/>
      <c r="P60" s="5"/>
    </row>
    <row r="61" spans="1:36" x14ac:dyDescent="0.35">
      <c r="A61" s="2"/>
      <c r="B61" s="5"/>
      <c r="C61" s="5"/>
      <c r="D61" s="5"/>
      <c r="E61" s="5"/>
      <c r="F61" s="5"/>
      <c r="G61" s="5"/>
      <c r="H61" s="5"/>
      <c r="I61" s="5"/>
      <c r="J61" s="5"/>
      <c r="K61" s="5"/>
      <c r="L61" s="5"/>
      <c r="M61" s="5"/>
      <c r="N61" s="5"/>
      <c r="O61" s="5"/>
      <c r="P61" s="5"/>
    </row>
    <row r="62" spans="1:36" x14ac:dyDescent="0.35">
      <c r="B62" s="5"/>
      <c r="C62" s="10"/>
      <c r="D62" s="10"/>
      <c r="E62" s="10"/>
      <c r="F62" s="10"/>
      <c r="G62" s="10"/>
      <c r="H62" s="10"/>
      <c r="I62" s="10"/>
      <c r="J62" s="10"/>
      <c r="K62" s="10"/>
      <c r="L62" s="10"/>
      <c r="M62" s="10"/>
      <c r="N62" s="10"/>
      <c r="O62" s="10"/>
      <c r="P62" s="10"/>
      <c r="Q62" s="4"/>
      <c r="R62" s="4"/>
      <c r="S62" s="4"/>
      <c r="T62" s="4"/>
      <c r="U62" s="4"/>
      <c r="V62" s="4"/>
      <c r="W62" s="4"/>
      <c r="X62" s="4"/>
      <c r="Y62" s="4"/>
      <c r="Z62" s="4"/>
      <c r="AA62" s="4"/>
      <c r="AB62" s="4"/>
      <c r="AC62" s="4"/>
      <c r="AD62" s="4"/>
      <c r="AE62" s="4"/>
      <c r="AF62" s="4"/>
      <c r="AG62" s="4"/>
      <c r="AH62" s="4"/>
      <c r="AI62" s="4"/>
    </row>
    <row r="63" spans="1:36" ht="21" customHeight="1" x14ac:dyDescent="0.35">
      <c r="B63" s="13"/>
      <c r="C63" s="629" t="s">
        <v>144</v>
      </c>
      <c r="D63" s="629"/>
      <c r="E63" s="629"/>
      <c r="F63" s="629"/>
      <c r="G63" s="629"/>
      <c r="H63" s="629" t="s">
        <v>143</v>
      </c>
      <c r="I63" s="629"/>
      <c r="J63" s="629"/>
      <c r="K63" s="629"/>
      <c r="L63" s="629"/>
      <c r="M63" s="629" t="s">
        <v>146</v>
      </c>
      <c r="N63" s="629"/>
      <c r="O63" s="629"/>
      <c r="P63" s="629"/>
      <c r="Q63" s="629"/>
      <c r="R63" s="629"/>
      <c r="S63" s="629" t="s">
        <v>145</v>
      </c>
      <c r="T63" s="629"/>
      <c r="U63" s="629"/>
      <c r="V63" s="629"/>
      <c r="W63" s="629"/>
      <c r="X63" s="629"/>
      <c r="Y63" s="629"/>
      <c r="Z63" s="629"/>
      <c r="AA63" s="629" t="s">
        <v>141</v>
      </c>
      <c r="AB63" s="629"/>
      <c r="AC63" s="629"/>
      <c r="AD63" s="629"/>
      <c r="AE63" s="629"/>
      <c r="AF63" s="629"/>
      <c r="AG63" s="629"/>
      <c r="AH63" s="629"/>
      <c r="AI63" s="3"/>
      <c r="AJ63" s="3"/>
    </row>
    <row r="64" spans="1:36" ht="15" customHeight="1" x14ac:dyDescent="0.35">
      <c r="A64" s="2"/>
      <c r="B64" s="131" t="s">
        <v>150</v>
      </c>
      <c r="C64" s="142" t="s">
        <v>221</v>
      </c>
      <c r="D64" s="591" t="s">
        <v>22</v>
      </c>
      <c r="E64" s="591"/>
      <c r="F64" s="142" t="s">
        <v>21</v>
      </c>
      <c r="G64" s="142" t="s">
        <v>20</v>
      </c>
      <c r="H64" s="142" t="s">
        <v>221</v>
      </c>
      <c r="I64" s="591" t="s">
        <v>22</v>
      </c>
      <c r="J64" s="591"/>
      <c r="K64" s="142" t="s">
        <v>21</v>
      </c>
      <c r="L64" s="142" t="s">
        <v>20</v>
      </c>
      <c r="M64" s="591" t="s">
        <v>221</v>
      </c>
      <c r="N64" s="591"/>
      <c r="O64" s="142" t="s">
        <v>22</v>
      </c>
      <c r="P64" s="142" t="s">
        <v>21</v>
      </c>
      <c r="Q64" s="591" t="s">
        <v>20</v>
      </c>
      <c r="R64" s="591"/>
      <c r="S64" s="142" t="s">
        <v>221</v>
      </c>
      <c r="T64" s="591" t="s">
        <v>22</v>
      </c>
      <c r="U64" s="591"/>
      <c r="V64" s="130" t="s">
        <v>22</v>
      </c>
      <c r="W64" s="591" t="s">
        <v>21</v>
      </c>
      <c r="X64" s="591"/>
      <c r="Y64" s="591"/>
      <c r="Z64" s="142" t="s">
        <v>20</v>
      </c>
      <c r="AA64" s="591" t="s">
        <v>221</v>
      </c>
      <c r="AB64" s="591"/>
      <c r="AC64" s="591" t="s">
        <v>22</v>
      </c>
      <c r="AD64" s="591"/>
      <c r="AE64" s="591" t="s">
        <v>21</v>
      </c>
      <c r="AF64" s="591"/>
      <c r="AG64" s="591"/>
      <c r="AH64" s="142" t="s">
        <v>20</v>
      </c>
      <c r="AI64" s="3"/>
      <c r="AJ64" s="3"/>
    </row>
    <row r="65" spans="1:36" x14ac:dyDescent="0.35">
      <c r="A65" s="2"/>
      <c r="B65" s="132" t="s">
        <v>10</v>
      </c>
      <c r="C65" s="179" t="s">
        <v>65</v>
      </c>
      <c r="D65" s="628" t="s">
        <v>65</v>
      </c>
      <c r="E65" s="628"/>
      <c r="F65" s="179" t="s">
        <v>65</v>
      </c>
      <c r="G65" s="179" t="s">
        <v>65</v>
      </c>
      <c r="H65" s="179" t="s">
        <v>65</v>
      </c>
      <c r="I65" s="628" t="s">
        <v>65</v>
      </c>
      <c r="J65" s="628"/>
      <c r="K65" s="179" t="s">
        <v>65</v>
      </c>
      <c r="L65" s="179" t="s">
        <v>65</v>
      </c>
      <c r="M65" s="628" t="s">
        <v>65</v>
      </c>
      <c r="N65" s="628"/>
      <c r="O65" s="179" t="s">
        <v>65</v>
      </c>
      <c r="P65" s="179" t="s">
        <v>65</v>
      </c>
      <c r="Q65" s="628" t="s">
        <v>65</v>
      </c>
      <c r="R65" s="628"/>
      <c r="S65" s="179" t="s">
        <v>65</v>
      </c>
      <c r="T65" s="628" t="s">
        <v>65</v>
      </c>
      <c r="U65" s="628"/>
      <c r="V65" s="628" t="s">
        <v>65</v>
      </c>
      <c r="W65" s="628"/>
      <c r="X65" s="628"/>
      <c r="Y65" s="628"/>
      <c r="Z65" s="179" t="s">
        <v>65</v>
      </c>
      <c r="AA65" s="628" t="s">
        <v>65</v>
      </c>
      <c r="AB65" s="628"/>
      <c r="AC65" s="628" t="s">
        <v>65</v>
      </c>
      <c r="AD65" s="628"/>
      <c r="AE65" s="628" t="s">
        <v>65</v>
      </c>
      <c r="AF65" s="628"/>
      <c r="AG65" s="628"/>
      <c r="AH65" s="179" t="s">
        <v>65</v>
      </c>
      <c r="AI65" s="3"/>
      <c r="AJ65" s="3"/>
    </row>
    <row r="66" spans="1:36" x14ac:dyDescent="0.35">
      <c r="A66" s="2"/>
      <c r="B66" s="107" t="str">
        <f>AO4</f>
        <v>Proveedor 1x</v>
      </c>
      <c r="C66" s="180">
        <f>IF(OR($B66="No Aplica",$B66="",$B66="N/A",$B66="NA",$B66="na"),0,COUNTIFS('G. de Incidentes'!$G$18:$G$1024,"Error",'G. de Incidentes'!$F$18:$F$1024,"Stopper",'G. de Incidentes'!$O$18:$O$1024,"Funcionalidad",'G. de Incidentes'!$D$18:$D$1024,$B66,'G. de Incidentes'!$H$18:$H$1024,"Si"))</f>
        <v>0</v>
      </c>
      <c r="D66" s="628">
        <f>IF(OR($B66="No Aplica",$B66="",$B66="N/A",$B66="NA",$B66="na"),0,COUNTIFS('G. de Incidentes'!$G$18:$G$1024,"Error",'G. de Incidentes'!$F$18:$F$1024,"Alta",'G. de Incidentes'!$O$18:$O$1024,"Funcionalidad",'G. de Incidentes'!$D$18:$D$1024,$B66,'G. de Incidentes'!$H$18:$H$1024,"Si"))</f>
        <v>0</v>
      </c>
      <c r="E66" s="628"/>
      <c r="F66" s="180">
        <f>IF(OR($B66="No Aplica",$B66="",$B66="N/A",$B66="NA",$B66="na"),0,COUNTIFS('G. de Incidentes'!$G$18:$G$1024,"Error",'G. de Incidentes'!$F$18:$F$1024,"Media",'G. de Incidentes'!$O$18:$O$1024,"Funcionalidad",'G. de Incidentes'!$D$18:$D$1024,$B66,'G. de Incidentes'!$H$18:$H$1024,"Si"))</f>
        <v>0</v>
      </c>
      <c r="G66" s="180">
        <f>IF(OR($B66="No Aplica",$B66="",$B66="N/A",$B66="NA",$B66="na"),0,COUNTIFS('G. de Incidentes'!$G$18:$G$1024,"Error",'G. de Incidentes'!$F$18:$F$1024,"Baja",'G. de Incidentes'!$O$18:$O$1024,"Funcionalidad",'G. de Incidentes'!$D$18:$D$1024,$B66,'G. de Incidentes'!$H$18:$H$1024,"Si"))</f>
        <v>0</v>
      </c>
      <c r="H66" s="180">
        <f>IF(OR($B66="No Aplica",$B66="",$B66="N/A",$B66="NA",$B66="na"),0,COUNTIFS('G. de Incidentes'!$G$18:$G$1024,"Error",'G. de Incidentes'!$F$18:$F$1024,"Stopper",'G. de Incidentes'!$O$18:$O$1024,"Documentación",'G. de Incidentes'!$D$18:$D$1024,$B66,'G. de Incidentes'!$H$18:$H$1024,"Si"))</f>
        <v>0</v>
      </c>
      <c r="I66" s="628">
        <f>IF(OR($B66="No Aplica",$B66="",$B66="N/A",$B66="NA",$B66="na"),0,COUNTIFS('G. de Incidentes'!$G$18:$G$1024,"Error",'G. de Incidentes'!$F$18:$F$1024,"Alta",'G. de Incidentes'!$O$18:$O$1024,"Documentación",'G. de Incidentes'!$D$18:$D$1024,$B66,'G. de Incidentes'!$H$18:$H$1024,"Si"))</f>
        <v>0</v>
      </c>
      <c r="J66" s="628"/>
      <c r="K66" s="180">
        <f>IF(OR($B66="No Aplica",$B66="",$B66="N/A",$B66="NA",$B66="na"),0,COUNTIFS('G. de Incidentes'!$G$18:$G$1024,"Error",'G. de Incidentes'!$F$18:$F$1024,"Media",'G. de Incidentes'!$O$18:$O$1024,"Documentación",'G. de Incidentes'!$D$18:$D$1024,$B66,'G. de Incidentes'!$H$18:$H$1024,"Si"))</f>
        <v>0</v>
      </c>
      <c r="L66" s="180">
        <f>IF(OR($B66="No Aplica",$B66="",$B66="N/A",$B66="NA",$B66="na"),0,COUNTIFS('G. de Incidentes'!$G$18:$G$1024,"Error",'G. de Incidentes'!$F$18:$F$1024,"Baja",'G. de Incidentes'!$O$18:$O$1024,"Documentación",'G. de Incidentes'!$D$18:$D$1024,$B66,'G. de Incidentes'!$H$18:$H$1024,"Si"))</f>
        <v>0</v>
      </c>
      <c r="M66" s="628">
        <f>IF(OR($B66="No Aplica",$B66="",$B66="N/A",$B66="NA",$B66="na"),0,COUNTIFS('G. de Incidentes'!$G$18:$G$1024,"Error",'G. de Incidentes'!$F$18:$F$1024,"Stopper",'G. de Incidentes'!$O$18:$O$1024,"Presentación",'G. de Incidentes'!$D$18:$D$1024,$B66,'G. de Incidentes'!$H$18:$H$1024,"Si"))</f>
        <v>0</v>
      </c>
      <c r="N66" s="628"/>
      <c r="O66" s="180">
        <f>IF(OR($B66="No Aplica",$B66="",$B66="N/A",$B66="NA",$B66="na"),0,COUNTIFS('G. de Incidentes'!$G$18:$G$1024,"Error",'G. de Incidentes'!$F$18:$F$1024,"Alta",'G. de Incidentes'!$O$18:$O$1024,"Presentación",'G. de Incidentes'!$D$18:$D$1024,$B66,'G. de Incidentes'!$H$18:$H$1024,"Si"))</f>
        <v>0</v>
      </c>
      <c r="P66" s="180">
        <f>IF(OR($B66="No Aplica",$B66="",$B66="N/A",$B66="NA",$B66="na"),0,COUNTIFS('G. de Incidentes'!$G$18:$G$1024,"Error",'G. de Incidentes'!$F$18:$F$1024,"Media",'G. de Incidentes'!$O$18:$O$1024,"Presentación",'G. de Incidentes'!$D$18:$D$1024,$B66,'G. de Incidentes'!$H$18:$H$1024,"Si"))</f>
        <v>0</v>
      </c>
      <c r="Q66" s="628">
        <f>IF(OR($B66="No Aplica",$B66="",$B66="N/A",$B66="NA",$B66="na"),0,COUNTIFS('G. de Incidentes'!$G$18:$G$1024,"Error",'G. de Incidentes'!$F$18:$F$1024,"Baja",'G. de Incidentes'!$O$18:$O$1024,"Presentación",'G. de Incidentes'!$D$18:$D$1024,$B66,'G. de Incidentes'!$H$18:$H$1024,"Si"))</f>
        <v>0</v>
      </c>
      <c r="R66" s="628"/>
      <c r="S66" s="180">
        <f>IF(OR($B66="No Aplica",$B66="",$B66="N/A",$B66="NA",$B66="na"),0,COUNTIFS('G. de Incidentes'!$G$18:$G$1024,"Error",'G. de Incidentes'!$F$18:$F$1024,"Stopper",'G. de Incidentes'!$O$18:$O$1024,"Rendimiento",'G. de Incidentes'!$D$18:$D$1024,$B66,'G. de Incidentes'!$H$18:$H$1024,"Si"))</f>
        <v>0</v>
      </c>
      <c r="T66" s="628">
        <f>IF(OR($B66="No Aplica",$B66="",$B66="N/A",$B66="NA",$B66="na"),0,COUNTIFS('G. de Incidentes'!$G$18:$G$1024,"Error",'G. de Incidentes'!$F$18:$F$1024,"Alta",'G. de Incidentes'!$O$18:$O$1024,"Rendimiento",'G. de Incidentes'!$D$18:$D$1024,$B66,'G. de Incidentes'!$H$18:$H$1024,"Si"))</f>
        <v>0</v>
      </c>
      <c r="U66" s="628"/>
      <c r="V66" s="628">
        <f>IF(OR($B66="No Aplica",$B66="",$B66="N/A",$B66="NA",$B66="na"),0,COUNTIFS('G. de Incidentes'!$G$18:$G$1024,"Error",'G. de Incidentes'!$F$18:$F$1024,"Media",'G. de Incidentes'!$O$18:$O$1024,"Rendimiento",'G. de Incidentes'!$D$18:$D$1024,$B66,'G. de Incidentes'!$H$18:$H$1024,"Si"))</f>
        <v>0</v>
      </c>
      <c r="W66" s="628"/>
      <c r="X66" s="628"/>
      <c r="Y66" s="628"/>
      <c r="Z66" s="180">
        <f>IF(OR($B66="No Aplica",$B66="",$B66="N/A",$B66="NA",$B66="na"),0,COUNTIFS('G. de Incidentes'!$G$18:$G$1024,"Error",'G. de Incidentes'!$F$18:$F$1024,"Baja",'G. de Incidentes'!$O$18:$O$1024,"Rendimiento",'G. de Incidentes'!$D$18:$D$1024,$B66,'G. de Incidentes'!$H$18:$H$1024,"Si"))</f>
        <v>0</v>
      </c>
      <c r="AA66" s="628">
        <f>IF(OR($B66="No Aplica",$B66="",$B66="N/A",$B66="NA",$B66="na"),0,COUNTIFS('G. de Incidentes'!$G$18:$G$1024,"Error",'G. de Incidentes'!$F$18:$F$1024,"Stopper",'G. de Incidentes'!$O$18:$O$1024,"Seguridad",'G. de Incidentes'!$D$18:$D$1024,$B66,'G. de Incidentes'!$H$18:$H$1024,"Si"))</f>
        <v>0</v>
      </c>
      <c r="AB66" s="628"/>
      <c r="AC66" s="628">
        <f>IF(OR($B66="No Aplica",$B66="",$B66="N/A",$B66="NA",$B66="na"),0,COUNTIFS('G. de Incidentes'!$G$18:$G$1024,"Error",'G. de Incidentes'!$F$18:$F$1024,"Alta",'G. de Incidentes'!$O$18:$O$1024,"Seguridad",'G. de Incidentes'!$D$18:$D$1024,$B66,'G. de Incidentes'!$H$18:$H$1024,"Si"))</f>
        <v>0</v>
      </c>
      <c r="AD66" s="628"/>
      <c r="AE66" s="628">
        <f>IF(OR($B66="No Aplica",$B66="",$B66="N/A",$B66="NA",$B66="na"),0,COUNTIFS('G. de Incidentes'!$G$18:$G$1024,"Error",'G. de Incidentes'!$F$18:$F$1024,"Media",'G. de Incidentes'!$O$18:$O$1024,"Seguridad",'G. de Incidentes'!$D$18:$D$1024,$B66,'G. de Incidentes'!$H$18:$H$1024,"Si"))</f>
        <v>0</v>
      </c>
      <c r="AF66" s="628"/>
      <c r="AG66" s="628"/>
      <c r="AH66" s="180">
        <f>IF(OR($B66="No Aplica",$B66="",$B66="N/A",$B66="NA",$B66="na"),0,COUNTIFS('G. de Incidentes'!$G$18:$G$1024,"Error",'G. de Incidentes'!$F$18:$F$1024,"Baja",'G. de Incidentes'!$O$18:$O$1024,"Seguridad",'G. de Incidentes'!$D$18:$D$1024,$B66,'G. de Incidentes'!$H$18:$H$1024,"Si"))</f>
        <v>0</v>
      </c>
      <c r="AI66" s="3"/>
      <c r="AJ66" s="3"/>
    </row>
    <row r="67" spans="1:36" x14ac:dyDescent="0.35">
      <c r="A67" s="2"/>
      <c r="B67" s="107" t="str">
        <f t="shared" ref="B67:B69" si="1">AO5</f>
        <v>Proveedor 2x</v>
      </c>
      <c r="C67" s="180">
        <f>IF(OR($B67="No Aplica",$B67="",$B67="N/A",$B67="NA",$B67="na"),0,COUNTIFS('G. de Incidentes'!$G$18:$G$1024,"Error",'G. de Incidentes'!$F$18:$F$1024,"Stopper",'G. de Incidentes'!$O$18:$O$1024,"Funcionalidad",'G. de Incidentes'!$D$18:$D$1024,$B67,'G. de Incidentes'!$H$18:$H$1024,"Si"))</f>
        <v>0</v>
      </c>
      <c r="D67" s="628">
        <f>IF(OR($B67="No Aplica",$B67="",$B67="N/A",$B67="NA",$B67="na"),0,COUNTIFS('G. de Incidentes'!$G$18:$G$1024,"Error",'G. de Incidentes'!$F$18:$F$1024,"Alta",'G. de Incidentes'!$O$18:$O$1024,"Funcionalidad",'G. de Incidentes'!$D$18:$D$1024,$B67,'G. de Incidentes'!$H$18:$H$1024,"Si"))</f>
        <v>0</v>
      </c>
      <c r="E67" s="628"/>
      <c r="F67" s="180">
        <f>IF(OR($B67="No Aplica",$B67="",$B67="N/A",$B67="NA",$B67="na"),0,COUNTIFS('G. de Incidentes'!$G$18:$G$1024,"Error",'G. de Incidentes'!$F$18:$F$1024,"Media",'G. de Incidentes'!$O$18:$O$1024,"Funcionalidad",'G. de Incidentes'!$D$18:$D$1024,$B67,'G. de Incidentes'!$H$18:$H$1024,"Si"))</f>
        <v>0</v>
      </c>
      <c r="G67" s="180">
        <f>IF(OR($B67="No Aplica",$B67="",$B67="N/A",$B67="NA",$B67="na"),0,COUNTIFS('G. de Incidentes'!$G$18:$G$1024,"Error",'G. de Incidentes'!$F$18:$F$1024,"Baja",'G. de Incidentes'!$O$18:$O$1024,"Funcionalidad",'G. de Incidentes'!$D$18:$D$1024,$B67,'G. de Incidentes'!$H$18:$H$1024,"Si"))</f>
        <v>0</v>
      </c>
      <c r="H67" s="180">
        <f>IF(OR($B67="No Aplica",$B67="",$B67="N/A",$B67="NA",$B67="na"),0,COUNTIFS('G. de Incidentes'!$G$18:$G$1024,"Error",'G. de Incidentes'!$F$18:$F$1024,"Stopper",'G. de Incidentes'!$O$18:$O$1024,"Documentación",'G. de Incidentes'!$D$18:$D$1024,$B67,'G. de Incidentes'!$H$18:$H$1024,"Si"))</f>
        <v>0</v>
      </c>
      <c r="I67" s="628">
        <f>IF(OR($B67="No Aplica",$B67="",$B67="N/A",$B67="NA",$B67="na"),0,COUNTIFS('G. de Incidentes'!$G$18:$G$1024,"Error",'G. de Incidentes'!$F$18:$F$1024,"Alta",'G. de Incidentes'!$O$18:$O$1024,"Documentación",'G. de Incidentes'!$D$18:$D$1024,$B67,'G. de Incidentes'!$H$18:$H$1024,"Si"))</f>
        <v>0</v>
      </c>
      <c r="J67" s="628"/>
      <c r="K67" s="180">
        <f>IF(OR($B67="No Aplica",$B67="",$B67="N/A",$B67="NA",$B67="na"),0,COUNTIFS('G. de Incidentes'!$G$18:$G$1024,"Error",'G. de Incidentes'!$F$18:$F$1024,"Media",'G. de Incidentes'!$O$18:$O$1024,"Documentación",'G. de Incidentes'!$D$18:$D$1024,$B67,'G. de Incidentes'!$H$18:$H$1024,"Si"))</f>
        <v>0</v>
      </c>
      <c r="L67" s="180">
        <f>IF(OR($B67="No Aplica",$B67="",$B67="N/A",$B67="NA",$B67="na"),0,COUNTIFS('G. de Incidentes'!$G$18:$G$1024,"Error",'G. de Incidentes'!$F$18:$F$1024,"Baja",'G. de Incidentes'!$O$18:$O$1024,"Documentación",'G. de Incidentes'!$D$18:$D$1024,$B67,'G. de Incidentes'!$H$18:$H$1024,"Si"))</f>
        <v>0</v>
      </c>
      <c r="M67" s="628">
        <f>IF(OR($B67="No Aplica",$B67="",$B67="N/A",$B67="NA",$B67="na"),0,COUNTIFS('G. de Incidentes'!$G$18:$G$1024,"Error",'G. de Incidentes'!$F$18:$F$1024,"Stopper",'G. de Incidentes'!$O$18:$O$1024,"Presentación",'G. de Incidentes'!$D$18:$D$1024,$B67,'G. de Incidentes'!$H$18:$H$1024,"Si"))</f>
        <v>0</v>
      </c>
      <c r="N67" s="628"/>
      <c r="O67" s="180">
        <f>IF(OR($B67="No Aplica",$B67="",$B67="N/A",$B67="NA",$B67="na"),0,COUNTIFS('G. de Incidentes'!$G$18:$G$1024,"Error",'G. de Incidentes'!$F$18:$F$1024,"Alta",'G. de Incidentes'!$O$18:$O$1024,"Presentación",'G. de Incidentes'!$D$18:$D$1024,$B67,'G. de Incidentes'!$H$18:$H$1024,"Si"))</f>
        <v>0</v>
      </c>
      <c r="P67" s="180">
        <f>IF(OR($B67="No Aplica",$B67="",$B67="N/A",$B67="NA",$B67="na"),0,COUNTIFS('G. de Incidentes'!$G$18:$G$1024,"Error",'G. de Incidentes'!$F$18:$F$1024,"Media",'G. de Incidentes'!$O$18:$O$1024,"Presentación",'G. de Incidentes'!$D$18:$D$1024,$B67,'G. de Incidentes'!$H$18:$H$1024,"Si"))</f>
        <v>0</v>
      </c>
      <c r="Q67" s="628">
        <f>IF(OR($B67="No Aplica",$B67="",$B67="N/A",$B67="NA",$B67="na"),0,COUNTIFS('G. de Incidentes'!$G$18:$G$1024,"Error",'G. de Incidentes'!$F$18:$F$1024,"Baja",'G. de Incidentes'!$O$18:$O$1024,"Presentación",'G. de Incidentes'!$D$18:$D$1024,$B67,'G. de Incidentes'!$H$18:$H$1024,"Si"))</f>
        <v>0</v>
      </c>
      <c r="R67" s="628"/>
      <c r="S67" s="180">
        <f>IF(OR($B67="No Aplica",$B67="",$B67="N/A",$B67="NA",$B67="na"),0,COUNTIFS('G. de Incidentes'!$G$18:$G$1024,"Error",'G. de Incidentes'!$F$18:$F$1024,"Stopper",'G. de Incidentes'!$O$18:$O$1024,"Rendimiento",'G. de Incidentes'!$D$18:$D$1024,$B67,'G. de Incidentes'!$H$18:$H$1024,"Si"))</f>
        <v>0</v>
      </c>
      <c r="T67" s="628">
        <f>IF(OR($B67="No Aplica",$B67="",$B67="N/A",$B67="NA",$B67="na"),0,COUNTIFS('G. de Incidentes'!$G$18:$G$1024,"Error",'G. de Incidentes'!$F$18:$F$1024,"Alta",'G. de Incidentes'!$O$18:$O$1024,"Rendimiento",'G. de Incidentes'!$D$18:$D$1024,$B67,'G. de Incidentes'!$H$18:$H$1024,"Si"))</f>
        <v>0</v>
      </c>
      <c r="U67" s="628"/>
      <c r="V67" s="628">
        <f>IF(OR($B67="No Aplica",$B67="",$B67="N/A",$B67="NA",$B67="na"),0,COUNTIFS('G. de Incidentes'!$G$18:$G$1024,"Error",'G. de Incidentes'!$F$18:$F$1024,"Media",'G. de Incidentes'!$O$18:$O$1024,"Rendimiento",'G. de Incidentes'!$D$18:$D$1024,"GyG",'G. de Incidentes'!$H$18:$H$1024,"Si"))</f>
        <v>0</v>
      </c>
      <c r="W67" s="628"/>
      <c r="X67" s="628"/>
      <c r="Y67" s="628"/>
      <c r="Z67" s="180">
        <f>IF(OR($B67="No Aplica",$B67="",$B67="N/A",$B67="NA",$B67="na"),0,COUNTIFS('G. de Incidentes'!$G$18:$G$1024,"Error",'G. de Incidentes'!$F$18:$F$1024,"Baja",'G. de Incidentes'!$O$18:$O$1024,"Rendimiento",'G. de Incidentes'!$D$18:$D$1024,$B67,'G. de Incidentes'!$H$18:$H$1024,"Si"))</f>
        <v>0</v>
      </c>
      <c r="AA67" s="628">
        <f>IF(OR($B67="No Aplica",$B67="",$B67="N/A",$B67="NA",$B67="na"),0,COUNTIFS('G. de Incidentes'!$G$18:$G$1024,"Error",'G. de Incidentes'!$F$18:$F$1024,"Stopper",'G. de Incidentes'!$O$18:$O$1024,"Seguridad",'G. de Incidentes'!$D$18:$D$1024,$B67,'G. de Incidentes'!$H$18:$H$1024,"Si"))</f>
        <v>0</v>
      </c>
      <c r="AB67" s="628"/>
      <c r="AC67" s="628">
        <f>IF(OR($B67="No Aplica",$B67="",$B67="N/A",$B67="NA",$B67="na"),0,COUNTIFS('G. de Incidentes'!$G$18:$G$1024,"Error",'G. de Incidentes'!$F$18:$F$1024,"Alta",'G. de Incidentes'!$O$18:$O$1024,"Seguridad",'G. de Incidentes'!$D$18:$D$1024,$B67,'G. de Incidentes'!$H$18:$H$1024,"Si"))</f>
        <v>0</v>
      </c>
      <c r="AD67" s="628"/>
      <c r="AE67" s="628">
        <f>IF(OR($B67="No Aplica",$B67="",$B67="N/A",$B67="NA",$B67="na"),0,COUNTIFS('G. de Incidentes'!$G$18:$G$1024,"Error",'G. de Incidentes'!$F$18:$F$1024,"Media",'G. de Incidentes'!$O$18:$O$1024,"Seguridad",'G. de Incidentes'!$D$18:$D$1024,$B67,'G. de Incidentes'!$H$18:$H$1024,"Si"))</f>
        <v>0</v>
      </c>
      <c r="AF67" s="628"/>
      <c r="AG67" s="628"/>
      <c r="AH67" s="180">
        <f>IF(OR($B67="No Aplica",$B67="",$B67="N/A",$B67="NA",$B67="na"),0,COUNTIFS('G. de Incidentes'!$G$18:$G$1024,"Error",'G. de Incidentes'!$F$18:$F$1024,"Baja",'G. de Incidentes'!$O$18:$O$1024,"Seguridad",'G. de Incidentes'!$D$18:$D$1024,$B67,'G. de Incidentes'!$H$18:$H$1024,"Si"))</f>
        <v>0</v>
      </c>
      <c r="AI67" s="3"/>
      <c r="AJ67" s="3"/>
    </row>
    <row r="68" spans="1:36" x14ac:dyDescent="0.35">
      <c r="A68" s="2"/>
      <c r="B68" s="107" t="str">
        <f t="shared" si="1"/>
        <v>Proveedor 3x</v>
      </c>
      <c r="C68" s="180">
        <f>IF(OR($B68="No Aplica",$B68="",$B68="N/A",$B68="NA",$B68="na"),0,COUNTIFS('G. de Incidentes'!$G$18:$G$1024,"Error",'G. de Incidentes'!$F$18:$F$1024,"Stopper",'G. de Incidentes'!$O$18:$O$1024,"Funcionalidad",'G. de Incidentes'!$D$18:$D$1024,$B68,'G. de Incidentes'!$H$18:$H$1024,"Si"))</f>
        <v>0</v>
      </c>
      <c r="D68" s="628">
        <f>IF(OR($B68="No Aplica",$B68="",$B68="N/A",$B68="NA",$B68="na"),0,COUNTIFS('G. de Incidentes'!$G$18:$G$1024,"Error",'G. de Incidentes'!$F$18:$F$1024,"Alta",'G. de Incidentes'!$O$18:$O$1024,"Funcionalidad",'G. de Incidentes'!$D$18:$D$1024,$B68,'G. de Incidentes'!$H$18:$H$1024,"Si"))</f>
        <v>0</v>
      </c>
      <c r="E68" s="628"/>
      <c r="F68" s="180">
        <f>IF(OR($B68="No Aplica",$B68="",$B68="N/A",$B68="NA",$B68="na"),0,COUNTIFS('G. de Incidentes'!$G$18:$G$1024,"Error",'G. de Incidentes'!$F$18:$F$1024,"Media",'G. de Incidentes'!$O$18:$O$1024,"Funcionalidad",'G. de Incidentes'!$D$18:$D$1024,$B68,'G. de Incidentes'!$H$18:$H$1024,"Si"))</f>
        <v>0</v>
      </c>
      <c r="G68" s="180">
        <f>IF(OR($B68="No Aplica",$B68="",$B68="N/A",$B68="NA",$B68="na"),0,COUNTIFS('G. de Incidentes'!$G$18:$G$1024,"Error",'G. de Incidentes'!$F$18:$F$1024,"Baja",'G. de Incidentes'!$O$18:$O$1024,"Funcionalidad",'G. de Incidentes'!$D$18:$D$1024,$B68,'G. de Incidentes'!$H$18:$H$1024,"Si"))</f>
        <v>0</v>
      </c>
      <c r="H68" s="180">
        <f>IF(OR($B68="No Aplica",$B68="",$B68="N/A",$B68="NA",$B68="na"),0,COUNTIFS('G. de Incidentes'!$G$18:$G$1024,"Error",'G. de Incidentes'!$F$18:$F$1024,"Stopper",'G. de Incidentes'!$O$18:$O$1024,"Documentación",'G. de Incidentes'!$D$18:$D$1024,$B68,'G. de Incidentes'!$H$18:$H$1024,"Si"))</f>
        <v>0</v>
      </c>
      <c r="I68" s="628">
        <f>IF(OR($B68="No Aplica",$B68="",$B68="N/A",$B68="NA",$B68="na"),0,COUNTIFS('G. de Incidentes'!$G$18:$G$1024,"Error",'G. de Incidentes'!$F$18:$F$1024,"Alta",'G. de Incidentes'!$O$18:$O$1024,"Documentación",'G. de Incidentes'!$D$18:$D$1024,$B68,'G. de Incidentes'!$H$18:$H$1024,"Si"))</f>
        <v>0</v>
      </c>
      <c r="J68" s="628"/>
      <c r="K68" s="180">
        <f>IF(OR($B68="No Aplica",$B68="",$B68="N/A",$B68="NA",$B68="na"),0,COUNTIFS('G. de Incidentes'!$G$18:$G$1024,"Error",'G. de Incidentes'!$F$18:$F$1024,"Media",'G. de Incidentes'!$O$18:$O$1024,"Documentación",'G. de Incidentes'!$D$18:$D$1024,$B68,'G. de Incidentes'!$H$18:$H$1024,"Si"))</f>
        <v>0</v>
      </c>
      <c r="L68" s="180">
        <f>IF(OR($B68="No Aplica",$B68="",$B68="N/A",$B68="NA",$B68="na"),0,COUNTIFS('G. de Incidentes'!$G$18:$G$1024,"Error",'G. de Incidentes'!$F$18:$F$1024,"Baja",'G. de Incidentes'!$O$18:$O$1024,"Documentación",'G. de Incidentes'!$D$18:$D$1024,$B68,'G. de Incidentes'!$H$18:$H$1024,"Si"))</f>
        <v>0</v>
      </c>
      <c r="M68" s="628">
        <f>IF(OR($B68="No Aplica",$B68="",$B68="N/A",$B68="NA",$B68="na"),0,COUNTIFS('G. de Incidentes'!$G$18:$G$1024,"Error",'G. de Incidentes'!$F$18:$F$1024,"Stopper",'G. de Incidentes'!$O$18:$O$1024,"Presentación",'G. de Incidentes'!$D$18:$D$1024,$B68,'G. de Incidentes'!$H$18:$H$1024,"Si"))</f>
        <v>0</v>
      </c>
      <c r="N68" s="628"/>
      <c r="O68" s="180">
        <f>IF(OR($B68="No Aplica",$B68="",$B68="N/A",$B68="NA",$B68="na"),0,COUNTIFS('G. de Incidentes'!$G$18:$G$1024,"Error",'G. de Incidentes'!$F$18:$F$1024,"Alta",'G. de Incidentes'!$O$18:$O$1024,"Presentación",'G. de Incidentes'!$D$18:$D$1024,$B68,'G. de Incidentes'!$H$18:$H$1024,"Si"))</f>
        <v>0</v>
      </c>
      <c r="P68" s="180">
        <f>IF(OR($B68="No Aplica",$B68="",$B68="N/A",$B68="NA",$B68="na"),0,COUNTIFS('G. de Incidentes'!$G$18:$G$1024,"Error",'G. de Incidentes'!$F$18:$F$1024,"Media",'G. de Incidentes'!$O$18:$O$1024,"Presentación",'G. de Incidentes'!$D$18:$D$1024,$B68,'G. de Incidentes'!$H$18:$H$1024,"Si"))</f>
        <v>0</v>
      </c>
      <c r="Q68" s="628">
        <f>IF(OR($B68="No Aplica",$B68="",$B68="N/A",$B68="NA",$B68="na"),0,COUNTIFS('G. de Incidentes'!$G$18:$G$1024,"Error",'G. de Incidentes'!$F$18:$F$1024,"Baja",'G. de Incidentes'!$O$18:$O$1024,"Presentación",'G. de Incidentes'!$D$18:$D$1024,$B68,'G. de Incidentes'!$H$18:$H$1024,"Si"))</f>
        <v>0</v>
      </c>
      <c r="R68" s="628"/>
      <c r="S68" s="180">
        <f>IF(OR($B68="No Aplica",$B68="",$B68="N/A",$B68="NA",$B68="na"),0,COUNTIFS('G. de Incidentes'!$G$18:$G$1024,"Error",'G. de Incidentes'!$F$18:$F$1024,"Stopper",'G. de Incidentes'!$O$18:$O$1024,"Rendimiento",'G. de Incidentes'!$D$18:$D$1024,$B68,'G. de Incidentes'!$H$18:$H$1024,"Si"))</f>
        <v>0</v>
      </c>
      <c r="T68" s="628">
        <f>IF(OR($B68="No Aplica",$B68="",$B68="N/A",$B68="NA",$B68="na"),0,COUNTIFS('G. de Incidentes'!$G$18:$G$1024,"Error",'G. de Incidentes'!$F$18:$F$1024,"Alta",'G. de Incidentes'!$O$18:$O$1024,"Rendimiento",'G. de Incidentes'!$D$18:$D$1024,$B68,'G. de Incidentes'!$H$18:$H$1024,"Si"))</f>
        <v>0</v>
      </c>
      <c r="U68" s="628"/>
      <c r="V68" s="628">
        <f>IF(OR($B68="No Aplica",$B68="",$B68="N/A",$B68="NA",$B68="na"),0,COUNTIFS('G. de Incidentes'!$G$18:$G$1024,"Error",'G. de Incidentes'!$F$18:$F$1024,"Media",'G. de Incidentes'!$O$18:$O$1024,"Rendimiento",'G. de Incidentes'!$D$18:$D$1024,$B68,'G. de Incidentes'!$H$18:$H$1024,"Si"))</f>
        <v>0</v>
      </c>
      <c r="W68" s="628"/>
      <c r="X68" s="628"/>
      <c r="Y68" s="628"/>
      <c r="Z68" s="180">
        <f>IF(OR($B68="No Aplica",$B68="",$B68="N/A",$B68="NA",$B68="na"),0,COUNTIFS('G. de Incidentes'!$G$18:$G$1024,"Error",'G. de Incidentes'!$F$18:$F$1024,"Baja",'G. de Incidentes'!$O$18:$O$1024,"Rendimiento",'G. de Incidentes'!$D$18:$D$1024,$B68,'G. de Incidentes'!$H$18:$H$1024,"Si"))</f>
        <v>0</v>
      </c>
      <c r="AA68" s="628">
        <f>IF(OR($B68="No Aplica",$B68="",$B68="N/A",$B68="NA",$B68="na"),0,COUNTIFS('G. de Incidentes'!$G$18:$G$1024,"Error",'G. de Incidentes'!$F$18:$F$1024,"Stopper",'G. de Incidentes'!$O$18:$O$1024,"Seguridad",'G. de Incidentes'!$D$18:$D$1024,$B68,'G. de Incidentes'!$H$18:$H$1024,"Si"))</f>
        <v>0</v>
      </c>
      <c r="AB68" s="628"/>
      <c r="AC68" s="628">
        <f>IF(OR($B68="No Aplica",$B68="",$B68="N/A",$B68="NA",$B68="na"),0,COUNTIFS('G. de Incidentes'!$G$18:$G$1024,"Error",'G. de Incidentes'!$F$18:$F$1024,"Alta",'G. de Incidentes'!$O$18:$O$1024,"Seguridad",'G. de Incidentes'!$D$18:$D$1024,$B68,'G. de Incidentes'!$H$18:$H$1024,"Si"))</f>
        <v>0</v>
      </c>
      <c r="AD68" s="628"/>
      <c r="AE68" s="628">
        <f>IF(OR($B68="No Aplica",$B68="",$B68="N/A",$B68="NA",$B68="na"),0,COUNTIFS('G. de Incidentes'!$G$18:$G$1024,"Error",'G. de Incidentes'!$F$18:$F$1024,"Media",'G. de Incidentes'!$O$18:$O$1024,"Seguridad",'G. de Incidentes'!$D$18:$D$1024,$B68,'G. de Incidentes'!$H$18:$H$1024,"Si"))</f>
        <v>0</v>
      </c>
      <c r="AF68" s="628"/>
      <c r="AG68" s="628"/>
      <c r="AH68" s="180">
        <f>IF(OR($B68="No Aplica",$B68="",$B68="N/A",$B68="NA",$B68="na"),0,COUNTIFS('G. de Incidentes'!$G$18:$G$1024,"Error",'G. de Incidentes'!$F$18:$F$1024,"Baja",'G. de Incidentes'!$O$18:$O$1024,"Seguridad",'G. de Incidentes'!$D$18:$D$1024,$B68,'G. de Incidentes'!$H$18:$H$1024,"Si"))</f>
        <v>0</v>
      </c>
      <c r="AI68" s="3"/>
      <c r="AJ68" s="3"/>
    </row>
    <row r="69" spans="1:36" x14ac:dyDescent="0.35">
      <c r="A69" s="2"/>
      <c r="B69" s="107">
        <f t="shared" si="1"/>
        <v>0</v>
      </c>
      <c r="C69" s="180">
        <f>IF(OR($B69="No Aplica",$B69="",$B69="N/A",$B69="NA",$B69="na"),0,COUNTIFS('G. de Incidentes'!$G$18:$G$1024,"Error",'G. de Incidentes'!$F$18:$F$1024,"Stopper",'G. de Incidentes'!$O$18:$O$1024,"Funcionalidad",'G. de Incidentes'!$D$18:$D$1024,$B69,'G. de Incidentes'!$H$18:$H$1024,"Si"))</f>
        <v>0</v>
      </c>
      <c r="D69" s="628">
        <f>IF(OR($B69="No Aplica",$B69="",$B69="N/A",$B69="NA",$B69="na"),0,COUNTIFS('G. de Incidentes'!$G$18:$G$1024,"Error",'G. de Incidentes'!$F$18:$F$1024,"Alta",'G. de Incidentes'!$O$18:$O$1024,"Funcionalidad",'G. de Incidentes'!$D$18:$D$1024,$B69,'G. de Incidentes'!$H$18:$H$1024,"Si"))</f>
        <v>0</v>
      </c>
      <c r="E69" s="628"/>
      <c r="F69" s="180">
        <f>IF(OR($B69="No Aplica",$B69="",$B69="N/A",$B69="NA",$B69="na"),0,COUNTIFS('G. de Incidentes'!$G$18:$G$1024,"Error",'G. de Incidentes'!$F$18:$F$1024,"Media",'G. de Incidentes'!$O$18:$O$1024,"Funcionalidad",'G. de Incidentes'!$D$18:$D$1024,$B69,'G. de Incidentes'!$H$18:$H$1024,"Si"))</f>
        <v>0</v>
      </c>
      <c r="G69" s="180">
        <f>IF(OR($B69="No Aplica",$B69="",$B69="N/A",$B69="NA",$B69="na"),0,COUNTIFS('G. de Incidentes'!$G$18:$G$1024,"Error",'G. de Incidentes'!$F$18:$F$1024,"Baja",'G. de Incidentes'!$O$18:$O$1024,"Funcionalidad",'G. de Incidentes'!$D$18:$D$1024,$B69,'G. de Incidentes'!$H$18:$H$1024,"Si"))</f>
        <v>0</v>
      </c>
      <c r="H69" s="180">
        <f>IF(OR($B69="No Aplica",$B69="",$B69="N/A",$B69="NA",$B69="na"),0,COUNTIFS('G. de Incidentes'!$G$18:$G$1024,"Error",'G. de Incidentes'!$F$18:$F$1024,"Stopper",'G. de Incidentes'!$O$18:$O$1024,"Documentación",'G. de Incidentes'!$D$18:$D$1024,$B69,'G. de Incidentes'!$H$18:$H$1024,"Si"))</f>
        <v>0</v>
      </c>
      <c r="I69" s="628">
        <f>IF(OR($B69="No Aplica",$B69="",$B69="N/A",$B69="NA",$B69="na"),0,COUNTIFS('G. de Incidentes'!$G$18:$G$1024,"Error",'G. de Incidentes'!$F$18:$F$1024,"Alta",'G. de Incidentes'!$O$18:$O$1024,"Documentación",'G. de Incidentes'!$D$18:$D$1024,$B69,'G. de Incidentes'!$H$18:$H$1024,"Si"))</f>
        <v>0</v>
      </c>
      <c r="J69" s="628"/>
      <c r="K69" s="180">
        <f>IF(OR($B69="No Aplica",$B69="",$B69="N/A",$B69="NA",$B69="na"),0,COUNTIFS('G. de Incidentes'!$G$18:$G$1024,"Error",'G. de Incidentes'!$F$18:$F$1024,"Media",'G. de Incidentes'!$O$18:$O$1024,"Documentación",'G. de Incidentes'!$D$18:$D$1024,$B69,'G. de Incidentes'!$H$18:$H$1024,"Si"))</f>
        <v>0</v>
      </c>
      <c r="L69" s="180">
        <f>IF(OR($B69="No Aplica",$B69="",$B69="N/A",$B69="NA",$B69="na"),0,COUNTIFS('G. de Incidentes'!$G$18:$G$1024,"Error",'G. de Incidentes'!$F$18:$F$1024,"Baja",'G. de Incidentes'!$O$18:$O$1024,"Documentación",'G. de Incidentes'!$D$18:$D$1024,$B69,'G. de Incidentes'!$H$18:$H$1024,"Si"))</f>
        <v>0</v>
      </c>
      <c r="M69" s="628">
        <f>IF(OR($B69="No Aplica",$B69="",$B69="N/A",$B69="NA",$B69="na"),0,COUNTIFS('G. de Incidentes'!$G$18:$G$1024,"Error",'G. de Incidentes'!$F$18:$F$1024,"Stopper",'G. de Incidentes'!$O$18:$O$1024,"Presentación",'G. de Incidentes'!$D$18:$D$1024,$B69,'G. de Incidentes'!$H$18:$H$1024,"Si"))</f>
        <v>0</v>
      </c>
      <c r="N69" s="628"/>
      <c r="O69" s="180">
        <f>IF(OR($B69="No Aplica",$B69="",$B69="N/A",$B69="NA",$B69="na"),0,COUNTIFS('G. de Incidentes'!$G$18:$G$1024,"Error",'G. de Incidentes'!$F$18:$F$1024,"Alta",'G. de Incidentes'!$O$18:$O$1024,"Presentación",'G. de Incidentes'!$D$18:$D$1024,$B69,'G. de Incidentes'!$H$18:$H$1024,"Si"))</f>
        <v>0</v>
      </c>
      <c r="P69" s="180">
        <f>IF(OR($B69="No Aplica",$B69="",$B69="N/A",$B69="NA",$B69="na"),0,COUNTIFS('G. de Incidentes'!$G$18:$G$1024,"Error",'G. de Incidentes'!$F$18:$F$1024,"Media",'G. de Incidentes'!$O$18:$O$1024,"Presentación",'G. de Incidentes'!$D$18:$D$1024,$B69,'G. de Incidentes'!$H$18:$H$1024,"Si"))</f>
        <v>0</v>
      </c>
      <c r="Q69" s="628">
        <f>IF(OR($B69="No Aplica",$B69="",$B69="N/A",$B69="NA",$B69="na"),0,COUNTIFS('G. de Incidentes'!$G$18:$G$1024,"Error",'G. de Incidentes'!$F$18:$F$1024,"Baja",'G. de Incidentes'!$O$18:$O$1024,"Presentación",'G. de Incidentes'!$D$18:$D$1024,$B69,'G. de Incidentes'!$H$18:$H$1024,"Si"))</f>
        <v>0</v>
      </c>
      <c r="R69" s="628"/>
      <c r="S69" s="180">
        <f>IF(OR($B69="No Aplica",$B69="",$B69="N/A",$B69="NA",$B69="na"),0,COUNTIFS('G. de Incidentes'!$G$18:$G$1024,"Error",'G. de Incidentes'!$F$18:$F$1024,"Stopper",'G. de Incidentes'!$O$18:$O$1024,"Rendimiento",'G. de Incidentes'!$D$18:$D$1024,$B69,'G. de Incidentes'!$H$18:$H$1024,"Si"))</f>
        <v>0</v>
      </c>
      <c r="T69" s="628">
        <f>IF(OR($B69="No Aplica",$B69="",$B69="N/A",$B69="NA",$B69="na"),0,COUNTIFS('G. de Incidentes'!$G$18:$G$1024,"Error",'G. de Incidentes'!$F$18:$F$1024,"Alta",'G. de Incidentes'!$O$18:$O$1024,"Rendimiento",'G. de Incidentes'!$D$18:$D$1024,$B69,'G. de Incidentes'!$H$18:$H$1024,"Si"))</f>
        <v>0</v>
      </c>
      <c r="U69" s="628"/>
      <c r="V69" s="628">
        <f>IF(OR($B69="No Aplica",$B69="",$B69="N/A",$B69="NA",$B69="na"),0,COUNTIFS('G. de Incidentes'!$G$18:$G$1024,"Error",'G. de Incidentes'!$F$18:$F$1024,"Media",'G. de Incidentes'!$O$18:$O$1024,"Rendimiento",'G. de Incidentes'!$D$18:$D$1024,$B69,'G. de Incidentes'!$H$18:$H$1024,"Si"))</f>
        <v>0</v>
      </c>
      <c r="W69" s="628"/>
      <c r="X69" s="628"/>
      <c r="Y69" s="628"/>
      <c r="Z69" s="180">
        <f>IF(OR($B69="No Aplica",$B69="",$B69="N/A",$B69="NA",$B69="na"),0,COUNTIFS('G. de Incidentes'!$G$18:$G$1024,"Error",'G. de Incidentes'!$F$18:$F$1024,"Baja",'G. de Incidentes'!$O$18:$O$1024,"Rendimiento",'G. de Incidentes'!$D$18:$D$1024,$B69,'G. de Incidentes'!$H$18:$H$1024,"Si"))</f>
        <v>0</v>
      </c>
      <c r="AA69" s="628">
        <f>IF(OR($B69="No Aplica",$B69="",$B69="N/A",$B69="NA",$B69="na"),0,COUNTIFS('G. de Incidentes'!$G$18:$G$1024,"Error",'G. de Incidentes'!$F$18:$F$1024,"Stopper",'G. de Incidentes'!$O$18:$O$1024,"Seguridad",'G. de Incidentes'!$D$18:$D$1024,$B69,'G. de Incidentes'!$H$18:$H$1024,"Si"))</f>
        <v>0</v>
      </c>
      <c r="AB69" s="628"/>
      <c r="AC69" s="628">
        <f>IF(OR($B69="No Aplica",$B69="",$B69="N/A",$B69="NA",$B69="na"),0,COUNTIFS('G. de Incidentes'!$G$18:$G$1024,"Error",'G. de Incidentes'!$F$18:$F$1024,"Alta",'G. de Incidentes'!$O$18:$O$1024,"Seguridad",'G. de Incidentes'!$D$18:$D$1024,$B69,'G. de Incidentes'!$H$18:$H$1024,"Si"))</f>
        <v>0</v>
      </c>
      <c r="AD69" s="628"/>
      <c r="AE69" s="628">
        <f>IF(OR($B69="No Aplica",$B69="",$B69="N/A",$B69="NA",$B69="na"),0,COUNTIFS('G. de Incidentes'!$G$18:$G$1024,"Error",'G. de Incidentes'!$F$18:$F$1024,"Media",'G. de Incidentes'!$O$18:$O$1024,"Seguridad",'G. de Incidentes'!$D$18:$D$1024,$B69,'G. de Incidentes'!$H$18:$H$1024,"Si"))</f>
        <v>0</v>
      </c>
      <c r="AF69" s="628"/>
      <c r="AG69" s="628"/>
      <c r="AH69" s="180">
        <f>IF(OR($B69="No Aplica",$B69="",$B69="N/A",$B69="NA",$B69="na"),0,COUNTIFS('G. de Incidentes'!$G$18:$G$1024,"Error",'G. de Incidentes'!$F$18:$F$1024,"Baja",'G. de Incidentes'!$O$18:$O$1024,"Seguridad",'G. de Incidentes'!$D$18:$D$1024,$B69,'G. de Incidentes'!$H$18:$H$1024,"Si"))</f>
        <v>0</v>
      </c>
      <c r="AI69" s="3"/>
      <c r="AJ69" s="3"/>
    </row>
    <row r="70" spans="1:36" x14ac:dyDescent="0.35">
      <c r="A70" s="2"/>
      <c r="B70" s="142" t="s">
        <v>684</v>
      </c>
      <c r="C70" s="141">
        <f>SUM(C66:C69)</f>
        <v>0</v>
      </c>
      <c r="D70" s="627">
        <f>SUM(D66:E69)</f>
        <v>0</v>
      </c>
      <c r="E70" s="627"/>
      <c r="F70" s="141">
        <f>SUM(F66:F69)</f>
        <v>0</v>
      </c>
      <c r="G70" s="141">
        <f>SUM(G66:G69)</f>
        <v>0</v>
      </c>
      <c r="H70" s="141">
        <f>SUM(H66:H69)</f>
        <v>0</v>
      </c>
      <c r="I70" s="627">
        <f>SUM(I66:J69)</f>
        <v>0</v>
      </c>
      <c r="J70" s="627"/>
      <c r="K70" s="141">
        <f>SUM(K66:K69)</f>
        <v>0</v>
      </c>
      <c r="L70" s="141">
        <f>SUM(L66:L69)</f>
        <v>0</v>
      </c>
      <c r="M70" s="627">
        <f>SUM(M66:N69)</f>
        <v>0</v>
      </c>
      <c r="N70" s="627"/>
      <c r="O70" s="141">
        <f>SUM(O66:O69)</f>
        <v>0</v>
      </c>
      <c r="P70" s="141">
        <f>SUM(P66:P69)</f>
        <v>0</v>
      </c>
      <c r="Q70" s="627">
        <f>SUM(Q66:R69)</f>
        <v>0</v>
      </c>
      <c r="R70" s="627"/>
      <c r="S70" s="141">
        <f>SUM(S66:S69)</f>
        <v>0</v>
      </c>
      <c r="T70" s="627">
        <f>SUM(T66:U69)</f>
        <v>0</v>
      </c>
      <c r="U70" s="627"/>
      <c r="V70" s="141">
        <f>SUM(V66:V69)</f>
        <v>0</v>
      </c>
      <c r="W70" s="627">
        <f>SUM(V66:Y69)</f>
        <v>0</v>
      </c>
      <c r="X70" s="627"/>
      <c r="Y70" s="627"/>
      <c r="Z70" s="141">
        <f>SUM(Z66:Z69)</f>
        <v>0</v>
      </c>
      <c r="AA70" s="627">
        <f>SUM(AA66:AB69)</f>
        <v>0</v>
      </c>
      <c r="AB70" s="627"/>
      <c r="AC70" s="627">
        <f>SUM(AC66:AD69)</f>
        <v>0</v>
      </c>
      <c r="AD70" s="627"/>
      <c r="AE70" s="627">
        <f>SUM(AE66:AG69)</f>
        <v>0</v>
      </c>
      <c r="AF70" s="627"/>
      <c r="AG70" s="627"/>
      <c r="AH70" s="141">
        <f>SUM(AH66:AH69)</f>
        <v>0</v>
      </c>
      <c r="AI70" s="16"/>
    </row>
    <row r="71" spans="1:36" x14ac:dyDescent="0.3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row>
    <row r="72" spans="1:36" ht="23.25" customHeight="1" x14ac:dyDescent="0.35">
      <c r="B72" s="309" t="s">
        <v>1533</v>
      </c>
    </row>
    <row r="73" spans="1:36" x14ac:dyDescent="0.35">
      <c r="B73" s="4"/>
      <c r="C73" s="4"/>
    </row>
    <row r="74" spans="1:36" x14ac:dyDescent="0.35">
      <c r="A74" s="13"/>
      <c r="B74" s="312" t="s">
        <v>1535</v>
      </c>
      <c r="C74" s="311">
        <f>'Avance Agil'!$D$7</f>
        <v>1</v>
      </c>
      <c r="D74" s="111"/>
      <c r="E74" s="4"/>
      <c r="F74" s="4"/>
      <c r="G74" s="4"/>
      <c r="H74" s="4"/>
      <c r="I74" s="4"/>
      <c r="J74" s="4"/>
      <c r="K74" s="4"/>
      <c r="L74" s="4"/>
    </row>
    <row r="75" spans="1:36" x14ac:dyDescent="0.35">
      <c r="B75" s="10"/>
      <c r="C75" s="10"/>
      <c r="D75" s="4"/>
      <c r="E75" s="4"/>
      <c r="F75" s="4"/>
      <c r="G75" s="4"/>
      <c r="H75" s="4"/>
      <c r="I75" s="4"/>
      <c r="J75" s="4"/>
      <c r="K75" s="4"/>
    </row>
    <row r="76" spans="1:36" x14ac:dyDescent="0.35">
      <c r="A76" s="121"/>
      <c r="B76" s="115" t="s">
        <v>214</v>
      </c>
      <c r="C76" s="308" t="s">
        <v>139</v>
      </c>
      <c r="D76" s="618" t="s">
        <v>140</v>
      </c>
      <c r="E76" s="618"/>
      <c r="F76" s="308" t="s">
        <v>144</v>
      </c>
      <c r="G76" s="308" t="s">
        <v>143</v>
      </c>
      <c r="H76" s="618" t="s">
        <v>146</v>
      </c>
      <c r="I76" s="618"/>
      <c r="J76" s="308" t="s">
        <v>145</v>
      </c>
      <c r="K76" s="308" t="s">
        <v>141</v>
      </c>
      <c r="L76" s="16"/>
    </row>
    <row r="77" spans="1:36" x14ac:dyDescent="0.35">
      <c r="A77" s="2"/>
      <c r="B77" s="108" t="s">
        <v>221</v>
      </c>
      <c r="C77" s="305">
        <f>SUM(COUNTIFS('G. de Incidentes'!$F$18:$F$1024,"Stopper",'G. de Incidentes'!$O$18:$O$1024,"Ambiente",'G. de Incidentes'!$H$18:$H$1024,"Si",'G. de Incidentes'!$G$18:$G$1024,"Error",'G. de Incidentes'!B18:B1024,Param_General!$C$74))</f>
        <v>0</v>
      </c>
      <c r="D77" s="596">
        <f>SUM(COUNTIFS('G. de Incidentes'!$F$18:$F$1024,"Stopper",'G. de Incidentes'!$O$18:$O$1024,"Datos",'G. de Incidentes'!$H$18:$H$1024,"Si",'G. de Incidentes'!$G$18:$G$1024,"Error",'G. de Incidentes'!B18:B1024,Param_General!$C$74))</f>
        <v>0</v>
      </c>
      <c r="E77" s="596"/>
      <c r="F77" s="305">
        <f>SUM(COUNTIFS('G. de Incidentes'!$F$18:$F$1024,"Stopper",'G. de Incidentes'!$O$18:$O$1024,"Funcionalidad",'G. de Incidentes'!$H$18:$H$1024,"Si",'G. de Incidentes'!$G$18:$G$1024,"Error",'G. de Incidentes'!B18:B1024,Param_General!$C$74))</f>
        <v>0</v>
      </c>
      <c r="G77" s="305">
        <f>SUM(COUNTIFS('G. de Incidentes'!$F$18:$F$1024,"Stopper",'G. de Incidentes'!$O$18:$O$1024,"Documentación",'G. de Incidentes'!$H$18:$H$1024,"Si",'G. de Incidentes'!$G$18:$G$1024,"Error",'G. de Incidentes'!B18:B1024,Param_General!$C$74))</f>
        <v>0</v>
      </c>
      <c r="H77" s="596">
        <f>SUM(COUNTIFS('G. de Incidentes'!$F$18:$F$1024,"Stopper",'G. de Incidentes'!$O$18:$O$1024,"Presentación",'G. de Incidentes'!$H$18:$H$1024,"Si",'G. de Incidentes'!$G$18:$G$1024,"Error",'G. de Incidentes'!B18:B1024,Param_General!$C$74))</f>
        <v>0</v>
      </c>
      <c r="I77" s="596"/>
      <c r="J77" s="305">
        <f>SUM(COUNTIFS('G. de Incidentes'!$F$18:$F$1024,"Stopper",'G. de Incidentes'!$O$18:$O$1024,"Rendimiento",'G. de Incidentes'!$H$18:$H$1024,"Si",'G. de Incidentes'!$G$18:$G$1024,"Error",'G. de Incidentes'!B18:B1024,Param_General!$C$74))</f>
        <v>0</v>
      </c>
      <c r="K77" s="305">
        <f>SUM(COUNTIFS('G. de Incidentes'!$F$18:$F$1024,"Stopper",'G. de Incidentes'!$O$18:$O$1024,"Seguridad",'G. de Incidentes'!$H$18:$H$1024,"Si",'G. de Incidentes'!$G$18:$G$1024,"Error",'G. de Incidentes'!B18:B1024,Param_General!$C$74))</f>
        <v>0</v>
      </c>
      <c r="L77" s="3"/>
    </row>
    <row r="78" spans="1:36" x14ac:dyDescent="0.35">
      <c r="A78" s="2"/>
      <c r="B78" s="108" t="s">
        <v>22</v>
      </c>
      <c r="C78" s="305">
        <f>SUM(COUNTIFS('G. de Incidentes'!$F$18:$F$1024,"Alta",'G. de Incidentes'!$O$18:$O$1024,"Ambiente",'G. de Incidentes'!$H$18:$H$1024,"Si",'G. de Incidentes'!$G$18:$G$1024,"Error",'G. de Incidentes'!B18:B1024,Param_General!$C$74))</f>
        <v>0</v>
      </c>
      <c r="D78" s="596">
        <f>SUM(COUNTIFS('G. de Incidentes'!$F$18:$F$1024,"Alta",'G. de Incidentes'!$O$18:$O$1024,"Datos",'G. de Incidentes'!$H$18:$H$1024,"Si",'G. de Incidentes'!$G$18:$G$1024,"Error",'G. de Incidentes'!B18:B1024,Param_General!$C$74))</f>
        <v>0</v>
      </c>
      <c r="E78" s="596"/>
      <c r="F78" s="305">
        <f>SUM(COUNTIFS('G. de Incidentes'!$F$18:$F$1024,"Alta",'G. de Incidentes'!$O$18:$O$1024,"Funcionalidad",'G. de Incidentes'!$H$18:$H$1024,"Si",'G. de Incidentes'!$G$18:$G$1024,"Error",'G. de Incidentes'!B18:B1024,Param_General!$C$74))</f>
        <v>0</v>
      </c>
      <c r="G78" s="305">
        <f>SUM(COUNTIFS('G. de Incidentes'!$F$18:$F$1024,"Alta",'G. de Incidentes'!$O$18:$O$1024,"Documentación",'G. de Incidentes'!$H$18:$H$1024,"Si",'G. de Incidentes'!$G$18:$G$1024,"Error",'G. de Incidentes'!B18:B1024,Param_General!$C$74))</f>
        <v>0</v>
      </c>
      <c r="H78" s="596">
        <f>SUM(COUNTIFS('G. de Incidentes'!$F$18:$F$1024,"Alta",'G. de Incidentes'!$O$18:$O$1024,"Presentación",'G. de Incidentes'!$H$18:$H$1024,"Si",'G. de Incidentes'!$G$18:$G$1024,"Error",'G. de Incidentes'!B18:B1024,Param_General!$C$74))</f>
        <v>0</v>
      </c>
      <c r="I78" s="596"/>
      <c r="J78" s="305">
        <f>SUM(COUNTIFS('G. de Incidentes'!$F$18:$F$1024,"Alta",'G. de Incidentes'!$O$18:$O$1024,"Rendimiento",'G. de Incidentes'!$H$18:$H$1024,"Si",'G. de Incidentes'!$G$18:$G$1024,"Error",'G. de Incidentes'!B18:B1024,Param_General!$C$74))</f>
        <v>0</v>
      </c>
      <c r="K78" s="305">
        <f>SUM(COUNTIFS('G. de Incidentes'!$F$18:$F$1024,"Alta",'G. de Incidentes'!$O$18:$O$1024,"Seguridad",'G. de Incidentes'!$H$18:$H$1024,"Si",'G. de Incidentes'!$G$18:$G$1024,"Error",'G. de Incidentes'!B18:B1024,Param_General!$C$74))</f>
        <v>0</v>
      </c>
      <c r="L78" s="3"/>
    </row>
    <row r="79" spans="1:36" x14ac:dyDescent="0.35">
      <c r="A79" s="2"/>
      <c r="B79" s="108" t="s">
        <v>21</v>
      </c>
      <c r="C79" s="305">
        <f>SUM(COUNTIFS('G. de Incidentes'!$F$18:$F$1024,"Media",'G. de Incidentes'!$O$18:$O$1024,"Ambiente",'G. de Incidentes'!$H$18:$H$1024,"Si",'G. de Incidentes'!$G$18:$G$1024,"Error",'G. de Incidentes'!B18:B1024,Param_General!$C$74))</f>
        <v>0</v>
      </c>
      <c r="D79" s="596">
        <f>SUM(COUNTIFS('G. de Incidentes'!$F$18:$F$1024,"Media",'G. de Incidentes'!$O$18:$O$1024,"Datos",'G. de Incidentes'!$H$18:$H$1024,"Si",'G. de Incidentes'!$G$18:$G$1024,"Error",'G. de Incidentes'!B18:B1024,Param_General!$C$74))</f>
        <v>0</v>
      </c>
      <c r="E79" s="596"/>
      <c r="F79" s="305">
        <f>SUM(COUNTIFS('G. de Incidentes'!$F$18:$F$1024,"Media",'G. de Incidentes'!$O$18:$O$1024,"Funcionalidad",'G. de Incidentes'!$H$18:$H$1024,"Si",'G. de Incidentes'!$G$18:$G$1024,"Error",'G. de Incidentes'!B18:B1024,Param_General!$C$74))</f>
        <v>0</v>
      </c>
      <c r="G79" s="305">
        <f>SUM(COUNTIFS('G. de Incidentes'!$F$18:$F$1024,"Media",'G. de Incidentes'!$O$18:$O$1024,"Documentación",'G. de Incidentes'!$H$18:$H$1024,"Si",'G. de Incidentes'!$G$18:$G$1024,"Error",'G. de Incidentes'!B18:B1024,Param_General!$C$74))</f>
        <v>0</v>
      </c>
      <c r="H79" s="596">
        <f>SUM(COUNTIFS('G. de Incidentes'!$F$18:$F$1024,"Media",'G. de Incidentes'!$O$18:$O$1024,"Presentación",'G. de Incidentes'!$H$18:$H$1024,"Si",'G. de Incidentes'!$G$18:$G$1024,"Error",'G. de Incidentes'!B18:B1024,Param_General!$C$74))</f>
        <v>0</v>
      </c>
      <c r="I79" s="596"/>
      <c r="J79" s="305">
        <f>SUM(COUNTIFS('G. de Incidentes'!$F$18:$F$1024,"Media",'G. de Incidentes'!$O$18:$O$1024,"Rendimiento",'G. de Incidentes'!$H$18:$H$1024,"Si",'G. de Incidentes'!$G$18:$G$1024,"Error",'G. de Incidentes'!B18:B1024,Param_General!$C$74))</f>
        <v>0</v>
      </c>
      <c r="K79" s="305">
        <f>SUM(COUNTIFS('G. de Incidentes'!$F$18:$F$1024,"Media",'G. de Incidentes'!$O$18:$O$1024,"Seguridad",'G. de Incidentes'!$H$18:$H$1024,"Si",'G. de Incidentes'!$G$18:$G$1024,"Error",'G. de Incidentes'!B18:B1024,Param_General!$C$74))</f>
        <v>0</v>
      </c>
      <c r="L79" s="3"/>
    </row>
    <row r="80" spans="1:36" x14ac:dyDescent="0.35">
      <c r="A80" s="2"/>
      <c r="B80" s="108" t="s">
        <v>20</v>
      </c>
      <c r="C80" s="305">
        <f>SUM(COUNTIFS('G. de Incidentes'!$F$18:$F$1024,"Baja",'G. de Incidentes'!$O$18:$O$1024,"Ambiente",'G. de Incidentes'!$H$18:$H$1024,"Si",'G. de Incidentes'!$G$18:$G$1024,"Error",'G. de Incidentes'!B18:B1024,Param_General!$C$74))</f>
        <v>0</v>
      </c>
      <c r="D80" s="596">
        <f>SUM(COUNTIFS('G. de Incidentes'!$F$18:$F$1024,"Baja",'G. de Incidentes'!$O$18:$O$1024,"Datos",'G. de Incidentes'!$H$18:$H$1024,"Si",'G. de Incidentes'!$G$18:$G$1024,"Error",'G. de Incidentes'!B18:B1024,Param_General!$C$74))</f>
        <v>0</v>
      </c>
      <c r="E80" s="596"/>
      <c r="F80" s="305">
        <f>SUM(COUNTIFS('G. de Incidentes'!$F$18:$F$1024,"Baja",'G. de Incidentes'!$O$18:$O$1024,"Funcionalidad",'G. de Incidentes'!$H$18:$H$1024,"Si",'G. de Incidentes'!$G$18:$G$1024,"Error",'G. de Incidentes'!B18:B1024,Param_General!$C$74))</f>
        <v>0</v>
      </c>
      <c r="G80" s="305">
        <f>SUM(COUNTIFS('G. de Incidentes'!$F$18:$F$1024,"Baja",'G. de Incidentes'!$O$18:$O$1024,"Documentación",'G. de Incidentes'!$H$18:$H$1024,"Si",'G. de Incidentes'!$G$18:$G$1024,"Error",'G. de Incidentes'!B18:B1024,Param_General!$C$74))</f>
        <v>0</v>
      </c>
      <c r="H80" s="596">
        <f>SUM(COUNTIFS('G. de Incidentes'!$F$18:$F$1024,"Baja",'G. de Incidentes'!$O$18:$O$1024,"Presentación",'G. de Incidentes'!$H$18:$H$1024,"Si",'G. de Incidentes'!$G$18:$G$1024,"Error",'G. de Incidentes'!B18:B1024,Param_General!$C$74))</f>
        <v>0</v>
      </c>
      <c r="I80" s="596"/>
      <c r="J80" s="305">
        <f>SUM(COUNTIFS('G. de Incidentes'!$F$18:$F$1024,"Baja",'G. de Incidentes'!$O$18:$O$1024,"Rendimiento",'G. de Incidentes'!$H$18:$H$1024,"Si",'G. de Incidentes'!$G$18:$G$1024,"Error",'G. de Incidentes'!B18:B1024,Param_General!$C$74))</f>
        <v>0</v>
      </c>
      <c r="K80" s="305">
        <f>SUM(COUNTIFS('G. de Incidentes'!$F$18:$F$1024,"Baja",'G. de Incidentes'!$O$18:$O$1024,"Seguridad",'G. de Incidentes'!$H$18:$H$1024,"Si",'G. de Incidentes'!$G$18:$G$1024,"Error",'G. de Incidentes'!B18:B1024,Param_General!$C$74))</f>
        <v>0</v>
      </c>
      <c r="L80" s="3"/>
    </row>
    <row r="81" spans="1:34" x14ac:dyDescent="0.35">
      <c r="A81" s="2"/>
      <c r="B81" s="115" t="s">
        <v>712</v>
      </c>
      <c r="C81" s="305" t="s">
        <v>65</v>
      </c>
      <c r="D81" s="596" t="s">
        <v>65</v>
      </c>
      <c r="E81" s="596"/>
      <c r="F81" s="305">
        <f>SUM(F77:F80)</f>
        <v>0</v>
      </c>
      <c r="G81" s="305">
        <f>SUM(G77:G80)</f>
        <v>0</v>
      </c>
      <c r="H81" s="596">
        <f>SUM(H77:I80)</f>
        <v>0</v>
      </c>
      <c r="I81" s="596"/>
      <c r="J81" s="305">
        <f>SUM(J77:J80)</f>
        <v>0</v>
      </c>
      <c r="K81" s="305">
        <f>SUM(K77:K80)</f>
        <v>0</v>
      </c>
      <c r="L81" s="3"/>
    </row>
    <row r="82" spans="1:34" x14ac:dyDescent="0.35">
      <c r="B82" s="5"/>
      <c r="C82" s="5"/>
      <c r="D82" s="5"/>
      <c r="E82" s="5"/>
      <c r="F82" s="5"/>
      <c r="G82" s="5"/>
      <c r="H82" s="5"/>
      <c r="I82" s="5"/>
      <c r="J82" s="5"/>
      <c r="K82" s="5"/>
    </row>
    <row r="84" spans="1:34" x14ac:dyDescent="0.35">
      <c r="C84" s="629" t="s">
        <v>144</v>
      </c>
      <c r="D84" s="629"/>
      <c r="E84" s="629"/>
      <c r="F84" s="629"/>
      <c r="G84" s="629"/>
      <c r="H84" s="629" t="s">
        <v>143</v>
      </c>
      <c r="I84" s="629"/>
      <c r="J84" s="629"/>
      <c r="K84" s="629"/>
      <c r="L84" s="629"/>
      <c r="M84" s="629" t="s">
        <v>146</v>
      </c>
      <c r="N84" s="629"/>
      <c r="O84" s="629"/>
      <c r="P84" s="629"/>
      <c r="Q84" s="629"/>
      <c r="R84" s="629"/>
      <c r="S84" s="629" t="s">
        <v>145</v>
      </c>
      <c r="T84" s="629"/>
      <c r="U84" s="629"/>
      <c r="V84" s="629"/>
      <c r="W84" s="629"/>
      <c r="X84" s="629"/>
      <c r="Y84" s="629"/>
      <c r="Z84" s="629"/>
      <c r="AA84" s="629" t="s">
        <v>141</v>
      </c>
      <c r="AB84" s="629"/>
      <c r="AC84" s="629"/>
      <c r="AD84" s="629"/>
      <c r="AE84" s="629"/>
      <c r="AF84" s="629"/>
      <c r="AG84" s="629"/>
      <c r="AH84" s="629"/>
    </row>
    <row r="85" spans="1:34" ht="15" customHeight="1" x14ac:dyDescent="0.35">
      <c r="B85" s="131" t="s">
        <v>150</v>
      </c>
      <c r="C85" s="307" t="s">
        <v>221</v>
      </c>
      <c r="D85" s="591" t="s">
        <v>22</v>
      </c>
      <c r="E85" s="591"/>
      <c r="F85" s="307" t="s">
        <v>21</v>
      </c>
      <c r="G85" s="307" t="s">
        <v>20</v>
      </c>
      <c r="H85" s="307" t="s">
        <v>221</v>
      </c>
      <c r="I85" s="591" t="s">
        <v>22</v>
      </c>
      <c r="J85" s="591"/>
      <c r="K85" s="307" t="s">
        <v>21</v>
      </c>
      <c r="L85" s="307" t="s">
        <v>20</v>
      </c>
      <c r="M85" s="591" t="s">
        <v>221</v>
      </c>
      <c r="N85" s="591"/>
      <c r="O85" s="307" t="s">
        <v>22</v>
      </c>
      <c r="P85" s="307" t="s">
        <v>21</v>
      </c>
      <c r="Q85" s="591" t="s">
        <v>20</v>
      </c>
      <c r="R85" s="591"/>
      <c r="S85" s="307" t="s">
        <v>221</v>
      </c>
      <c r="T85" s="591" t="s">
        <v>22</v>
      </c>
      <c r="U85" s="591"/>
      <c r="V85" s="130" t="s">
        <v>22</v>
      </c>
      <c r="W85" s="591" t="s">
        <v>21</v>
      </c>
      <c r="X85" s="591"/>
      <c r="Y85" s="591"/>
      <c r="Z85" s="307" t="s">
        <v>20</v>
      </c>
      <c r="AA85" s="591" t="s">
        <v>221</v>
      </c>
      <c r="AB85" s="591"/>
      <c r="AC85" s="591" t="s">
        <v>22</v>
      </c>
      <c r="AD85" s="591"/>
      <c r="AE85" s="591" t="s">
        <v>21</v>
      </c>
      <c r="AF85" s="591"/>
      <c r="AG85" s="591"/>
      <c r="AH85" s="307" t="s">
        <v>20</v>
      </c>
    </row>
    <row r="86" spans="1:34" x14ac:dyDescent="0.35">
      <c r="B86" s="132" t="s">
        <v>10</v>
      </c>
      <c r="C86" s="304" t="s">
        <v>65</v>
      </c>
      <c r="D86" s="628" t="s">
        <v>65</v>
      </c>
      <c r="E86" s="628"/>
      <c r="F86" s="304" t="s">
        <v>65</v>
      </c>
      <c r="G86" s="304" t="s">
        <v>65</v>
      </c>
      <c r="H86" s="304" t="s">
        <v>65</v>
      </c>
      <c r="I86" s="628" t="s">
        <v>65</v>
      </c>
      <c r="J86" s="628"/>
      <c r="K86" s="304" t="s">
        <v>65</v>
      </c>
      <c r="L86" s="304" t="s">
        <v>65</v>
      </c>
      <c r="M86" s="628" t="s">
        <v>65</v>
      </c>
      <c r="N86" s="628"/>
      <c r="O86" s="304" t="s">
        <v>65</v>
      </c>
      <c r="P86" s="304" t="s">
        <v>65</v>
      </c>
      <c r="Q86" s="628" t="s">
        <v>65</v>
      </c>
      <c r="R86" s="628"/>
      <c r="S86" s="304" t="s">
        <v>65</v>
      </c>
      <c r="T86" s="628" t="s">
        <v>65</v>
      </c>
      <c r="U86" s="628"/>
      <c r="V86" s="628" t="s">
        <v>65</v>
      </c>
      <c r="W86" s="628"/>
      <c r="X86" s="628"/>
      <c r="Y86" s="628"/>
      <c r="Z86" s="304" t="s">
        <v>65</v>
      </c>
      <c r="AA86" s="628" t="s">
        <v>65</v>
      </c>
      <c r="AB86" s="628"/>
      <c r="AC86" s="628" t="s">
        <v>65</v>
      </c>
      <c r="AD86" s="628"/>
      <c r="AE86" s="628" t="s">
        <v>65</v>
      </c>
      <c r="AF86" s="628"/>
      <c r="AG86" s="628"/>
      <c r="AH86" s="304" t="s">
        <v>65</v>
      </c>
    </row>
    <row r="87" spans="1:34" x14ac:dyDescent="0.35">
      <c r="B87" s="107" t="str">
        <f>AO4</f>
        <v>Proveedor 1x</v>
      </c>
      <c r="C87" s="304">
        <f>IF(OR($B87="No Aplica",$B87="",$B87="N/A",$B87="NA",$B87="na"),0,COUNTIFS('G. de Incidentes'!$G$18:$G$1024,"Error",'G. de Incidentes'!$F$18:$F$1024,"Stopper",'G. de Incidentes'!$O$18:$O$1024,"Funcionalidad",'G. de Incidentes'!$D$18:$D$1024,$B87,'G. de Incidentes'!$H$18:$H$1024,"Si",'G. de Incidentes'!B18:B1024,Param_General!$C$74))</f>
        <v>0</v>
      </c>
      <c r="D87" s="628">
        <f>IF(OR($B87="No Aplica",$B87="",$B87="N/A",$B87="NA",$B87="na"),0,COUNTIFS('G. de Incidentes'!$G$18:$G$1024,"Error",'G. de Incidentes'!$F$18:$F$1024,"Alta",'G. de Incidentes'!$O$18:$O$1024,"Funcionalidad",'G. de Incidentes'!$D$18:$D$1024,$B87,'G. de Incidentes'!$H$18:$H$1024,"Si",'G. de Incidentes'!B18:B1024,Param_General!$C$74))</f>
        <v>0</v>
      </c>
      <c r="E87" s="628"/>
      <c r="F87" s="304">
        <f>IF(OR($B87="No Aplica",$B87="",$B87="N/A",$B87="NA",$B87="na"),0,COUNTIFS('G. de Incidentes'!$G$18:$G$1024,"Error",'G. de Incidentes'!$F$18:$F$1024,"Media",'G. de Incidentes'!$O$18:$O$1024,"Funcionalidad",'G. de Incidentes'!$D$18:$D$1024,$B87,'G. de Incidentes'!$H$18:$H$1024,"Si",'G. de Incidentes'!B18:B1024,Param_General!$C$74))</f>
        <v>0</v>
      </c>
      <c r="G87" s="304">
        <f>IF(OR($B87="No Aplica",$B87="",$B87="N/A",$B87="NA",$B87="na"),0,COUNTIFS('G. de Incidentes'!$G$18:$G$1024,"Error",'G. de Incidentes'!$F$18:$F$1024,"Baja",'G. de Incidentes'!$O$18:$O$1024,"Funcionalidad",'G. de Incidentes'!$D$18:$D$1024,$B87,'G. de Incidentes'!$H$18:$H$1024,"Si",'G. de Incidentes'!B18:B1024,Param_General!$C$74))</f>
        <v>0</v>
      </c>
      <c r="H87" s="304">
        <f>IF(OR($B87="No Aplica",$B87="",$B87="N/A",$B87="NA",$B87="na"),0,COUNTIFS('G. de Incidentes'!$G$18:$G$1024,"Error",'G. de Incidentes'!$F$18:$F$1024,"Stopper",'G. de Incidentes'!$O$18:$O$1024,"Documentación",'G. de Incidentes'!$D$18:$D$1024,$B87,'G. de Incidentes'!$H$18:$H$1024,"Si",'G. de Incidentes'!B18:B1024,Param_General!$C$74))</f>
        <v>0</v>
      </c>
      <c r="I87" s="628">
        <f>IF(OR($B87="No Aplica",$B87="",$B87="N/A",$B87="NA",$B87="na"),0,COUNTIFS('G. de Incidentes'!$G$18:$G$1024,"Error",'G. de Incidentes'!$F$18:$F$1024,"Alta",'G. de Incidentes'!$O$18:$O$1024,"Documentación",'G. de Incidentes'!$D$18:$D$1024,$B87,'G. de Incidentes'!$H$18:$H$1024,"Si",'G. de Incidentes'!B18:B1024,Param_General!$C$74))</f>
        <v>0</v>
      </c>
      <c r="J87" s="628"/>
      <c r="K87" s="304">
        <f>IF(OR($B87="No Aplica",$B87="",$B87="N/A",$B87="NA",$B87="na"),0,COUNTIFS('G. de Incidentes'!$G$18:$G$1024,"Error",'G. de Incidentes'!$F$18:$F$1024,"Media",'G. de Incidentes'!$O$18:$O$1024,"Documentación",'G. de Incidentes'!$D$18:$D$1024,$B87,'G. de Incidentes'!$H$18:$H$1024,"Si",'G. de Incidentes'!B18:B1024,Param_General!$C$74))</f>
        <v>0</v>
      </c>
      <c r="L87" s="304">
        <f>IF(OR($B87="No Aplica",$B87="",$B87="N/A",$B87="NA",$B87="na"),0,COUNTIFS('G. de Incidentes'!$G$18:$G$1024,"Error",'G. de Incidentes'!$F$18:$F$1024,"Baja",'G. de Incidentes'!$O$18:$O$1024,"Documentación",'G. de Incidentes'!$D$18:$D$1024,$B87,'G. de Incidentes'!$H$18:$H$1024,"Si",'G. de Incidentes'!B18:B1024,Param_General!$C$74))</f>
        <v>0</v>
      </c>
      <c r="M87" s="628">
        <f>IF(OR($B87="No Aplica",$B87="",$B87="N/A",$B87="NA",$B87="na"),0,COUNTIFS('G. de Incidentes'!$G$18:$G$1024,"Error",'G. de Incidentes'!$F$18:$F$1024,"Stopper",'G. de Incidentes'!$O$18:$O$1024,"Presentación",'G. de Incidentes'!$D$18:$D$1024,$B87,'G. de Incidentes'!$H$18:$H$1024,"Si",'G. de Incidentes'!B18:B1024,Param_General!$C$74))</f>
        <v>0</v>
      </c>
      <c r="N87" s="628"/>
      <c r="O87" s="304">
        <f>IF(OR($B87="No Aplica",$B87="",$B87="N/A",$B87="NA",$B87="na"),0,COUNTIFS('G. de Incidentes'!$G$18:$G$1024,"Error",'G. de Incidentes'!$F$18:$F$1024,"Alta",'G. de Incidentes'!$O$18:$O$1024,"Presentación",'G. de Incidentes'!$D$18:$D$1024,$B87,'G. de Incidentes'!$H$18:$H$1024,"Si",'G. de Incidentes'!B18:B1024,Param_General!$C$74))</f>
        <v>0</v>
      </c>
      <c r="P87" s="304">
        <f>IF(OR($B87="No Aplica",$B87="",$B87="N/A",$B87="NA",$B87="na"),0,COUNTIFS('G. de Incidentes'!$G$18:$G$1024,"Error",'G. de Incidentes'!$F$18:$F$1024,"Media",'G. de Incidentes'!$O$18:$O$1024,"Presentación",'G. de Incidentes'!$D$18:$D$1024,$B87,'G. de Incidentes'!$H$18:$H$1024,"Si",'G. de Incidentes'!B18:B1024,Param_General!$C$74))</f>
        <v>0</v>
      </c>
      <c r="Q87" s="628">
        <f>IF(OR($B87="No Aplica",$B87="",$B87="N/A",$B87="NA",$B87="na"),0,COUNTIFS('G. de Incidentes'!$G$18:$G$1024,"Error",'G. de Incidentes'!$F$18:$F$1024,"Baja",'G. de Incidentes'!$O$18:$O$1024,"Presentación",'G. de Incidentes'!$D$18:$D$1024,$B87,'G. de Incidentes'!$H$18:$H$1024,"Si",'G. de Incidentes'!B18:B1024,Param_General!$C$74))</f>
        <v>0</v>
      </c>
      <c r="R87" s="628"/>
      <c r="S87" s="304">
        <f>IF(OR($B87="No Aplica",$B87="",$B87="N/A",$B87="NA",$B87="na"),0,COUNTIFS('G. de Incidentes'!$G$18:$G$1024,"Error",'G. de Incidentes'!$F$18:$F$1024,"Stopper",'G. de Incidentes'!$O$18:$O$1024,"Rendimiento",'G. de Incidentes'!$D$18:$D$1024,$B87,'G. de Incidentes'!$H$18:$H$1024,"Si",'G. de Incidentes'!B18:B1024,Param_General!$C$74))</f>
        <v>0</v>
      </c>
      <c r="T87" s="628">
        <f>IF(OR($B87="No Aplica",$B87="",$B87="N/A",$B87="NA",$B87="na"),0,COUNTIFS('G. de Incidentes'!$G$18:$G$1024,"Error",'G. de Incidentes'!$F$18:$F$1024,"Alta",'G. de Incidentes'!$O$18:$O$1024,"Rendimiento",'G. de Incidentes'!$D$18:$D$1024,$B87,'G. de Incidentes'!$H$18:$H$1024,"Si",'G. de Incidentes'!B18:B1024,Param_General!$C$74))</f>
        <v>0</v>
      </c>
      <c r="U87" s="628"/>
      <c r="V87" s="628">
        <f>IF(OR($B87="No Aplica",$B87="",$B87="N/A",$B87="NA",$B87="na"),0,COUNTIFS('G. de Incidentes'!$G$18:$G$1024,"Error",'G. de Incidentes'!$F$18:$F$1024,"Media",'G. de Incidentes'!$O$18:$O$1024,"Rendimiento",'G. de Incidentes'!$D$18:$D$1024,$B87,'G. de Incidentes'!$H$18:$H$1024,"Si",'G. de Incidentes'!B18:B1024,Param_General!$C$74))</f>
        <v>0</v>
      </c>
      <c r="W87" s="628"/>
      <c r="X87" s="628"/>
      <c r="Y87" s="628"/>
      <c r="Z87" s="304">
        <f>IF(OR($B87="No Aplica",$B87="",$B87="N/A",$B87="NA",$B87="na"),0,COUNTIFS('G. de Incidentes'!$G$18:$G$1024,"Error",'G. de Incidentes'!$F$18:$F$1024,"Baja",'G. de Incidentes'!$O$18:$O$1024,"Rendimiento",'G. de Incidentes'!$D$18:$D$1024,$B87,'G. de Incidentes'!$H$18:$H$1024,"Si",'G. de Incidentes'!B18:B1024,Param_General!$C$74))</f>
        <v>0</v>
      </c>
      <c r="AA87" s="628">
        <f>IF(OR($B87="No Aplica",$B87="",$B87="N/A",$B87="NA",$B87="na"),0,COUNTIFS('G. de Incidentes'!$G$18:$G$1024,"Error",'G. de Incidentes'!$F$18:$F$1024,"Stopper",'G. de Incidentes'!$O$18:$O$1024,"Seguridad",'G. de Incidentes'!$D$18:$D$1024,$B87,'G. de Incidentes'!$H$18:$H$1024,"Si",'G. de Incidentes'!B18:B1024,Param_General!$C$74))</f>
        <v>0</v>
      </c>
      <c r="AB87" s="628"/>
      <c r="AC87" s="628">
        <f>IF(OR($B87="No Aplica",$B87="",$B87="N/A",$B87="NA",$B87="na"),0,COUNTIFS('G. de Incidentes'!$G$18:$G$1024,"Error",'G. de Incidentes'!$F$18:$F$1024,"Alta",'G. de Incidentes'!$O$18:$O$1024,"Seguridad",'G. de Incidentes'!$D$18:$D$1024,$B87,'G. de Incidentes'!$H$18:$H$1024,"Si",'G. de Incidentes'!B18:B1024,Param_General!$C$74))</f>
        <v>0</v>
      </c>
      <c r="AD87" s="628"/>
      <c r="AE87" s="628">
        <f>IF(OR($B87="No Aplica",$B87="",$B87="N/A",$B87="NA",$B87="na"),0,COUNTIFS('G. de Incidentes'!$G$18:$G$1024,"Error",'G. de Incidentes'!$F$18:$F$1024,"Media",'G. de Incidentes'!$O$18:$O$1024,"Seguridad",'G. de Incidentes'!$D$18:$D$1024,$B87,'G. de Incidentes'!$H$18:$H$1024,"Si",'G. de Incidentes'!B18:B1024,Param_General!$C$74))</f>
        <v>0</v>
      </c>
      <c r="AF87" s="628"/>
      <c r="AG87" s="628"/>
      <c r="AH87" s="304">
        <f>IF(OR($B87="No Aplica",$B87="",$B87="N/A",$B87="NA",$B87="na"),0,COUNTIFS('G. de Incidentes'!$G$18:$G$1024,"Error",'G. de Incidentes'!$F$18:$F$1024,"Baja",'G. de Incidentes'!$O$18:$O$1024,"Seguridad",'G. de Incidentes'!$D$18:$D$1024,$B87,'G. de Incidentes'!$H$18:$H$1024,"Si",'G. de Incidentes'!B18:B1024,Param_General!$C$74))</f>
        <v>0</v>
      </c>
    </row>
    <row r="88" spans="1:34" x14ac:dyDescent="0.35">
      <c r="B88" s="107" t="str">
        <f t="shared" ref="B88:B90" si="2">AO5</f>
        <v>Proveedor 2x</v>
      </c>
      <c r="C88" s="304">
        <f>IF(OR($B88="No Aplica",$B88="",$B88="N/A",$B88="NA",$B88="na"),0,COUNTIFS('G. de Incidentes'!$G$18:$G$1024,"Error",'G. de Incidentes'!$F$18:$F$1024,"Stopper",'G. de Incidentes'!$O$18:$O$1024,"Funcionalidad",'G. de Incidentes'!$D$18:$D$1024,$B88,'G. de Incidentes'!$H$18:$H$1024,"Si",'G. de Incidentes'!B18:B1024,Param_General!$C$74))</f>
        <v>0</v>
      </c>
      <c r="D88" s="628">
        <f>IF(OR($B88="No Aplica",$B88="",$B88="N/A",$B88="NA",$B88="na"),0,COUNTIFS('G. de Incidentes'!$G$18:$G$1024,"Error",'G. de Incidentes'!$F$18:$F$1024,"Alta",'G. de Incidentes'!$O$18:$O$1024,"Funcionalidad",'G. de Incidentes'!$D$18:$D$1024,$B88,'G. de Incidentes'!$H$18:$H$1024,"Si",'G. de Incidentes'!B18:B1024,Param_General!$C$74))</f>
        <v>0</v>
      </c>
      <c r="E88" s="628"/>
      <c r="F88" s="304">
        <f>IF(OR($B88="No Aplica",$B88="",$B88="N/A",$B88="NA",$B88="na"),0,COUNTIFS('G. de Incidentes'!$G$18:$G$1024,"Error",'G. de Incidentes'!$F$18:$F$1024,"Media",'G. de Incidentes'!$O$18:$O$1024,"Funcionalidad",'G. de Incidentes'!$D$18:$D$1024,$B88,'G. de Incidentes'!$H$18:$H$1024,"Si",'G. de Incidentes'!B18:B1024,Param_General!$C$74))</f>
        <v>0</v>
      </c>
      <c r="G88" s="304">
        <f>IF(OR($B88="No Aplica",$B88="",$B88="N/A",$B88="NA",$B88="na"),0,COUNTIFS('G. de Incidentes'!$G$18:$G$1024,"Error",'G. de Incidentes'!$F$18:$F$1024,"Baja",'G. de Incidentes'!$O$18:$O$1024,"Funcionalidad",'G. de Incidentes'!$D$18:$D$1024,$B88,'G. de Incidentes'!$H$18:$H$1024,"Si",'G. de Incidentes'!B18:B1024,Param_General!$C$74))</f>
        <v>0</v>
      </c>
      <c r="H88" s="304">
        <f>IF(OR($B88="No Aplica",$B88="",$B88="N/A",$B88="NA",$B88="na"),0,COUNTIFS('G. de Incidentes'!$G$18:$G$1024,"Error",'G. de Incidentes'!$F$18:$F$1024,"Stopper",'G. de Incidentes'!$O$18:$O$1024,"Documentación",'G. de Incidentes'!$D$18:$D$1024,$B88,'G. de Incidentes'!$H$18:$H$1024,"Si",'G. de Incidentes'!B18:B1024,Param_General!$C$74))</f>
        <v>0</v>
      </c>
      <c r="I88" s="628">
        <f>IF(OR($B88="No Aplica",$B88="",$B88="N/A",$B88="NA",$B88="na"),0,COUNTIFS('G. de Incidentes'!$G$18:$G$1024,"Error",'G. de Incidentes'!$F$18:$F$1024,"Alta",'G. de Incidentes'!$O$18:$O$1024,"Documentación",'G. de Incidentes'!$D$18:$D$1024,$B88,'G. de Incidentes'!$H$18:$H$1024,"Si",'G. de Incidentes'!B18:B1024,Param_General!$C$74))</f>
        <v>0</v>
      </c>
      <c r="J88" s="628"/>
      <c r="K88" s="304">
        <f>IF(OR($B88="No Aplica",$B88="",$B88="N/A",$B88="NA",$B88="na"),0,COUNTIFS('G. de Incidentes'!$G$18:$G$1024,"Error",'G. de Incidentes'!$F$18:$F$1024,"Media",'G. de Incidentes'!$O$18:$O$1024,"Documentación",'G. de Incidentes'!$D$18:$D$1024,$B88,'G. de Incidentes'!$H$18:$H$1024,"Si",'G. de Incidentes'!B18:B1024,Param_General!$C$74))</f>
        <v>0</v>
      </c>
      <c r="L88" s="304">
        <f>IF(OR($B88="No Aplica",$B88="",$B88="N/A",$B88="NA",$B88="na"),0,COUNTIFS('G. de Incidentes'!$G$18:$G$1024,"Error",'G. de Incidentes'!$F$18:$F$1024,"Baja",'G. de Incidentes'!$O$18:$O$1024,"Documentación",'G. de Incidentes'!$D$18:$D$1024,$B88,'G. de Incidentes'!$H$18:$H$1024,"Si",'G. de Incidentes'!B18:B1024,Param_General!$C$74))</f>
        <v>0</v>
      </c>
      <c r="M88" s="628">
        <f>IF(OR($B88="No Aplica",$B88="",$B88="N/A",$B88="NA",$B88="na"),0,COUNTIFS('G. de Incidentes'!$G$18:$G$1024,"Error",'G. de Incidentes'!$F$18:$F$1024,"Stopper",'G. de Incidentes'!$O$18:$O$1024,"Presentación",'G. de Incidentes'!$D$18:$D$1024,$B88,'G. de Incidentes'!$H$18:$H$1024,"Si",'G. de Incidentes'!B18:B1024,Param_General!$C$74))</f>
        <v>0</v>
      </c>
      <c r="N88" s="628"/>
      <c r="O88" s="304">
        <f>IF(OR($B88="No Aplica",$B88="",$B88="N/A",$B88="NA",$B88="na"),0,COUNTIFS('G. de Incidentes'!$G$18:$G$1024,"Error",'G. de Incidentes'!$F$18:$F$1024,"Alta",'G. de Incidentes'!$O$18:$O$1024,"Presentación",'G. de Incidentes'!$D$18:$D$1024,$B88,'G. de Incidentes'!$H$18:$H$1024,"Si",'G. de Incidentes'!B18:B1024,Param_General!$C$74))</f>
        <v>0</v>
      </c>
      <c r="P88" s="304">
        <f>IF(OR($B88="No Aplica",$B88="",$B88="N/A",$B88="NA",$B88="na"),0,COUNTIFS('G. de Incidentes'!$G$18:$G$1024,"Error",'G. de Incidentes'!$F$18:$F$1024,"Media",'G. de Incidentes'!$O$18:$O$1024,"Presentación",'G. de Incidentes'!$D$18:$D$1024,$B88,'G. de Incidentes'!$H$18:$H$1024,"Si",'G. de Incidentes'!B18:B1024,Param_General!$C$74))</f>
        <v>0</v>
      </c>
      <c r="Q88" s="628">
        <f>IF(OR($B88="No Aplica",$B88="",$B88="N/A",$B88="NA",$B88="na"),0,COUNTIFS('G. de Incidentes'!$G$18:$G$1024,"Error",'G. de Incidentes'!$F$18:$F$1024,"Baja",'G. de Incidentes'!$O$18:$O$1024,"Presentación",'G. de Incidentes'!$D$18:$D$1024,$B88,'G. de Incidentes'!$H$18:$H$1024,"Si",'G. de Incidentes'!B18:B1024,Param_General!$C$74))</f>
        <v>0</v>
      </c>
      <c r="R88" s="628"/>
      <c r="S88" s="304">
        <f>IF(OR($B88="No Aplica",$B88="",$B88="N/A",$B88="NA",$B88="na"),0,COUNTIFS('G. de Incidentes'!$G$18:$G$1024,"Error",'G. de Incidentes'!$F$18:$F$1024,"Stopper",'G. de Incidentes'!$O$18:$O$1024,"Rendimiento",'G. de Incidentes'!$D$18:$D$1024,$B88,'G. de Incidentes'!$H$18:$H$1024,"Si",'G. de Incidentes'!B18:B1024,Param_General!$C$74))</f>
        <v>0</v>
      </c>
      <c r="T88" s="628">
        <f>IF(OR($B88="No Aplica",$B88="",$B88="N/A",$B88="NA",$B88="na"),0,COUNTIFS('G. de Incidentes'!$G$18:$G$1024,"Error",'G. de Incidentes'!$F$18:$F$1024,"Alta",'G. de Incidentes'!$O$18:$O$1024,"Rendimiento",'G. de Incidentes'!$D$18:$D$1024,$B88,'G. de Incidentes'!$H$18:$H$1024,"Si",'G. de Incidentes'!B18:B1024,Param_General!$C$74))</f>
        <v>0</v>
      </c>
      <c r="U88" s="628"/>
      <c r="V88" s="628">
        <f>IF(OR($B88="No Aplica",$B88="",$B88="N/A",$B88="NA",$B88="na"),0,COUNTIFS('G. de Incidentes'!$G$18:$G$1024,"Error",'G. de Incidentes'!$F$18:$F$1024,"Media",'G. de Incidentes'!$O$18:$O$1024,"Rendimiento",'G. de Incidentes'!$D$18:$D$1024,"GyG",'G. de Incidentes'!$H$18:$H$1024,"Si",'G. de Incidentes'!B18:B1024,Param_General!$C$74))</f>
        <v>0</v>
      </c>
      <c r="W88" s="628"/>
      <c r="X88" s="628"/>
      <c r="Y88" s="628"/>
      <c r="Z88" s="304">
        <f>IF(OR($B88="No Aplica",$B88="",$B88="N/A",$B88="NA",$B88="na"),0,COUNTIFS('G. de Incidentes'!$G$18:$G$1024,"Error",'G. de Incidentes'!$F$18:$F$1024,"Baja",'G. de Incidentes'!$O$18:$O$1024,"Rendimiento",'G. de Incidentes'!$D$18:$D$1024,$B88,'G. de Incidentes'!$H$18:$H$1024,"Si",'G. de Incidentes'!B18:B1024,Param_General!$C$74))</f>
        <v>0</v>
      </c>
      <c r="AA88" s="628">
        <f>IF(OR($B88="No Aplica",$B88="",$B88="N/A",$B88="NA",$B88="na"),0,COUNTIFS('G. de Incidentes'!$G$18:$G$1024,"Error",'G. de Incidentes'!$F$18:$F$1024,"Stopper",'G. de Incidentes'!$O$18:$O$1024,"Seguridad",'G. de Incidentes'!$D$18:$D$1024,$B88,'G. de Incidentes'!$H$18:$H$1024,"Si",'G. de Incidentes'!B18:B1024,Param_General!$C$74))</f>
        <v>0</v>
      </c>
      <c r="AB88" s="628"/>
      <c r="AC88" s="628">
        <f>IF(OR($B88="No Aplica",$B88="",$B88="N/A",$B88="NA",$B88="na"),0,COUNTIFS('G. de Incidentes'!$G$18:$G$1024,"Error",'G. de Incidentes'!$F$18:$F$1024,"Alta",'G. de Incidentes'!$O$18:$O$1024,"Seguridad",'G. de Incidentes'!$D$18:$D$1024,$B88,'G. de Incidentes'!$H$18:$H$1024,"Si",'G. de Incidentes'!B18:B1024,Param_General!$C$74))</f>
        <v>0</v>
      </c>
      <c r="AD88" s="628"/>
      <c r="AE88" s="628">
        <f>IF(OR($B88="No Aplica",$B88="",$B88="N/A",$B88="NA",$B88="na"),0,COUNTIFS('G. de Incidentes'!$G$18:$G$1024,"Error",'G. de Incidentes'!$F$18:$F$1024,"Media",'G. de Incidentes'!$O$18:$O$1024,"Seguridad",'G. de Incidentes'!$D$18:$D$1024,$B88,'G. de Incidentes'!$H$18:$H$1024,"Si",'G. de Incidentes'!B18:B1024,Param_General!$C$74))</f>
        <v>0</v>
      </c>
      <c r="AF88" s="628"/>
      <c r="AG88" s="628"/>
      <c r="AH88" s="304">
        <f>IF(OR($B88="No Aplica",$B88="",$B88="N/A",$B88="NA",$B88="na"),0,COUNTIFS('G. de Incidentes'!$G$18:$G$1024,"Error",'G. de Incidentes'!$F$18:$F$1024,"Baja",'G. de Incidentes'!$O$18:$O$1024,"Seguridad",'G. de Incidentes'!$D$18:$D$1024,$B88,'G. de Incidentes'!$H$18:$H$1024,"Si",'G. de Incidentes'!B18:B1024,Param_General!$C$74))</f>
        <v>0</v>
      </c>
    </row>
    <row r="89" spans="1:34" x14ac:dyDescent="0.35">
      <c r="B89" s="107" t="str">
        <f t="shared" si="2"/>
        <v>Proveedor 3x</v>
      </c>
      <c r="C89" s="304">
        <f>IF(OR($B89="No Aplica",$B89="",$B89="N/A",$B89="NA",$B89="na"),0,COUNTIFS('G. de Incidentes'!$G$18:$G$1024,"Error",'G. de Incidentes'!$F$18:$F$1024,"Stopper",'G. de Incidentes'!$O$18:$O$1024,"Funcionalidad",'G. de Incidentes'!$D$18:$D$1024,$B89,'G. de Incidentes'!$H$18:$H$1024,"Si",'G. de Incidentes'!B18:B1024,Param_General!$C$74))</f>
        <v>0</v>
      </c>
      <c r="D89" s="628">
        <f>IF(OR($B89="No Aplica",$B89="",$B89="N/A",$B89="NA",$B89="na"),0,COUNTIFS('G. de Incidentes'!$G$18:$G$1024,"Error",'G. de Incidentes'!$F$18:$F$1024,"Alta",'G. de Incidentes'!$O$18:$O$1024,"Funcionalidad",'G. de Incidentes'!$D$18:$D$1024,$B89,'G. de Incidentes'!$H$18:$H$1024,"Si",'G. de Incidentes'!B18:B1024,Param_General!$C$74))</f>
        <v>0</v>
      </c>
      <c r="E89" s="628"/>
      <c r="F89" s="304">
        <f>IF(OR($B89="No Aplica",$B89="",$B89="N/A",$B89="NA",$B89="na"),0,COUNTIFS('G. de Incidentes'!$G$18:$G$1024,"Error",'G. de Incidentes'!$F$18:$F$1024,"Media",'G. de Incidentes'!$O$18:$O$1024,"Funcionalidad",'G. de Incidentes'!$D$18:$D$1024,$B89,'G. de Incidentes'!$H$18:$H$1024,"Si",'G. de Incidentes'!B18:B1024,Param_General!$C$74))</f>
        <v>0</v>
      </c>
      <c r="G89" s="304">
        <f>IF(OR($B89="No Aplica",$B89="",$B89="N/A",$B89="NA",$B89="na"),0,COUNTIFS('G. de Incidentes'!$G$18:$G$1024,"Error",'G. de Incidentes'!$F$18:$F$1024,"Baja",'G. de Incidentes'!$O$18:$O$1024,"Funcionalidad",'G. de Incidentes'!$D$18:$D$1024,$B89,'G. de Incidentes'!$H$18:$H$1024,"Si",'G. de Incidentes'!B18:B1024,Param_General!$C$74))</f>
        <v>0</v>
      </c>
      <c r="H89" s="304">
        <f>IF(OR($B89="No Aplica",$B89="",$B89="N/A",$B89="NA",$B89="na"),0,COUNTIFS('G. de Incidentes'!$G$18:$G$1024,"Error",'G. de Incidentes'!$F$18:$F$1024,"Stopper",'G. de Incidentes'!$O$18:$O$1024,"Documentación",'G. de Incidentes'!$D$18:$D$1024,$B89,'G. de Incidentes'!$H$18:$H$1024,"Si",'G. de Incidentes'!B18:B1024,Param_General!$C$74))</f>
        <v>0</v>
      </c>
      <c r="I89" s="628">
        <f>IF(OR($B89="No Aplica",$B89="",$B89="N/A",$B89="NA",$B89="na"),0,COUNTIFS('G. de Incidentes'!$G$18:$G$1024,"Error",'G. de Incidentes'!$F$18:$F$1024,"Alta",'G. de Incidentes'!$O$18:$O$1024,"Documentación",'G. de Incidentes'!$D$18:$D$1024,$B89,'G. de Incidentes'!$H$18:$H$1024,"Si",'G. de Incidentes'!B18:B1024,Param_General!$C$74))</f>
        <v>0</v>
      </c>
      <c r="J89" s="628"/>
      <c r="K89" s="304">
        <f>IF(OR($B89="No Aplica",$B89="",$B89="N/A",$B89="NA",$B89="na"),0,COUNTIFS('G. de Incidentes'!$G$18:$G$1024,"Error",'G. de Incidentes'!$F$18:$F$1024,"Media",'G. de Incidentes'!$O$18:$O$1024,"Documentación",'G. de Incidentes'!$D$18:$D$1024,$B89,'G. de Incidentes'!$H$18:$H$1024,"Si",'G. de Incidentes'!B18:B1024,Param_General!$C$74))</f>
        <v>0</v>
      </c>
      <c r="L89" s="304">
        <f>IF(OR($B89="No Aplica",$B89="",$B89="N/A",$B89="NA",$B89="na"),0,COUNTIFS('G. de Incidentes'!$G$18:$G$1024,"Error",'G. de Incidentes'!$F$18:$F$1024,"Baja",'G. de Incidentes'!$O$18:$O$1024,"Documentación",'G. de Incidentes'!$D$18:$D$1024,$B89,'G. de Incidentes'!$H$18:$H$1024,"Si",'G. de Incidentes'!B18:B1024,Param_General!$C$74))</f>
        <v>0</v>
      </c>
      <c r="M89" s="628">
        <f>IF(OR($B89="No Aplica",$B89="",$B89="N/A",$B89="NA",$B89="na"),0,COUNTIFS('G. de Incidentes'!$G$18:$G$1024,"Error",'G. de Incidentes'!$F$18:$F$1024,"Stopper",'G. de Incidentes'!$O$18:$O$1024,"Presentación",'G. de Incidentes'!$D$18:$D$1024,$B89,'G. de Incidentes'!$H$18:$H$1024,"Si",'G. de Incidentes'!B18:B1024,Param_General!$C$74))</f>
        <v>0</v>
      </c>
      <c r="N89" s="628"/>
      <c r="O89" s="304">
        <f>IF(OR($B89="No Aplica",$B89="",$B89="N/A",$B89="NA",$B89="na"),0,COUNTIFS('G. de Incidentes'!$G$18:$G$1024,"Error",'G. de Incidentes'!$F$18:$F$1024,"Alta",'G. de Incidentes'!$O$18:$O$1024,"Presentación",'G. de Incidentes'!$D$18:$D$1024,$B89,'G. de Incidentes'!$H$18:$H$1024,"Si",'G. de Incidentes'!B18:B1024,Param_General!$C$74))</f>
        <v>0</v>
      </c>
      <c r="P89" s="304">
        <f>IF(OR($B89="No Aplica",$B89="",$B89="N/A",$B89="NA",$B89="na"),0,COUNTIFS('G. de Incidentes'!$G$18:$G$1024,"Error",'G. de Incidentes'!$F$18:$F$1024,"Media",'G. de Incidentes'!$O$18:$O$1024,"Presentación",'G. de Incidentes'!$D$18:$D$1024,$B89,'G. de Incidentes'!$H$18:$H$1024,"Si",'G. de Incidentes'!B18:B1024,Param_General!$C$74))</f>
        <v>0</v>
      </c>
      <c r="Q89" s="628">
        <f>IF(OR($B89="No Aplica",$B89="",$B89="N/A",$B89="NA",$B89="na"),0,COUNTIFS('G. de Incidentes'!$G$18:$G$1024,"Error",'G. de Incidentes'!$F$18:$F$1024,"Baja",'G. de Incidentes'!$O$18:$O$1024,"Presentación",'G. de Incidentes'!$D$18:$D$1024,$B89,'G. de Incidentes'!$H$18:$H$1024,"Si",'G. de Incidentes'!B18:B1024,Param_General!$C$74))</f>
        <v>0</v>
      </c>
      <c r="R89" s="628"/>
      <c r="S89" s="304">
        <f>IF(OR($B89="No Aplica",$B89="",$B89="N/A",$B89="NA",$B89="na"),0,COUNTIFS('G. de Incidentes'!$G$18:$G$1024,"Error",'G. de Incidentes'!$F$18:$F$1024,"Stopper",'G. de Incidentes'!$O$18:$O$1024,"Rendimiento",'G. de Incidentes'!$D$18:$D$1024,$B89,'G. de Incidentes'!$H$18:$H$1024,"Si",'G. de Incidentes'!B18:B1024,Param_General!$C$74))</f>
        <v>0</v>
      </c>
      <c r="T89" s="628">
        <f>IF(OR($B89="No Aplica",$B89="",$B89="N/A",$B89="NA",$B89="na"),0,COUNTIFS('G. de Incidentes'!$G$18:$G$1024,"Error",'G. de Incidentes'!$F$18:$F$1024,"Alta",'G. de Incidentes'!$O$18:$O$1024,"Rendimiento",'G. de Incidentes'!$D$18:$D$1024,$B89,'G. de Incidentes'!$H$18:$H$1024,"Si",'G. de Incidentes'!B18:B1024,Param_General!$C$74))</f>
        <v>0</v>
      </c>
      <c r="U89" s="628"/>
      <c r="V89" s="628">
        <f>IF(OR($B89="No Aplica",$B89="",$B89="N/A",$B89="NA",$B89="na"),0,COUNTIFS('G. de Incidentes'!$G$18:$G$1024,"Error",'G. de Incidentes'!$F$18:$F$1024,"Media",'G. de Incidentes'!$O$18:$O$1024,"Rendimiento",'G. de Incidentes'!$D$18:$D$1024,$B89,'G. de Incidentes'!$H$18:$H$1024,"Si",'G. de Incidentes'!B18:B1024,Param_General!$C$74))</f>
        <v>0</v>
      </c>
      <c r="W89" s="628"/>
      <c r="X89" s="628"/>
      <c r="Y89" s="628"/>
      <c r="Z89" s="304">
        <f>IF(OR($B89="No Aplica",$B89="",$B89="N/A",$B89="NA",$B89="na"),0,COUNTIFS('G. de Incidentes'!$G$18:$G$1024,"Error",'G. de Incidentes'!$F$18:$F$1024,"Baja",'G. de Incidentes'!$O$18:$O$1024,"Rendimiento",'G. de Incidentes'!$D$18:$D$1024,$B89,'G. de Incidentes'!$H$18:$H$1024,"Si",'G. de Incidentes'!B18:B1024,Param_General!$C$74))</f>
        <v>0</v>
      </c>
      <c r="AA89" s="628">
        <f>IF(OR($B89="No Aplica",$B89="",$B89="N/A",$B89="NA",$B89="na"),0,COUNTIFS('G. de Incidentes'!$G$18:$G$1024,"Error",'G. de Incidentes'!$F$18:$F$1024,"Stopper",'G. de Incidentes'!$O$18:$O$1024,"Seguridad",'G. de Incidentes'!$D$18:$D$1024,$B89,'G. de Incidentes'!$H$18:$H$1024,"Si",'G. de Incidentes'!B18:B1024,Param_General!$C$74))</f>
        <v>0</v>
      </c>
      <c r="AB89" s="628"/>
      <c r="AC89" s="628">
        <f>IF(OR($B89="No Aplica",$B89="",$B89="N/A",$B89="NA",$B89="na"),0,COUNTIFS('G. de Incidentes'!$G$18:$G$1024,"Error",'G. de Incidentes'!$F$18:$F$1024,"Alta",'G. de Incidentes'!$O$18:$O$1024,"Seguridad",'G. de Incidentes'!$D$18:$D$1024,$B89,'G. de Incidentes'!$H$18:$H$1024,"Si",'G. de Incidentes'!B18:B1024,Param_General!$C$74))</f>
        <v>0</v>
      </c>
      <c r="AD89" s="628"/>
      <c r="AE89" s="628">
        <f>IF(OR($B89="No Aplica",$B89="",$B89="N/A",$B89="NA",$B89="na"),0,COUNTIFS('G. de Incidentes'!$G$18:$G$1024,"Error",'G. de Incidentes'!$F$18:$F$1024,"Media",'G. de Incidentes'!$O$18:$O$1024,"Seguridad",'G. de Incidentes'!$D$18:$D$1024,$B89,'G. de Incidentes'!$H$18:$H$1024,"Si",'G. de Incidentes'!B18:B1024,Param_General!$C$74))</f>
        <v>0</v>
      </c>
      <c r="AF89" s="628"/>
      <c r="AG89" s="628"/>
      <c r="AH89" s="304">
        <f>IF(OR($B89="No Aplica",$B89="",$B89="N/A",$B89="NA",$B89="na"),0,COUNTIFS('G. de Incidentes'!$G$18:$G$1024,"Error",'G. de Incidentes'!$F$18:$F$1024,"Baja",'G. de Incidentes'!$O$18:$O$1024,"Seguridad",'G. de Incidentes'!$D$18:$D$1024,$B89,'G. de Incidentes'!$H$18:$H$1024,"Si",'G. de Incidentes'!B18:B1024,Param_General!$C$74))</f>
        <v>0</v>
      </c>
    </row>
    <row r="90" spans="1:34" x14ac:dyDescent="0.35">
      <c r="B90" s="107">
        <f t="shared" si="2"/>
        <v>0</v>
      </c>
      <c r="C90" s="304">
        <f>IF(OR($B90="No Aplica",$B90="",$B90="N/A",$B90="NA",$B90="na"),0,COUNTIFS('G. de Incidentes'!$G$18:$G$1024,"Error",'G. de Incidentes'!$F$18:$F$1024,"Stopper",'G. de Incidentes'!$O$18:$O$1024,"Funcionalidad",'G. de Incidentes'!$D$18:$D$1024,$B90,'G. de Incidentes'!$H$18:$H$1024,"Si",'G. de Incidentes'!B18:B1024,Param_General!$C$74))</f>
        <v>0</v>
      </c>
      <c r="D90" s="628">
        <f>IF(OR($B90="No Aplica",$B90="",$B90="N/A",$B90="NA",$B90="na"),0,COUNTIFS('G. de Incidentes'!$G$18:$G$1024,"Error",'G. de Incidentes'!$F$18:$F$1024,"Alta",'G. de Incidentes'!$O$18:$O$1024,"Funcionalidad",'G. de Incidentes'!$D$18:$D$1024,$B90,'G. de Incidentes'!$H$18:$H$1024,"Si",'G. de Incidentes'!B18:B1024,Param_General!$C$74))</f>
        <v>0</v>
      </c>
      <c r="E90" s="628"/>
      <c r="F90" s="304">
        <f>IF(OR($B90="No Aplica",$B90="",$B90="N/A",$B90="NA",$B90="na"),0,COUNTIFS('G. de Incidentes'!$G$18:$G$1024,"Error",'G. de Incidentes'!$F$18:$F$1024,"Media",'G. de Incidentes'!$O$18:$O$1024,"Funcionalidad",'G. de Incidentes'!$D$18:$D$1024,$B90,'G. de Incidentes'!$H$18:$H$1024,"Si",'G. de Incidentes'!B18:B1024,Param_General!$C$74))</f>
        <v>0</v>
      </c>
      <c r="G90" s="304">
        <f>IF(OR($B90="No Aplica",$B90="",$B90="N/A",$B90="NA",$B90="na"),0,COUNTIFS('G. de Incidentes'!$G$18:$G$1024,"Error",'G. de Incidentes'!$F$18:$F$1024,"Baja",'G. de Incidentes'!$O$18:$O$1024,"Funcionalidad",'G. de Incidentes'!$D$18:$D$1024,$B90,'G. de Incidentes'!$H$18:$H$1024,"Si",'G. de Incidentes'!B18:B1024,Param_General!$C$74))</f>
        <v>0</v>
      </c>
      <c r="H90" s="304">
        <f>IF(OR($B90="No Aplica",$B90="",$B90="N/A",$B90="NA",$B90="na"),0,COUNTIFS('G. de Incidentes'!$G$18:$G$1024,"Error",'G. de Incidentes'!$F$18:$F$1024,"Stopper",'G. de Incidentes'!$O$18:$O$1024,"Documentación",'G. de Incidentes'!$D$18:$D$1024,$B90,'G. de Incidentes'!$H$18:$H$1024,"Si",'G. de Incidentes'!B18:B1024,Param_General!$C$74))</f>
        <v>0</v>
      </c>
      <c r="I90" s="628">
        <f>IF(OR($B90="No Aplica",$B90="",$B90="N/A",$B90="NA",$B90="na"),0,COUNTIFS('G. de Incidentes'!$G$18:$G$1024,"Error",'G. de Incidentes'!$F$18:$F$1024,"Alta",'G. de Incidentes'!$O$18:$O$1024,"Documentación",'G. de Incidentes'!$D$18:$D$1024,$B90,'G. de Incidentes'!$H$18:$H$1024,"Si",'G. de Incidentes'!B18:B1024,Param_General!$C$74))</f>
        <v>0</v>
      </c>
      <c r="J90" s="628"/>
      <c r="K90" s="304">
        <f>IF(OR($B90="No Aplica",$B90="",$B90="N/A",$B90="NA",$B90="na"),0,COUNTIFS('G. de Incidentes'!$G$18:$G$1024,"Error",'G. de Incidentes'!$F$18:$F$1024,"Media",'G. de Incidentes'!$O$18:$O$1024,"Documentación",'G. de Incidentes'!$D$18:$D$1024,$B90,'G. de Incidentes'!$H$18:$H$1024,"Si",'G. de Incidentes'!B18:B1024,Param_General!$C$74))</f>
        <v>0</v>
      </c>
      <c r="L90" s="304">
        <f>IF(OR($B90="No Aplica",$B90="",$B90="N/A",$B90="NA",$B90="na"),0,COUNTIFS('G. de Incidentes'!$G$18:$G$1024,"Error",'G. de Incidentes'!$F$18:$F$1024,"Baja",'G. de Incidentes'!$O$18:$O$1024,"Documentación",'G. de Incidentes'!$D$18:$D$1024,$B90,'G. de Incidentes'!$H$18:$H$1024,"Si",'G. de Incidentes'!B18:B1024,Param_General!$C$74))</f>
        <v>0</v>
      </c>
      <c r="M90" s="628">
        <f>IF(OR($B90="No Aplica",$B90="",$B90="N/A",$B90="NA",$B90="na"),0,COUNTIFS('G. de Incidentes'!$G$18:$G$1024,"Error",'G. de Incidentes'!$F$18:$F$1024,"Stopper",'G. de Incidentes'!$O$18:$O$1024,"Presentación",'G. de Incidentes'!$D$18:$D$1024,$B90,'G. de Incidentes'!$H$18:$H$1024,"Si",'G. de Incidentes'!B18:B1024,Param_General!$C$74))</f>
        <v>0</v>
      </c>
      <c r="N90" s="628"/>
      <c r="O90" s="304">
        <f>IF(OR($B90="No Aplica",$B90="",$B90="N/A",$B90="NA",$B90="na"),0,COUNTIFS('G. de Incidentes'!$G$18:$G$1024,"Error",'G. de Incidentes'!$F$18:$F$1024,"Alta",'G. de Incidentes'!$O$18:$O$1024,"Presentación",'G. de Incidentes'!$D$18:$D$1024,$B90,'G. de Incidentes'!$H$18:$H$1024,"Si",'G. de Incidentes'!B18:B1024,Param_General!$C$74))</f>
        <v>0</v>
      </c>
      <c r="P90" s="304">
        <f>IF(OR($B90="No Aplica",$B90="",$B90="N/A",$B90="NA",$B90="na"),0,COUNTIFS('G. de Incidentes'!$G$18:$G$1024,"Error",'G. de Incidentes'!$F$18:$F$1024,"Media",'G. de Incidentes'!$O$18:$O$1024,"Presentación",'G. de Incidentes'!$D$18:$D$1024,$B90,'G. de Incidentes'!$H$18:$H$1024,"Si",'G. de Incidentes'!B18:B1024,Param_General!$C$74))</f>
        <v>0</v>
      </c>
      <c r="Q90" s="628">
        <f>IF(OR($B90="No Aplica",$B90="",$B90="N/A",$B90="NA",$B90="na"),0,COUNTIFS('G. de Incidentes'!$G$18:$G$1024,"Error",'G. de Incidentes'!$F$18:$F$1024,"Baja",'G. de Incidentes'!$O$18:$O$1024,"Presentación",'G. de Incidentes'!$D$18:$D$1024,$B90,'G. de Incidentes'!$H$18:$H$1024,"Si",'G. de Incidentes'!B18:B1024,Param_General!$C$74))</f>
        <v>0</v>
      </c>
      <c r="R90" s="628"/>
      <c r="S90" s="304">
        <f>IF(OR($B90="No Aplica",$B90="",$B90="N/A",$B90="NA",$B90="na"),0,COUNTIFS('G. de Incidentes'!$G$18:$G$1024,"Error",'G. de Incidentes'!$F$18:$F$1024,"Stopper",'G. de Incidentes'!$O$18:$O$1024,"Rendimiento",'G. de Incidentes'!$D$18:$D$1024,$B90,'G. de Incidentes'!$H$18:$H$1024,"Si",'G. de Incidentes'!B18:B1024,Param_General!$C$74))</f>
        <v>0</v>
      </c>
      <c r="T90" s="628">
        <f>IF(OR($B90="No Aplica",$B90="",$B90="N/A",$B90="NA",$B90="na"),0,COUNTIFS('G. de Incidentes'!$G$18:$G$1024,"Error",'G. de Incidentes'!$F$18:$F$1024,"Alta",'G. de Incidentes'!$O$18:$O$1024,"Rendimiento",'G. de Incidentes'!$D$18:$D$1024,$B90,'G. de Incidentes'!$H$18:$H$1024,"Si",'G. de Incidentes'!B18:B1024,Param_General!$C$74))</f>
        <v>0</v>
      </c>
      <c r="U90" s="628"/>
      <c r="V90" s="628">
        <f>IF(OR($B90="No Aplica",$B90="",$B90="N/A",$B90="NA",$B90="na"),0,COUNTIFS('G. de Incidentes'!$G$18:$G$1024,"Error",'G. de Incidentes'!$F$18:$F$1024,"Media",'G. de Incidentes'!$O$18:$O$1024,"Rendimiento",'G. de Incidentes'!$D$18:$D$1024,$B90,'G. de Incidentes'!$H$18:$H$1024,"Si",'G. de Incidentes'!B18:B1024,Param_General!$C$74))</f>
        <v>0</v>
      </c>
      <c r="W90" s="628"/>
      <c r="X90" s="628"/>
      <c r="Y90" s="628"/>
      <c r="Z90" s="304">
        <f>IF(OR($B90="No Aplica",$B90="",$B90="N/A",$B90="NA",$B90="na"),0,COUNTIFS('G. de Incidentes'!$G$18:$G$1024,"Error",'G. de Incidentes'!$F$18:$F$1024,"Baja",'G. de Incidentes'!$O$18:$O$1024,"Rendimiento",'G. de Incidentes'!$D$18:$D$1024,$B90,'G. de Incidentes'!$H$18:$H$1024,"Si",'G. de Incidentes'!B18:B1024,Param_General!$C$74))</f>
        <v>0</v>
      </c>
      <c r="AA90" s="628">
        <f>IF(OR($B90="No Aplica",$B90="",$B90="N/A",$B90="NA",$B90="na"),0,COUNTIFS('G. de Incidentes'!$G$18:$G$1024,"Error",'G. de Incidentes'!$F$18:$F$1024,"Stopper",'G. de Incidentes'!$O$18:$O$1024,"Seguridad",'G. de Incidentes'!$D$18:$D$1024,$B90,'G. de Incidentes'!$H$18:$H$1024,"Si",'G. de Incidentes'!B18:B1024,Param_General!$C$74))</f>
        <v>0</v>
      </c>
      <c r="AB90" s="628"/>
      <c r="AC90" s="628">
        <f>IF(OR($B90="No Aplica",$B90="",$B90="N/A",$B90="NA",$B90="na"),0,COUNTIFS('G. de Incidentes'!$G$18:$G$1024,"Error",'G. de Incidentes'!$F$18:$F$1024,"Alta",'G. de Incidentes'!$O$18:$O$1024,"Seguridad",'G. de Incidentes'!$D$18:$D$1024,$B90,'G. de Incidentes'!$H$18:$H$1024,"Si",'G. de Incidentes'!B18:B1024,Param_General!$C$74))</f>
        <v>0</v>
      </c>
      <c r="AD90" s="628"/>
      <c r="AE90" s="628">
        <f>IF(OR($B90="No Aplica",$B90="",$B90="N/A",$B90="NA",$B90="na"),0,COUNTIFS('G. de Incidentes'!$G$18:$G$1024,"Error",'G. de Incidentes'!$F$18:$F$1024,"Media",'G. de Incidentes'!$O$18:$O$1024,"Seguridad",'G. de Incidentes'!$D$18:$D$1024,$B90,'G. de Incidentes'!$H$18:$H$1024,"Si",'G. de Incidentes'!B18:B1024,Param_General!$C$74))</f>
        <v>0</v>
      </c>
      <c r="AF90" s="628"/>
      <c r="AG90" s="628"/>
      <c r="AH90" s="304">
        <f>IF(OR($B90="No Aplica",$B90="",$B90="N/A",$B90="NA",$B90="na"),0,COUNTIFS('G. de Incidentes'!$G$18:$G$1024,"Error",'G. de Incidentes'!$F$18:$F$1024,"Baja",'G. de Incidentes'!$O$18:$O$1024,"Seguridad",'G. de Incidentes'!$D$18:$D$1024,$B90,'G. de Incidentes'!$H$18:$H$1024,"Si",'G. de Incidentes'!B18:B1024,Param_General!$C$74))</f>
        <v>0</v>
      </c>
    </row>
    <row r="91" spans="1:34" x14ac:dyDescent="0.35">
      <c r="B91" s="307" t="s">
        <v>684</v>
      </c>
      <c r="C91" s="306">
        <f>SUM(C87:C90)</f>
        <v>0</v>
      </c>
      <c r="D91" s="627">
        <f>SUM(D87:E90)</f>
        <v>0</v>
      </c>
      <c r="E91" s="627"/>
      <c r="F91" s="306">
        <f>SUM(F87:F90)</f>
        <v>0</v>
      </c>
      <c r="G91" s="306">
        <f>SUM(G87:G90)</f>
        <v>0</v>
      </c>
      <c r="H91" s="306">
        <f>SUM(H87:H90)</f>
        <v>0</v>
      </c>
      <c r="I91" s="627">
        <f>SUM(I87:J90)</f>
        <v>0</v>
      </c>
      <c r="J91" s="627"/>
      <c r="K91" s="306">
        <f>SUM(K87:K90)</f>
        <v>0</v>
      </c>
      <c r="L91" s="306">
        <f>SUM(L87:L90)</f>
        <v>0</v>
      </c>
      <c r="M91" s="627">
        <f>SUM(M87:N90)</f>
        <v>0</v>
      </c>
      <c r="N91" s="627"/>
      <c r="O91" s="306">
        <f>SUM(O87:O90)</f>
        <v>0</v>
      </c>
      <c r="P91" s="306">
        <f>SUM(P87:P90)</f>
        <v>0</v>
      </c>
      <c r="Q91" s="627">
        <f>SUM(Q87:R90)</f>
        <v>0</v>
      </c>
      <c r="R91" s="627"/>
      <c r="S91" s="306">
        <f>SUM(S87:S90)</f>
        <v>0</v>
      </c>
      <c r="T91" s="627">
        <f>SUM(T87:U90)</f>
        <v>0</v>
      </c>
      <c r="U91" s="627"/>
      <c r="V91" s="306">
        <f>SUM(V87:V90)</f>
        <v>0</v>
      </c>
      <c r="W91" s="627">
        <f>SUM(V87:Y90)</f>
        <v>0</v>
      </c>
      <c r="X91" s="627"/>
      <c r="Y91" s="627"/>
      <c r="Z91" s="306">
        <f>SUM(Z87:Z90)</f>
        <v>0</v>
      </c>
      <c r="AA91" s="627">
        <f>SUM(AA87:AB90)</f>
        <v>0</v>
      </c>
      <c r="AB91" s="627"/>
      <c r="AC91" s="627">
        <f>SUM(AC87:AD90)</f>
        <v>0</v>
      </c>
      <c r="AD91" s="627"/>
      <c r="AE91" s="627">
        <f>SUM(AE87:AG90)</f>
        <v>0</v>
      </c>
      <c r="AF91" s="627"/>
      <c r="AG91" s="627"/>
      <c r="AH91" s="306">
        <f>SUM(AH87:AH90)</f>
        <v>0</v>
      </c>
    </row>
  </sheetData>
  <sheetProtection algorithmName="SHA-512" hashValue="E20ODILAO77eUGvI0QwpTNYsEB/bOrqef6cmZwTeDLJ/Z98iSj4xuQK3iT6/Zr5L7RlVUXiUM5V/K7x843DdYA==" saltValue="i2Ja8P3T9mxEJFNDtEdKww==" spinCount="100000" sheet="1" objects="1" selectLockedCells="1" selectUnlockedCells="1"/>
  <protectedRanges>
    <protectedRange algorithmName="SHA-512" hashValue="ITiUbY/yTK1c+rjQOeIUkI/4Xeh6DDvip3IHK6UoEFLtXsIb9xH0AEiolVwm6WjmHtezE8g+na02nSMYm0zJLw==" saltValue="KlsEt1xaTSKhFZthBxUFpw==" spinCount="100000" sqref="L4:L7 AF4:AF8 D4:D7 P4:P7 H4:H7 AH13 AH4:AH11" name="Tiempo de pruebas" securityDescriptor="O:WDG:WDD:(A;;CC;;;S-1-5-21-1366399632-701985892-3742940101-16423)"/>
  </protectedRanges>
  <mergeCells count="343">
    <mergeCell ref="D91:E91"/>
    <mergeCell ref="I91:J91"/>
    <mergeCell ref="M91:N91"/>
    <mergeCell ref="Q91:R91"/>
    <mergeCell ref="T91:U91"/>
    <mergeCell ref="W91:Y91"/>
    <mergeCell ref="AA91:AB91"/>
    <mergeCell ref="AC91:AD91"/>
    <mergeCell ref="AE91:AG91"/>
    <mergeCell ref="D90:E90"/>
    <mergeCell ref="I90:J90"/>
    <mergeCell ref="M90:N90"/>
    <mergeCell ref="Q90:R90"/>
    <mergeCell ref="T90:U90"/>
    <mergeCell ref="V90:Y90"/>
    <mergeCell ref="AA90:AB90"/>
    <mergeCell ref="AC90:AD90"/>
    <mergeCell ref="AE90:AG90"/>
    <mergeCell ref="D89:E89"/>
    <mergeCell ref="I89:J89"/>
    <mergeCell ref="M89:N89"/>
    <mergeCell ref="Q89:R89"/>
    <mergeCell ref="T89:U89"/>
    <mergeCell ref="V89:Y89"/>
    <mergeCell ref="AA89:AB89"/>
    <mergeCell ref="AC89:AD89"/>
    <mergeCell ref="AE89:AG89"/>
    <mergeCell ref="D88:E88"/>
    <mergeCell ref="I88:J88"/>
    <mergeCell ref="M88:N88"/>
    <mergeCell ref="Q88:R88"/>
    <mergeCell ref="T88:U88"/>
    <mergeCell ref="V88:Y88"/>
    <mergeCell ref="AA88:AB88"/>
    <mergeCell ref="AC88:AD88"/>
    <mergeCell ref="AE88:AG88"/>
    <mergeCell ref="D87:E87"/>
    <mergeCell ref="I87:J87"/>
    <mergeCell ref="M87:N87"/>
    <mergeCell ref="Q87:R87"/>
    <mergeCell ref="T87:U87"/>
    <mergeCell ref="V87:Y87"/>
    <mergeCell ref="AA87:AB87"/>
    <mergeCell ref="AC87:AD87"/>
    <mergeCell ref="AE87:AG87"/>
    <mergeCell ref="D86:E86"/>
    <mergeCell ref="I86:J86"/>
    <mergeCell ref="M86:N86"/>
    <mergeCell ref="Q86:R86"/>
    <mergeCell ref="T86:U86"/>
    <mergeCell ref="V86:Y86"/>
    <mergeCell ref="AA86:AB86"/>
    <mergeCell ref="AC86:AD86"/>
    <mergeCell ref="AE86:AG86"/>
    <mergeCell ref="C84:G84"/>
    <mergeCell ref="H84:L84"/>
    <mergeCell ref="M84:R84"/>
    <mergeCell ref="S84:Z84"/>
    <mergeCell ref="AA84:AH84"/>
    <mergeCell ref="D85:E85"/>
    <mergeCell ref="I85:J85"/>
    <mergeCell ref="M85:N85"/>
    <mergeCell ref="Q85:R85"/>
    <mergeCell ref="T85:U85"/>
    <mergeCell ref="W85:Y85"/>
    <mergeCell ref="AA85:AB85"/>
    <mergeCell ref="AC85:AD85"/>
    <mergeCell ref="AE85:AG85"/>
    <mergeCell ref="H76:I76"/>
    <mergeCell ref="H77:I77"/>
    <mergeCell ref="H78:I78"/>
    <mergeCell ref="H79:I79"/>
    <mergeCell ref="H80:I80"/>
    <mergeCell ref="D81:E81"/>
    <mergeCell ref="H81:I81"/>
    <mergeCell ref="D78:E78"/>
    <mergeCell ref="D79:E79"/>
    <mergeCell ref="D80:E80"/>
    <mergeCell ref="D76:E76"/>
    <mergeCell ref="D77:E77"/>
    <mergeCell ref="V69:Y69"/>
    <mergeCell ref="T69:U69"/>
    <mergeCell ref="Q69:R69"/>
    <mergeCell ref="M52:N52"/>
    <mergeCell ref="M53:N53"/>
    <mergeCell ref="M54:N54"/>
    <mergeCell ref="C63:G63"/>
    <mergeCell ref="D70:E70"/>
    <mergeCell ref="I70:J70"/>
    <mergeCell ref="Q70:R70"/>
    <mergeCell ref="T70:U70"/>
    <mergeCell ref="W70:Y70"/>
    <mergeCell ref="H63:L63"/>
    <mergeCell ref="M64:N64"/>
    <mergeCell ref="M65:N65"/>
    <mergeCell ref="M63:R63"/>
    <mergeCell ref="Q67:R67"/>
    <mergeCell ref="Q68:R68"/>
    <mergeCell ref="Q64:R64"/>
    <mergeCell ref="Q65:R65"/>
    <mergeCell ref="Q66:R66"/>
    <mergeCell ref="I67:J67"/>
    <mergeCell ref="I68:J68"/>
    <mergeCell ref="I69:J69"/>
    <mergeCell ref="AA70:AB70"/>
    <mergeCell ref="AC70:AD70"/>
    <mergeCell ref="AE70:AG70"/>
    <mergeCell ref="AC68:AD68"/>
    <mergeCell ref="AC69:AD69"/>
    <mergeCell ref="AE68:AG68"/>
    <mergeCell ref="AE69:AG69"/>
    <mergeCell ref="AC64:AD64"/>
    <mergeCell ref="AC65:AD65"/>
    <mergeCell ref="AC66:AD66"/>
    <mergeCell ref="AC67:AD67"/>
    <mergeCell ref="AE64:AG64"/>
    <mergeCell ref="AE65:AG65"/>
    <mergeCell ref="AE66:AG66"/>
    <mergeCell ref="AE67:AG67"/>
    <mergeCell ref="AA67:AB67"/>
    <mergeCell ref="AA68:AB68"/>
    <mergeCell ref="AA69:AB69"/>
    <mergeCell ref="AA64:AB64"/>
    <mergeCell ref="AA65:AB65"/>
    <mergeCell ref="AA66:AB66"/>
    <mergeCell ref="AA63:AH63"/>
    <mergeCell ref="V65:Y65"/>
    <mergeCell ref="V66:Y66"/>
    <mergeCell ref="V67:Y67"/>
    <mergeCell ref="T67:U67"/>
    <mergeCell ref="T68:U68"/>
    <mergeCell ref="V68:Y68"/>
    <mergeCell ref="T64:U64"/>
    <mergeCell ref="T65:U65"/>
    <mergeCell ref="T66:U66"/>
    <mergeCell ref="W64:Y64"/>
    <mergeCell ref="S63:Z63"/>
    <mergeCell ref="M70:N70"/>
    <mergeCell ref="D64:E64"/>
    <mergeCell ref="D65:E65"/>
    <mergeCell ref="D66:E66"/>
    <mergeCell ref="D67:E67"/>
    <mergeCell ref="D68:E68"/>
    <mergeCell ref="D69:E69"/>
    <mergeCell ref="I64:J64"/>
    <mergeCell ref="I65:J65"/>
    <mergeCell ref="I66:J66"/>
    <mergeCell ref="M66:N66"/>
    <mergeCell ref="M67:N67"/>
    <mergeCell ref="M68:N68"/>
    <mergeCell ref="M69:N69"/>
    <mergeCell ref="Y23:Z24"/>
    <mergeCell ref="Y25:Z25"/>
    <mergeCell ref="Y26:Z26"/>
    <mergeCell ref="Y27:Z27"/>
    <mergeCell ref="Y28:Z28"/>
    <mergeCell ref="Y29:Z29"/>
    <mergeCell ref="D45:E45"/>
    <mergeCell ref="H46:I46"/>
    <mergeCell ref="H45:I45"/>
    <mergeCell ref="D44:E44"/>
    <mergeCell ref="Y30:Z30"/>
    <mergeCell ref="P22:P23"/>
    <mergeCell ref="S31:X31"/>
    <mergeCell ref="B27:E27"/>
    <mergeCell ref="D42:E42"/>
    <mergeCell ref="B30:C30"/>
    <mergeCell ref="D30:E30"/>
    <mergeCell ref="B28:C28"/>
    <mergeCell ref="D28:E28"/>
    <mergeCell ref="B29:C29"/>
    <mergeCell ref="D29:E29"/>
    <mergeCell ref="D34:E34"/>
    <mergeCell ref="B39:C39"/>
    <mergeCell ref="D39:E39"/>
    <mergeCell ref="AA27:AC27"/>
    <mergeCell ref="AA28:AC28"/>
    <mergeCell ref="AA29:AC29"/>
    <mergeCell ref="AA30:AC30"/>
    <mergeCell ref="Y31:Z31"/>
    <mergeCell ref="AA31:AC31"/>
    <mergeCell ref="M12:O12"/>
    <mergeCell ref="D46:E46"/>
    <mergeCell ref="H42:I42"/>
    <mergeCell ref="H44:I44"/>
    <mergeCell ref="S27:T27"/>
    <mergeCell ref="S28:T28"/>
    <mergeCell ref="S29:T29"/>
    <mergeCell ref="S30:T30"/>
    <mergeCell ref="W30:X30"/>
    <mergeCell ref="F27:G28"/>
    <mergeCell ref="J29:K29"/>
    <mergeCell ref="M29:N29"/>
    <mergeCell ref="P29:P31"/>
    <mergeCell ref="J30:K30"/>
    <mergeCell ref="M30:N30"/>
    <mergeCell ref="J31:K31"/>
    <mergeCell ref="M31:N31"/>
    <mergeCell ref="M23:N23"/>
    <mergeCell ref="P34:P35"/>
    <mergeCell ref="Q22:R23"/>
    <mergeCell ref="J22:O22"/>
    <mergeCell ref="J27:O27"/>
    <mergeCell ref="P27:P28"/>
    <mergeCell ref="J28:K28"/>
    <mergeCell ref="M28:N28"/>
    <mergeCell ref="J32:O32"/>
    <mergeCell ref="K35:O35"/>
    <mergeCell ref="P24:P26"/>
    <mergeCell ref="D52:E52"/>
    <mergeCell ref="D53:E53"/>
    <mergeCell ref="B31:C31"/>
    <mergeCell ref="D31:E31"/>
    <mergeCell ref="B32:C32"/>
    <mergeCell ref="D32:E32"/>
    <mergeCell ref="AA23:AC24"/>
    <mergeCell ref="S22:AC22"/>
    <mergeCell ref="AA25:AC25"/>
    <mergeCell ref="AA26:AC26"/>
    <mergeCell ref="D43:E43"/>
    <mergeCell ref="H43:I43"/>
    <mergeCell ref="U23:V24"/>
    <mergeCell ref="S23:T24"/>
    <mergeCell ref="W23:X24"/>
    <mergeCell ref="W25:X25"/>
    <mergeCell ref="W26:X26"/>
    <mergeCell ref="W27:X27"/>
    <mergeCell ref="W28:X28"/>
    <mergeCell ref="W29:X29"/>
    <mergeCell ref="S25:T25"/>
    <mergeCell ref="S26:T26"/>
    <mergeCell ref="K36:O36"/>
    <mergeCell ref="D35:E35"/>
    <mergeCell ref="B38:C38"/>
    <mergeCell ref="D33:E33"/>
    <mergeCell ref="B33:C33"/>
    <mergeCell ref="B34:C34"/>
    <mergeCell ref="B35:C35"/>
    <mergeCell ref="B36:C36"/>
    <mergeCell ref="B37:C37"/>
    <mergeCell ref="D37:E37"/>
    <mergeCell ref="D38:E38"/>
    <mergeCell ref="D36:E36"/>
    <mergeCell ref="B23:C23"/>
    <mergeCell ref="J26:K26"/>
    <mergeCell ref="M26:N26"/>
    <mergeCell ref="B25:C25"/>
    <mergeCell ref="B24:C24"/>
    <mergeCell ref="D23:E23"/>
    <mergeCell ref="E17:F17"/>
    <mergeCell ref="E18:F18"/>
    <mergeCell ref="J24:K24"/>
    <mergeCell ref="M24:N24"/>
    <mergeCell ref="J25:K25"/>
    <mergeCell ref="M25:N25"/>
    <mergeCell ref="E19:F19"/>
    <mergeCell ref="J23:K23"/>
    <mergeCell ref="B21:C21"/>
    <mergeCell ref="B22:C22"/>
    <mergeCell ref="M17:N17"/>
    <mergeCell ref="M18:N18"/>
    <mergeCell ref="B17:B19"/>
    <mergeCell ref="C17:C19"/>
    <mergeCell ref="D20:F20"/>
    <mergeCell ref="M20:N20"/>
    <mergeCell ref="B2:D2"/>
    <mergeCell ref="F2:H2"/>
    <mergeCell ref="B7:C7"/>
    <mergeCell ref="E14:F14"/>
    <mergeCell ref="E15:F15"/>
    <mergeCell ref="E16:F16"/>
    <mergeCell ref="E11:F11"/>
    <mergeCell ref="E12:F12"/>
    <mergeCell ref="E13:F13"/>
    <mergeCell ref="F7:G7"/>
    <mergeCell ref="C10:C11"/>
    <mergeCell ref="B10:B11"/>
    <mergeCell ref="C12:C14"/>
    <mergeCell ref="B12:B14"/>
    <mergeCell ref="C15:C16"/>
    <mergeCell ref="B15:B16"/>
    <mergeCell ref="D9:G9"/>
    <mergeCell ref="M11:O11"/>
    <mergeCell ref="Q20:R20"/>
    <mergeCell ref="R2:S2"/>
    <mergeCell ref="N2:P2"/>
    <mergeCell ref="E10:F10"/>
    <mergeCell ref="M9:O9"/>
    <mergeCell ref="M10:O10"/>
    <mergeCell ref="K4:K6"/>
    <mergeCell ref="J2:L2"/>
    <mergeCell ref="J9:K9"/>
    <mergeCell ref="J10:K10"/>
    <mergeCell ref="R9:S9"/>
    <mergeCell ref="R10:S10"/>
    <mergeCell ref="M49:N49"/>
    <mergeCell ref="M50:N50"/>
    <mergeCell ref="M51:N51"/>
    <mergeCell ref="X3:X4"/>
    <mergeCell ref="S19:T19"/>
    <mergeCell ref="W18:X20"/>
    <mergeCell ref="W16:X17"/>
    <mergeCell ref="J17:K17"/>
    <mergeCell ref="J18:K18"/>
    <mergeCell ref="J19:K19"/>
    <mergeCell ref="Q17:R17"/>
    <mergeCell ref="Q18:R18"/>
    <mergeCell ref="Q19:R19"/>
    <mergeCell ref="J14:K14"/>
    <mergeCell ref="J11:K11"/>
    <mergeCell ref="J16:U16"/>
    <mergeCell ref="J12:K12"/>
    <mergeCell ref="J13:K13"/>
    <mergeCell ref="S17:T17"/>
    <mergeCell ref="S18:T18"/>
    <mergeCell ref="S20:T20"/>
    <mergeCell ref="V16:V17"/>
    <mergeCell ref="V18:V20"/>
    <mergeCell ref="M19:N19"/>
    <mergeCell ref="AV3:AW3"/>
    <mergeCell ref="I49:J49"/>
    <mergeCell ref="I50:J50"/>
    <mergeCell ref="I51:J51"/>
    <mergeCell ref="I52:J52"/>
    <mergeCell ref="I53:J53"/>
    <mergeCell ref="I54:J54"/>
    <mergeCell ref="D54:E54"/>
    <mergeCell ref="D49:E49"/>
    <mergeCell ref="D50:E50"/>
    <mergeCell ref="D51:E51"/>
    <mergeCell ref="M13:O13"/>
    <mergeCell ref="M14:O14"/>
    <mergeCell ref="D25:E25"/>
    <mergeCell ref="F22:F25"/>
    <mergeCell ref="G22:G25"/>
    <mergeCell ref="D24:E24"/>
    <mergeCell ref="D21:E21"/>
    <mergeCell ref="D22:E22"/>
    <mergeCell ref="H22:H25"/>
    <mergeCell ref="J20:K20"/>
    <mergeCell ref="D47:E47"/>
    <mergeCell ref="H47:I47"/>
    <mergeCell ref="J34:O34"/>
  </mergeCells>
  <conditionalFormatting sqref="U26:U30">
    <cfRule type="cellIs" dxfId="18" priority="8" operator="lessThan">
      <formula>0</formula>
    </cfRule>
  </conditionalFormatting>
  <conditionalFormatting sqref="W26:W30">
    <cfRule type="cellIs" dxfId="17" priority="7" operator="lessThan">
      <formula>0</formula>
    </cfRule>
  </conditionalFormatting>
  <conditionalFormatting sqref="U25">
    <cfRule type="cellIs" dxfId="16" priority="6" operator="lessThan">
      <formula>0</formula>
    </cfRule>
  </conditionalFormatting>
  <conditionalFormatting sqref="W25">
    <cfRule type="cellIs" dxfId="15" priority="5" operator="lessThan">
      <formula>0</formula>
    </cfRule>
  </conditionalFormatting>
  <conditionalFormatting sqref="Y25">
    <cfRule type="cellIs" dxfId="14" priority="2" operator="lessThan">
      <formula>0</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R32"/>
  <sheetViews>
    <sheetView workbookViewId="0"/>
  </sheetViews>
  <sheetFormatPr defaultColWidth="11.453125" defaultRowHeight="14.5" x14ac:dyDescent="0.35"/>
  <cols>
    <col min="1" max="1" width="4.6328125" style="89" customWidth="1"/>
    <col min="2" max="2" width="1.6328125" style="89" customWidth="1"/>
    <col min="3" max="3" width="14.6328125" style="89" customWidth="1"/>
    <col min="4" max="6" width="11.453125" style="89"/>
    <col min="7" max="7" width="10.36328125" style="89" customWidth="1"/>
    <col min="8" max="8" width="11.36328125" style="89" customWidth="1"/>
    <col min="9" max="9" width="12.6328125" style="89" customWidth="1"/>
    <col min="10" max="10" width="12.36328125" style="89" customWidth="1"/>
    <col min="11" max="11" width="11.453125" style="89"/>
    <col min="12" max="12" width="9.6328125" style="89" customWidth="1"/>
    <col min="13" max="13" width="2.36328125" style="89" customWidth="1"/>
    <col min="14" max="16384" width="11.453125" style="89"/>
  </cols>
  <sheetData>
    <row r="1" spans="1:14" ht="8.25" customHeight="1" x14ac:dyDescent="0.35">
      <c r="A1" s="182"/>
      <c r="B1" s="185"/>
      <c r="C1" s="185"/>
      <c r="D1" s="185"/>
      <c r="E1" s="185"/>
      <c r="F1" s="185"/>
      <c r="G1" s="185"/>
      <c r="H1" s="185"/>
      <c r="I1" s="185"/>
      <c r="J1" s="185"/>
      <c r="K1" s="185"/>
      <c r="L1" s="185"/>
      <c r="M1" s="186"/>
    </row>
    <row r="2" spans="1:14" ht="24" customHeight="1" x14ac:dyDescent="0.35">
      <c r="A2" s="182"/>
      <c r="B2" s="659"/>
      <c r="C2" s="659"/>
      <c r="D2" s="660" t="s">
        <v>690</v>
      </c>
      <c r="E2" s="660"/>
      <c r="F2" s="660"/>
      <c r="G2" s="660"/>
      <c r="H2" s="660"/>
      <c r="I2" s="660"/>
      <c r="J2" s="660"/>
      <c r="K2" s="656" t="str">
        <f>Planeación!K1</f>
        <v>Versión: 10
Fecha de emisión:  21/03/2018
Código: F-TAI-010-001</v>
      </c>
      <c r="L2" s="656"/>
      <c r="M2" s="656"/>
      <c r="N2" s="183"/>
    </row>
    <row r="3" spans="1:14" ht="30" customHeight="1" x14ac:dyDescent="0.35">
      <c r="A3" s="182"/>
      <c r="B3" s="659"/>
      <c r="C3" s="659"/>
      <c r="D3" s="660" t="s">
        <v>19</v>
      </c>
      <c r="E3" s="660"/>
      <c r="F3" s="660"/>
      <c r="G3" s="660"/>
      <c r="H3" s="660"/>
      <c r="I3" s="660"/>
      <c r="J3" s="660"/>
      <c r="K3" s="656"/>
      <c r="L3" s="656"/>
      <c r="M3" s="656"/>
      <c r="N3" s="183"/>
    </row>
    <row r="4" spans="1:14" x14ac:dyDescent="0.35">
      <c r="B4" s="188"/>
      <c r="C4" s="188"/>
      <c r="D4" s="188"/>
      <c r="E4" s="188"/>
      <c r="F4" s="188"/>
      <c r="G4" s="188"/>
      <c r="H4" s="188"/>
      <c r="I4" s="188"/>
      <c r="J4" s="188"/>
      <c r="K4" s="188"/>
      <c r="L4" s="188"/>
      <c r="M4" s="188"/>
    </row>
    <row r="5" spans="1:14" x14ac:dyDescent="0.35">
      <c r="A5" s="182"/>
      <c r="B5" s="649" t="s">
        <v>16</v>
      </c>
      <c r="C5" s="649"/>
      <c r="D5" s="649"/>
      <c r="E5" s="649"/>
      <c r="F5" s="655"/>
      <c r="G5" s="655"/>
      <c r="H5" s="655"/>
      <c r="I5" s="655"/>
      <c r="J5" s="655"/>
      <c r="K5" s="655"/>
      <c r="L5" s="655"/>
      <c r="M5" s="655"/>
      <c r="N5" s="183"/>
    </row>
    <row r="6" spans="1:14" x14ac:dyDescent="0.35">
      <c r="A6" s="182"/>
      <c r="B6" s="649" t="s">
        <v>858</v>
      </c>
      <c r="C6" s="649"/>
      <c r="D6" s="649"/>
      <c r="E6" s="649"/>
      <c r="F6" s="655" t="s">
        <v>753</v>
      </c>
      <c r="G6" s="655"/>
      <c r="H6" s="655"/>
      <c r="I6" s="655"/>
      <c r="J6" s="655"/>
      <c r="K6" s="655"/>
      <c r="L6" s="655"/>
      <c r="M6" s="655"/>
      <c r="N6" s="183"/>
    </row>
    <row r="7" spans="1:14" x14ac:dyDescent="0.35">
      <c r="A7" s="182"/>
      <c r="B7" s="649" t="s">
        <v>857</v>
      </c>
      <c r="C7" s="649"/>
      <c r="D7" s="649"/>
      <c r="E7" s="649"/>
      <c r="F7" s="655"/>
      <c r="G7" s="655"/>
      <c r="H7" s="655"/>
      <c r="I7" s="655"/>
      <c r="J7" s="655"/>
      <c r="K7" s="655"/>
      <c r="L7" s="655"/>
      <c r="M7" s="655"/>
      <c r="N7" s="183"/>
    </row>
    <row r="8" spans="1:14" ht="15" customHeight="1" x14ac:dyDescent="0.35">
      <c r="A8" s="182"/>
      <c r="B8" s="651" t="s">
        <v>67</v>
      </c>
      <c r="C8" s="651"/>
      <c r="D8" s="651"/>
      <c r="E8" s="651"/>
      <c r="F8" s="655"/>
      <c r="G8" s="655"/>
      <c r="H8" s="655"/>
      <c r="I8" s="655"/>
      <c r="J8" s="655"/>
      <c r="K8" s="655"/>
      <c r="L8" s="655"/>
      <c r="M8" s="655"/>
      <c r="N8" s="183"/>
    </row>
    <row r="9" spans="1:14" ht="15" customHeight="1" x14ac:dyDescent="0.35">
      <c r="A9" s="182"/>
      <c r="B9" s="651" t="s">
        <v>148</v>
      </c>
      <c r="C9" s="651"/>
      <c r="D9" s="651"/>
      <c r="E9" s="651"/>
      <c r="F9" s="655"/>
      <c r="G9" s="655"/>
      <c r="H9" s="655"/>
      <c r="I9" s="655"/>
      <c r="J9" s="655"/>
      <c r="K9" s="655"/>
      <c r="L9" s="655"/>
      <c r="M9" s="655"/>
      <c r="N9" s="183"/>
    </row>
    <row r="10" spans="1:14" x14ac:dyDescent="0.35">
      <c r="A10" s="182"/>
      <c r="B10" s="649" t="s">
        <v>15</v>
      </c>
      <c r="C10" s="649"/>
      <c r="D10" s="649"/>
      <c r="E10" s="649"/>
      <c r="F10" s="655"/>
      <c r="G10" s="655"/>
      <c r="H10" s="655"/>
      <c r="I10" s="655"/>
      <c r="J10" s="655"/>
      <c r="K10" s="655"/>
      <c r="L10" s="655"/>
      <c r="M10" s="655"/>
      <c r="N10" s="183"/>
    </row>
    <row r="11" spans="1:14" x14ac:dyDescent="0.35">
      <c r="A11" s="182"/>
      <c r="B11" s="649" t="s">
        <v>729</v>
      </c>
      <c r="C11" s="649"/>
      <c r="D11" s="649"/>
      <c r="E11" s="649"/>
      <c r="F11" s="655"/>
      <c r="G11" s="655"/>
      <c r="H11" s="655"/>
      <c r="I11" s="655"/>
      <c r="J11" s="655"/>
      <c r="K11" s="655"/>
      <c r="L11" s="655"/>
      <c r="M11" s="655"/>
      <c r="N11" s="183"/>
    </row>
    <row r="12" spans="1:14" x14ac:dyDescent="0.35">
      <c r="A12" s="182"/>
      <c r="B12" s="649" t="s">
        <v>158</v>
      </c>
      <c r="C12" s="649"/>
      <c r="D12" s="649"/>
      <c r="E12" s="649"/>
      <c r="F12" s="248">
        <v>1</v>
      </c>
      <c r="G12" s="653" t="str">
        <f>Param_General!AO4</f>
        <v>Proveedor 1x</v>
      </c>
      <c r="H12" s="653"/>
      <c r="I12" s="653"/>
      <c r="J12" s="248">
        <v>2</v>
      </c>
      <c r="K12" s="653" t="str">
        <f>Param_General!AO5</f>
        <v>Proveedor 2x</v>
      </c>
      <c r="L12" s="653"/>
      <c r="M12" s="653"/>
      <c r="N12" s="183"/>
    </row>
    <row r="13" spans="1:14" ht="14.25" customHeight="1" x14ac:dyDescent="0.35">
      <c r="A13" s="182"/>
      <c r="B13" s="649"/>
      <c r="C13" s="649"/>
      <c r="D13" s="649"/>
      <c r="E13" s="649"/>
      <c r="F13" s="248">
        <v>3</v>
      </c>
      <c r="G13" s="654" t="str">
        <f>Param_General!AO6</f>
        <v>Proveedor 3x</v>
      </c>
      <c r="H13" s="654"/>
      <c r="I13" s="654"/>
      <c r="J13" s="248">
        <v>4</v>
      </c>
      <c r="K13" s="652">
        <f>Param_General!AO7</f>
        <v>0</v>
      </c>
      <c r="L13" s="652"/>
      <c r="M13" s="652"/>
      <c r="N13" s="183"/>
    </row>
    <row r="14" spans="1:14" x14ac:dyDescent="0.35">
      <c r="A14" s="182"/>
      <c r="B14" s="630"/>
      <c r="C14" s="631"/>
      <c r="D14" s="631"/>
      <c r="E14" s="631"/>
      <c r="F14" s="631"/>
      <c r="G14" s="632"/>
      <c r="H14" s="632"/>
      <c r="I14" s="632"/>
      <c r="J14" s="631"/>
      <c r="K14" s="631"/>
      <c r="L14" s="631"/>
      <c r="M14" s="633"/>
      <c r="N14" s="183"/>
    </row>
    <row r="15" spans="1:14" x14ac:dyDescent="0.35">
      <c r="A15" s="182"/>
      <c r="B15" s="649" t="s">
        <v>16</v>
      </c>
      <c r="C15" s="649"/>
      <c r="D15" s="649"/>
      <c r="E15" s="649"/>
      <c r="F15" s="646"/>
      <c r="G15" s="646"/>
      <c r="H15" s="648" t="s">
        <v>886</v>
      </c>
      <c r="I15" s="648"/>
      <c r="J15" s="648"/>
      <c r="K15" s="647">
        <v>50</v>
      </c>
      <c r="L15" s="647"/>
      <c r="M15" s="647"/>
      <c r="N15" s="183"/>
    </row>
    <row r="16" spans="1:14" x14ac:dyDescent="0.35">
      <c r="A16" s="182"/>
      <c r="B16" s="649" t="s">
        <v>884</v>
      </c>
      <c r="C16" s="649"/>
      <c r="D16" s="649"/>
      <c r="E16" s="649"/>
      <c r="F16" s="646"/>
      <c r="G16" s="646"/>
      <c r="H16" s="648" t="s">
        <v>887</v>
      </c>
      <c r="I16" s="648"/>
      <c r="J16" s="648"/>
      <c r="K16" s="646"/>
      <c r="L16" s="646"/>
      <c r="M16" s="646"/>
      <c r="N16" s="183"/>
    </row>
    <row r="17" spans="1:18" x14ac:dyDescent="0.35">
      <c r="A17" s="182"/>
      <c r="B17" s="649" t="s">
        <v>885</v>
      </c>
      <c r="C17" s="649"/>
      <c r="D17" s="649"/>
      <c r="E17" s="649"/>
      <c r="F17" s="646"/>
      <c r="G17" s="646"/>
      <c r="H17" s="648" t="s">
        <v>888</v>
      </c>
      <c r="I17" s="648"/>
      <c r="J17" s="648"/>
      <c r="K17" s="646"/>
      <c r="L17" s="646"/>
      <c r="M17" s="646"/>
      <c r="N17" s="183"/>
    </row>
    <row r="18" spans="1:18" ht="20.25" customHeight="1" x14ac:dyDescent="0.35">
      <c r="A18" s="182"/>
      <c r="B18" s="634"/>
      <c r="C18" s="635"/>
      <c r="D18" s="635"/>
      <c r="E18" s="635"/>
      <c r="F18" s="635"/>
      <c r="G18" s="635"/>
      <c r="H18" s="635"/>
      <c r="I18" s="635"/>
      <c r="J18" s="635"/>
      <c r="K18" s="635"/>
      <c r="L18" s="635"/>
      <c r="M18" s="636"/>
      <c r="N18" s="183"/>
    </row>
    <row r="19" spans="1:18" ht="20.25" customHeight="1" x14ac:dyDescent="0.35">
      <c r="A19" s="182"/>
      <c r="B19" s="637"/>
      <c r="C19" s="638"/>
      <c r="D19" s="638"/>
      <c r="E19" s="638"/>
      <c r="F19" s="638"/>
      <c r="G19" s="638"/>
      <c r="H19" s="638"/>
      <c r="I19" s="638"/>
      <c r="J19" s="638"/>
      <c r="K19" s="638"/>
      <c r="L19" s="638"/>
      <c r="M19" s="639"/>
      <c r="N19" s="183"/>
    </row>
    <row r="20" spans="1:18" ht="18.5" x14ac:dyDescent="0.35">
      <c r="A20" s="182"/>
      <c r="B20" s="650"/>
      <c r="C20" s="228"/>
      <c r="D20" s="661" t="s">
        <v>867</v>
      </c>
      <c r="E20" s="662"/>
      <c r="F20" s="662"/>
      <c r="G20" s="662"/>
      <c r="H20" s="662"/>
      <c r="I20" s="662"/>
      <c r="J20" s="662"/>
      <c r="K20" s="662"/>
      <c r="L20" s="229"/>
      <c r="M20" s="650"/>
      <c r="N20" s="183"/>
    </row>
    <row r="21" spans="1:18" x14ac:dyDescent="0.35">
      <c r="A21" s="182"/>
      <c r="B21" s="650"/>
      <c r="C21" s="663" t="s">
        <v>98</v>
      </c>
      <c r="D21" s="663"/>
      <c r="E21" s="664" t="s">
        <v>868</v>
      </c>
      <c r="F21" s="664" t="s">
        <v>889</v>
      </c>
      <c r="G21" s="665" t="s">
        <v>36</v>
      </c>
      <c r="H21" s="665"/>
      <c r="I21" s="665" t="s">
        <v>56</v>
      </c>
      <c r="J21" s="665"/>
      <c r="K21" s="665"/>
      <c r="L21" s="665"/>
      <c r="M21" s="650"/>
      <c r="N21" s="183"/>
    </row>
    <row r="22" spans="1:18" ht="43.5" x14ac:dyDescent="0.35">
      <c r="A22" s="182"/>
      <c r="B22" s="650"/>
      <c r="C22" s="663"/>
      <c r="D22" s="663"/>
      <c r="E22" s="664"/>
      <c r="F22" s="664"/>
      <c r="G22" s="664" t="s">
        <v>711</v>
      </c>
      <c r="H22" s="664"/>
      <c r="I22" s="247" t="s">
        <v>160</v>
      </c>
      <c r="J22" s="230" t="s">
        <v>860</v>
      </c>
      <c r="K22" s="247" t="s">
        <v>861</v>
      </c>
      <c r="L22" s="230" t="s">
        <v>219</v>
      </c>
      <c r="M22" s="650"/>
      <c r="N22" s="183"/>
      <c r="R22" s="187"/>
    </row>
    <row r="23" spans="1:18" x14ac:dyDescent="0.35">
      <c r="A23" s="182"/>
      <c r="B23" s="650"/>
      <c r="C23" s="657" t="s">
        <v>25</v>
      </c>
      <c r="D23" s="657"/>
      <c r="E23" s="231">
        <v>1</v>
      </c>
      <c r="F23" s="232">
        <f>ROUNDUP(E23/8,0)</f>
        <v>1</v>
      </c>
      <c r="G23" s="658">
        <v>42767</v>
      </c>
      <c r="H23" s="658"/>
      <c r="I23" s="233">
        <v>42737</v>
      </c>
      <c r="J23" s="242">
        <f>IF(I23&lt;&gt;0,IF(K15=100,(WORKDAY(I23,F23,0)),IF(K15=50,(WORKDAY(I23,F23*2,0)),IF(K15=25,(WORKDAY(I23,F23*4,0)),"F"))),"")</f>
        <v>42739</v>
      </c>
      <c r="K23" s="233"/>
      <c r="L23" s="234">
        <f>IF(OR(I23=0,K23=0),0,NETWORKDAYS(I23,K23,0))</f>
        <v>0</v>
      </c>
      <c r="M23" s="650"/>
      <c r="N23" s="183"/>
    </row>
    <row r="24" spans="1:18" x14ac:dyDescent="0.35">
      <c r="A24" s="182"/>
      <c r="B24" s="650"/>
      <c r="C24" s="657" t="s">
        <v>883</v>
      </c>
      <c r="D24" s="657"/>
      <c r="E24" s="231">
        <v>2</v>
      </c>
      <c r="F24" s="232">
        <f>ROUNDUP(E24/8,0)</f>
        <v>1</v>
      </c>
      <c r="G24" s="658">
        <v>42495</v>
      </c>
      <c r="H24" s="658"/>
      <c r="I24" s="233"/>
      <c r="J24" s="242" t="str">
        <f>IF(I24&lt;&gt;0,IF(K15=100,(WORKDAY(I24,F24,0)),IF(K15=50,(WORKDAY(I24,F24*2,0)),IF(K15=25,(WORKDAY(I24,F24*4,0)),"F"))),"")</f>
        <v/>
      </c>
      <c r="K24" s="233"/>
      <c r="L24" s="234">
        <f>IF(OR(I24=0,K24=0),0,NETWORKDAYS(I24,K24,0))</f>
        <v>0</v>
      </c>
      <c r="M24" s="650"/>
      <c r="N24" s="183"/>
    </row>
    <row r="25" spans="1:18" x14ac:dyDescent="0.35">
      <c r="A25" s="182"/>
      <c r="B25" s="650"/>
      <c r="C25" s="657" t="s">
        <v>26</v>
      </c>
      <c r="D25" s="657"/>
      <c r="E25" s="231">
        <v>3</v>
      </c>
      <c r="F25" s="232">
        <f>ROUNDUP(E25/8,0)</f>
        <v>1</v>
      </c>
      <c r="G25" s="658"/>
      <c r="H25" s="658"/>
      <c r="I25" s="233"/>
      <c r="J25" s="242" t="str">
        <f>IF(I25&lt;&gt;0,IF(K15=100,(WORKDAY(I25,F25,0)),IF(K15=50,(WORKDAY(I25,F25*2,0)),IF(K15=25,(WORKDAY(I25,F25*4,0)),"F"))),"")</f>
        <v/>
      </c>
      <c r="K25" s="233"/>
      <c r="L25" s="234">
        <f>IF(OR(I25=0,K25=0),0,NETWORKDAYS(I25,K25,0))</f>
        <v>0</v>
      </c>
      <c r="M25" s="650"/>
      <c r="N25" s="183"/>
    </row>
    <row r="26" spans="1:18" x14ac:dyDescent="0.35">
      <c r="A26" s="182"/>
      <c r="B26" s="650"/>
      <c r="C26" s="657" t="s">
        <v>28</v>
      </c>
      <c r="D26" s="657"/>
      <c r="E26" s="231">
        <v>1</v>
      </c>
      <c r="F26" s="232">
        <f>ROUNDUP(E26/8,0)</f>
        <v>1</v>
      </c>
      <c r="G26" s="658"/>
      <c r="H26" s="658"/>
      <c r="I26" s="233"/>
      <c r="J26" s="242" t="str">
        <f>IF(I26&lt;&gt;0,IF(K15=100,(WORKDAY(I26,F26,0)),IF(K15=50,(WORKDAY(I26,F26*2,0)),IF(K15=25,(WORKDAY(I26,F26*4,0)),"F"))),"")</f>
        <v/>
      </c>
      <c r="K26" s="233"/>
      <c r="L26" s="234">
        <f>IF(OR(I26=0,K26=0),0,NETWORKDAYS(I26,K26,0))</f>
        <v>0</v>
      </c>
      <c r="M26" s="650"/>
      <c r="N26" s="183"/>
    </row>
    <row r="27" spans="1:18" x14ac:dyDescent="0.35">
      <c r="A27" s="182"/>
      <c r="B27" s="650"/>
      <c r="C27" s="657" t="s">
        <v>27</v>
      </c>
      <c r="D27" s="657"/>
      <c r="E27" s="231">
        <v>4</v>
      </c>
      <c r="F27" s="232">
        <f>ROUNDUP(E27/8,0)</f>
        <v>1</v>
      </c>
      <c r="G27" s="640"/>
      <c r="H27" s="641"/>
      <c r="I27" s="641"/>
      <c r="J27" s="641"/>
      <c r="K27" s="641"/>
      <c r="L27" s="642"/>
      <c r="M27" s="650"/>
      <c r="N27" s="183"/>
    </row>
    <row r="28" spans="1:18" x14ac:dyDescent="0.35">
      <c r="A28" s="182"/>
      <c r="B28" s="650"/>
      <c r="C28" s="666" t="s">
        <v>102</v>
      </c>
      <c r="D28" s="666"/>
      <c r="E28" s="232">
        <f>SUM(E23:E27)</f>
        <v>11</v>
      </c>
      <c r="F28" s="232">
        <f>SUM(F23:F27)</f>
        <v>5</v>
      </c>
      <c r="G28" s="643"/>
      <c r="H28" s="644"/>
      <c r="I28" s="644"/>
      <c r="J28" s="644"/>
      <c r="K28" s="644"/>
      <c r="L28" s="645"/>
      <c r="M28" s="650"/>
      <c r="N28" s="183"/>
    </row>
    <row r="29" spans="1:18" x14ac:dyDescent="0.35">
      <c r="A29" s="182"/>
      <c r="B29" s="650"/>
      <c r="C29" s="228"/>
      <c r="D29" s="650"/>
      <c r="E29" s="650"/>
      <c r="F29" s="650"/>
      <c r="G29" s="650"/>
      <c r="H29" s="650"/>
      <c r="I29" s="650"/>
      <c r="J29" s="650"/>
      <c r="K29" s="650"/>
      <c r="L29" s="228"/>
      <c r="M29" s="650"/>
      <c r="N29" s="183"/>
    </row>
    <row r="30" spans="1:18" x14ac:dyDescent="0.35">
      <c r="B30" s="184"/>
      <c r="C30" s="184"/>
      <c r="D30" s="184"/>
      <c r="E30" s="184"/>
      <c r="F30" s="184"/>
      <c r="G30" s="184"/>
      <c r="H30" s="184"/>
      <c r="I30" s="184"/>
      <c r="J30" s="184"/>
      <c r="K30" s="184"/>
      <c r="L30" s="184"/>
      <c r="M30" s="184"/>
    </row>
    <row r="32" spans="1:18" x14ac:dyDescent="0.35">
      <c r="E32" s="90"/>
    </row>
  </sheetData>
  <mergeCells count="58">
    <mergeCell ref="F5:M5"/>
    <mergeCell ref="B20:B29"/>
    <mergeCell ref="D20:K20"/>
    <mergeCell ref="C21:D22"/>
    <mergeCell ref="E21:E22"/>
    <mergeCell ref="F21:F22"/>
    <mergeCell ref="G21:H21"/>
    <mergeCell ref="I21:L21"/>
    <mergeCell ref="G22:H22"/>
    <mergeCell ref="C27:D27"/>
    <mergeCell ref="C28:D28"/>
    <mergeCell ref="C23:D23"/>
    <mergeCell ref="G23:H23"/>
    <mergeCell ref="C24:D24"/>
    <mergeCell ref="G24:H24"/>
    <mergeCell ref="B15:E15"/>
    <mergeCell ref="K2:M3"/>
    <mergeCell ref="C25:D25"/>
    <mergeCell ref="G25:H25"/>
    <mergeCell ref="C26:D26"/>
    <mergeCell ref="G26:H26"/>
    <mergeCell ref="B12:E13"/>
    <mergeCell ref="F15:G15"/>
    <mergeCell ref="B10:E10"/>
    <mergeCell ref="B11:E11"/>
    <mergeCell ref="F11:M11"/>
    <mergeCell ref="F6:M6"/>
    <mergeCell ref="F7:M7"/>
    <mergeCell ref="F8:M8"/>
    <mergeCell ref="B2:C3"/>
    <mergeCell ref="D2:J2"/>
    <mergeCell ref="D3:J3"/>
    <mergeCell ref="K13:M13"/>
    <mergeCell ref="K12:M12"/>
    <mergeCell ref="G12:I12"/>
    <mergeCell ref="G13:I13"/>
    <mergeCell ref="F9:M9"/>
    <mergeCell ref="F10:M10"/>
    <mergeCell ref="B5:E5"/>
    <mergeCell ref="B6:E6"/>
    <mergeCell ref="B7:E7"/>
    <mergeCell ref="B8:E8"/>
    <mergeCell ref="B9:E9"/>
    <mergeCell ref="B14:M14"/>
    <mergeCell ref="B18:M19"/>
    <mergeCell ref="G27:L28"/>
    <mergeCell ref="K17:M17"/>
    <mergeCell ref="K15:M15"/>
    <mergeCell ref="F16:G16"/>
    <mergeCell ref="F17:G17"/>
    <mergeCell ref="H15:J15"/>
    <mergeCell ref="H16:J16"/>
    <mergeCell ref="H17:J17"/>
    <mergeCell ref="B16:E16"/>
    <mergeCell ref="B17:E17"/>
    <mergeCell ref="M20:M29"/>
    <mergeCell ref="D29:K29"/>
    <mergeCell ref="K16:M16"/>
  </mergeCells>
  <conditionalFormatting sqref="L23:L26">
    <cfRule type="cellIs" dxfId="13" priority="16" operator="lessThan">
      <formula>0</formula>
    </cfRule>
    <cfRule type="cellIs" dxfId="12" priority="17" operator="lessThan">
      <formula>0</formula>
    </cfRule>
  </conditionalFormatting>
  <conditionalFormatting sqref="I23">
    <cfRule type="cellIs" dxfId="11" priority="15" operator="greaterThan">
      <formula>$G$34</formula>
    </cfRule>
  </conditionalFormatting>
  <conditionalFormatting sqref="I24">
    <cfRule type="cellIs" dxfId="10" priority="14" operator="greaterThan">
      <formula>$G$35</formula>
    </cfRule>
  </conditionalFormatting>
  <conditionalFormatting sqref="I25">
    <cfRule type="cellIs" dxfId="9" priority="12" operator="greaterThan">
      <formula>$G$37</formula>
    </cfRule>
  </conditionalFormatting>
  <conditionalFormatting sqref="I26">
    <cfRule type="cellIs" dxfId="8" priority="11" operator="greaterThan">
      <formula>$G$38</formula>
    </cfRule>
  </conditionalFormatting>
  <conditionalFormatting sqref="K23">
    <cfRule type="cellIs" dxfId="7" priority="5" operator="greaterThan">
      <formula>$J$34</formula>
    </cfRule>
  </conditionalFormatting>
  <conditionalFormatting sqref="K24">
    <cfRule type="cellIs" dxfId="6" priority="4" operator="greaterThan">
      <formula>$J$35</formula>
    </cfRule>
  </conditionalFormatting>
  <conditionalFormatting sqref="K25">
    <cfRule type="cellIs" dxfId="5" priority="2" operator="greaterThan">
      <formula>$J$37</formula>
    </cfRule>
  </conditionalFormatting>
  <conditionalFormatting sqref="K26">
    <cfRule type="cellIs" dxfId="4" priority="1" operator="greaterThan">
      <formula>$J$38</formula>
    </cfRule>
  </conditionalFormatting>
  <pageMargins left="0.7" right="0.7" top="0.75" bottom="0.75" header="0.3" footer="0.3"/>
  <drawing r:id="rId1"/>
  <legacyDrawing r:id="rId2"/>
  <controls>
    <mc:AlternateContent xmlns:mc="http://schemas.openxmlformats.org/markup-compatibility/2006">
      <mc:Choice Requires="x14">
        <control shapeId="16392" r:id="rId3" name="Copiar">
          <controlPr defaultSize="0" autoLine="0" r:id="rId4">
            <anchor moveWithCells="1">
              <from>
                <xdr:col>11</xdr:col>
                <xdr:colOff>107950</xdr:colOff>
                <xdr:row>29</xdr:row>
                <xdr:rowOff>101600</xdr:rowOff>
              </from>
              <to>
                <xdr:col>12</xdr:col>
                <xdr:colOff>127000</xdr:colOff>
                <xdr:row>31</xdr:row>
                <xdr:rowOff>44450</xdr:rowOff>
              </to>
            </anchor>
          </controlPr>
        </control>
      </mc:Choice>
      <mc:Fallback>
        <control shapeId="16392" r:id="rId3" name="Copiar"/>
      </mc:Fallback>
    </mc:AlternateContent>
    <mc:AlternateContent xmlns:mc="http://schemas.openxmlformats.org/markup-compatibility/2006">
      <mc:Choice Requires="x14">
        <control shapeId="16393" r:id="rId5" name="CommandButton1">
          <controlPr defaultSize="0" autoLine="0" r:id="rId6">
            <anchor moveWithCells="1">
              <from>
                <xdr:col>1</xdr:col>
                <xdr:colOff>63500</xdr:colOff>
                <xdr:row>17</xdr:row>
                <xdr:rowOff>101600</xdr:rowOff>
              </from>
              <to>
                <xdr:col>2</xdr:col>
                <xdr:colOff>977900</xdr:colOff>
                <xdr:row>18</xdr:row>
                <xdr:rowOff>177800</xdr:rowOff>
              </to>
            </anchor>
          </controlPr>
        </control>
      </mc:Choice>
      <mc:Fallback>
        <control shapeId="16393" r:id="rId5"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10" operator="lessThan" id="{9AC37BCF-718C-48D0-9CAB-330D992BC8EA}">
            <xm:f>Param_General!$R$10</xm:f>
            <x14:dxf>
              <font>
                <color rgb="FF9C0006"/>
              </font>
              <fill>
                <patternFill>
                  <bgColor rgb="FFFFC7CE"/>
                </patternFill>
              </fill>
            </x14:dxf>
          </x14:cfRule>
          <xm:sqref>J23</xm:sqref>
        </x14:conditionalFormatting>
        <x14:conditionalFormatting xmlns:xm="http://schemas.microsoft.com/office/excel/2006/main">
          <x14:cfRule type="cellIs" priority="9" operator="lessThan" id="{32DC393F-EF34-4B30-A6FB-B1BD39B9CAEF}">
            <xm:f>Param_General!$R$10</xm:f>
            <x14:dxf>
              <font>
                <color rgb="FF9C0006"/>
              </font>
              <fill>
                <patternFill>
                  <bgColor rgb="FFFFC7CE"/>
                </patternFill>
              </fill>
            </x14:dxf>
          </x14:cfRule>
          <xm:sqref>J24</xm:sqref>
        </x14:conditionalFormatting>
        <x14:conditionalFormatting xmlns:xm="http://schemas.microsoft.com/office/excel/2006/main">
          <x14:cfRule type="cellIs" priority="7" operator="lessThan" id="{5B0BD575-C000-45EE-93BA-1FC30E451BA9}">
            <xm:f>Param_General!$R$10</xm:f>
            <x14:dxf>
              <font>
                <color rgb="FF9C0006"/>
              </font>
              <fill>
                <patternFill>
                  <bgColor rgb="FFFFC7CE"/>
                </patternFill>
              </fill>
            </x14:dxf>
          </x14:cfRule>
          <xm:sqref>J25</xm:sqref>
        </x14:conditionalFormatting>
        <x14:conditionalFormatting xmlns:xm="http://schemas.microsoft.com/office/excel/2006/main">
          <x14:cfRule type="cellIs" priority="6" operator="lessThan" id="{389C5985-7DAB-48F2-91CC-45F40A378F2E}">
            <xm:f>Param_General!$R$10</xm:f>
            <x14:dxf>
              <font>
                <color rgb="FF9C0006"/>
              </font>
              <fill>
                <patternFill>
                  <bgColor rgb="FFFFC7CE"/>
                </patternFill>
              </fill>
            </x14:dxf>
          </x14:cfRule>
          <xm:sqref>J26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Param_General!$AT$4:$AT$5</xm:f>
          </x14:formula1>
          <xm:sqref>F6</xm:sqref>
        </x14:dataValidation>
        <x14:dataValidation type="list" allowBlank="1" showInputMessage="1" showErrorMessage="1">
          <x14:formula1>
            <xm:f>Param_General!$AF$4:$AF$6</xm:f>
          </x14:formula1>
          <xm:sqref>K15:M15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Forma o Formato" ma:contentTypeID="0x010100E0807BC05669974DAA6245E4F97D91F2" ma:contentTypeVersion="" ma:contentTypeDescription="" ma:contentTypeScope="" ma:versionID="d399cd75ac1f1789d5acf0f6ea205825">
  <xsd:schema xmlns:xsd="http://www.w3.org/2001/XMLSchema" xmlns:xs="http://www.w3.org/2001/XMLSchema" xmlns:p="http://schemas.microsoft.com/office/2006/metadata/properties" xmlns:ns2="544bcf6b-9b1f-4a7e-be30-6ea22e953231" xmlns:ns3="d4885fda-0277-4237-a69a-c784faabf9cb" targetNamespace="http://schemas.microsoft.com/office/2006/metadata/properties" ma:root="true" ma:fieldsID="73a3dc0404ee0b78b75db46039eaabf2" ns2:_="" ns3:_="">
    <xsd:import namespace="544bcf6b-9b1f-4a7e-be30-6ea22e953231"/>
    <xsd:import namespace="d4885fda-0277-4237-a69a-c784faabf9cb"/>
    <xsd:element name="properties">
      <xsd:complexType>
        <xsd:sequence>
          <xsd:element name="documentManagement">
            <xsd:complexType>
              <xsd:all>
                <xsd:element ref="ns2:Procedimiento" minOccurs="0"/>
                <xsd:element ref="ns3:Versión_x0020_Interna" minOccurs="0"/>
                <xsd:element ref="ns3:CodigoDocumento" minOccurs="0"/>
                <xsd:element ref="ns3:Jefe_x0020_Responsable" minOccurs="0"/>
                <xsd:element ref="ns3:Estado_x0020_Riesgos" minOccurs="0"/>
                <xsd:element ref="ns3:Procedimiento_x0020_CORE" minOccurs="0"/>
                <xsd:element ref="ns3:Valoración_x0020_de_x0020_Criticidad" minOccurs="0"/>
                <xsd:element ref="ns3:Matriz_x0020_de_x0020_Interrupción" minOccurs="0"/>
                <xsd:element ref="ns3:SARLAFT" minOccurs="0"/>
                <xsd:element ref="ns3:SOX" minOccurs="0"/>
                <xsd:element ref="ns3:OUTSOURCING" minOccurs="0"/>
                <xsd:element ref="ns3:SGSI" minOccurs="0"/>
                <xsd:element ref="ns3:OBSERVACION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4bcf6b-9b1f-4a7e-be30-6ea22e953231" elementFormDefault="qualified">
    <xsd:import namespace="http://schemas.microsoft.com/office/2006/documentManagement/types"/>
    <xsd:import namespace="http://schemas.microsoft.com/office/infopath/2007/PartnerControls"/>
    <xsd:element name="Procedimiento" ma:index="8" nillable="true" ma:displayName="Procedimiento" ma:list="{7DC50781-36CC-4FC7-8F25-5FEDD2FA7480}" ma:internalName="Procedimiento" ma:showField="Title" ma:web="">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d4885fda-0277-4237-a69a-c784faabf9cb" elementFormDefault="qualified">
    <xsd:import namespace="http://schemas.microsoft.com/office/2006/documentManagement/types"/>
    <xsd:import namespace="http://schemas.microsoft.com/office/infopath/2007/PartnerControls"/>
    <xsd:element name="Versión_x0020_Interna" ma:index="9" nillable="true" ma:displayName="Versión Interna" ma:internalName="Versi_x00f3_n_x0020_Interna0">
      <xsd:simpleType>
        <xsd:restriction base="dms:Text">
          <xsd:maxLength value="255"/>
        </xsd:restriction>
      </xsd:simpleType>
    </xsd:element>
    <xsd:element name="CodigoDocumento" ma:index="10" nillable="true" ma:displayName="Código de Documento" ma:internalName="CodigoDocumento0">
      <xsd:simpleType>
        <xsd:restriction base="dms:Text">
          <xsd:maxLength value="255"/>
        </xsd:restriction>
      </xsd:simpleType>
    </xsd:element>
    <xsd:element name="Jefe_x0020_Responsable" ma:index="11" nillable="true" ma:displayName="Jefe Responsable" ma:list="UserInfo" ma:SharePointGroup="0" ma:internalName="Jefe_x0020_Responsable0"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stado_x0020_Riesgos" ma:index="12" nillable="true" ma:displayName="Estado Riesgos" ma:internalName="Estado_x0020_Riesgos0">
      <xsd:simpleType>
        <xsd:restriction base="dms:Text">
          <xsd:maxLength value="255"/>
        </xsd:restriction>
      </xsd:simpleType>
    </xsd:element>
    <xsd:element name="Procedimiento_x0020_CORE" ma:index="13" nillable="true" ma:displayName="Procedimiento CORE" ma:default="Si" ma:format="Dropdown" ma:internalName="Procedimiento_x0020_CORE0">
      <xsd:simpleType>
        <xsd:restriction base="dms:Choice">
          <xsd:enumeration value="Si"/>
          <xsd:enumeration value="No"/>
        </xsd:restriction>
      </xsd:simpleType>
    </xsd:element>
    <xsd:element name="Valoración_x0020_de_x0020_Criticidad" ma:index="14" nillable="true" ma:displayName="Valoración de Criticidad" ma:internalName="Valoraci_x00f3_n_x0020_de_x0020_Criticidad0">
      <xsd:simpleType>
        <xsd:restriction base="dms:Text">
          <xsd:maxLength value="255"/>
        </xsd:restriction>
      </xsd:simpleType>
    </xsd:element>
    <xsd:element name="Matriz_x0020_de_x0020_Interrupción" ma:index="15" nillable="true" ma:displayName="Matriz de Interrupción" ma:default="Si" ma:format="Dropdown" ma:internalName="Matriz_x0020_de_x0020_Interrupci_x00f3_n0">
      <xsd:simpleType>
        <xsd:restriction base="dms:Choice">
          <xsd:enumeration value="Si"/>
          <xsd:enumeration value="No"/>
        </xsd:restriction>
      </xsd:simpleType>
    </xsd:element>
    <xsd:element name="SARLAFT" ma:index="16" nillable="true" ma:displayName="SARLAFT" ma:default="Si" ma:format="Dropdown" ma:internalName="SARLAFT0">
      <xsd:simpleType>
        <xsd:restriction base="dms:Choice">
          <xsd:enumeration value="Si"/>
          <xsd:enumeration value="No"/>
        </xsd:restriction>
      </xsd:simpleType>
    </xsd:element>
    <xsd:element name="SOX" ma:index="17" nillable="true" ma:displayName="SOX" ma:default="Si" ma:format="Dropdown" ma:internalName="SOX0">
      <xsd:simpleType>
        <xsd:restriction base="dms:Choice">
          <xsd:enumeration value="Si"/>
          <xsd:enumeration value="No"/>
        </xsd:restriction>
      </xsd:simpleType>
    </xsd:element>
    <xsd:element name="OUTSOURCING" ma:index="18" nillable="true" ma:displayName="OUTSOURCING" ma:default="Si" ma:format="Dropdown" ma:internalName="OUTSOURCING0">
      <xsd:simpleType>
        <xsd:restriction base="dms:Choice">
          <xsd:enumeration value="Si"/>
          <xsd:enumeration value="No"/>
        </xsd:restriction>
      </xsd:simpleType>
    </xsd:element>
    <xsd:element name="SGSI" ma:index="19" nillable="true" ma:displayName="SGSI" ma:internalName="SGSI0">
      <xsd:simpleType>
        <xsd:restriction base="dms:Text">
          <xsd:maxLength value="255"/>
        </xsd:restriction>
      </xsd:simpleType>
    </xsd:element>
    <xsd:element name="OBSERVACIONES" ma:index="20" nillable="true" ma:displayName="OBSERVACIONES" ma:internalName="OBSERVACIONES0">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GSI xmlns="d4885fda-0277-4237-a69a-c784faabf9cb">N/A</SGSI>
    <Matriz_x0020_de_x0020_Interrupción xmlns="d4885fda-0277-4237-a69a-c784faabf9cb">No</Matriz_x0020_de_x0020_Interrupción>
    <Estado_x0020_Riesgos xmlns="d4885fda-0277-4237-a69a-c784faabf9cb">Aprobado</Estado_x0020_Riesgos>
    <Valoración_x0020_de_x0020_Criticidad xmlns="d4885fda-0277-4237-a69a-c784faabf9cb">N/A</Valoración_x0020_de_x0020_Criticidad>
    <OUTSOURCING xmlns="d4885fda-0277-4237-a69a-c784faabf9cb">No</OUTSOURCING>
    <OBSERVACIONES xmlns="d4885fda-0277-4237-a69a-c784faabf9cb" xsi:nil="true"/>
    <Jefe_x0020_Responsable xmlns="d4885fda-0277-4237-a69a-c784faabf9cb">
      <UserInfo>
        <DisplayName>Andres Felipe Lopez Pelaez</DisplayName>
        <AccountId>34</AccountId>
        <AccountType/>
      </UserInfo>
    </Jefe_x0020_Responsable>
    <Procedimiento xmlns="544bcf6b-9b1f-4a7e-be30-6ea22e953231">9</Procedimiento>
    <CodigoDocumento xmlns="d4885fda-0277-4237-a69a-c784faabf9cb">F-TAI-010-001 </CodigoDocumento>
    <SARLAFT xmlns="d4885fda-0277-4237-a69a-c784faabf9cb">No</SARLAFT>
    <Procedimiento_x0020_CORE xmlns="d4885fda-0277-4237-a69a-c784faabf9cb">No</Procedimiento_x0020_CORE>
    <SOX xmlns="d4885fda-0277-4237-a69a-c784faabf9cb">No</SOX>
    <Versión_x0020_Interna xmlns="d4885fda-0277-4237-a69a-c784faabf9cb">2</Versión_x0020_Interna>
  </documentManagement>
</p:properties>
</file>

<file path=customXml/itemProps1.xml><?xml version="1.0" encoding="utf-8"?>
<ds:datastoreItem xmlns:ds="http://schemas.openxmlformats.org/officeDocument/2006/customXml" ds:itemID="{F8142BC8-DA86-453B-9BCA-672E0DCB75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4bcf6b-9b1f-4a7e-be30-6ea22e953231"/>
    <ds:schemaRef ds:uri="d4885fda-0277-4237-a69a-c784faabf9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7C85831-85F4-46D0-8C43-45CDFDB8B7AD}">
  <ds:schemaRefs>
    <ds:schemaRef ds:uri="http://schemas.microsoft.com/sharepoint/v3/contenttype/forms"/>
  </ds:schemaRefs>
</ds:datastoreItem>
</file>

<file path=customXml/itemProps3.xml><?xml version="1.0" encoding="utf-8"?>
<ds:datastoreItem xmlns:ds="http://schemas.openxmlformats.org/officeDocument/2006/customXml" ds:itemID="{592D539D-2AEC-452E-8703-558DFFBC2343}">
  <ds:schemaRefs>
    <ds:schemaRef ds:uri="http://schemas.microsoft.com/office/2006/metadata/properties"/>
    <ds:schemaRef ds:uri="http://schemas.microsoft.com/office/2006/documentManagement/types"/>
    <ds:schemaRef ds:uri="d4885fda-0277-4237-a69a-c784faabf9cb"/>
    <ds:schemaRef ds:uri="http://purl.org/dc/elements/1.1/"/>
    <ds:schemaRef ds:uri="544bcf6b-9b1f-4a7e-be30-6ea22e953231"/>
    <ds:schemaRef ds:uri="http://purl.org/dc/dcmitype/"/>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Parametros</vt:lpstr>
      <vt:lpstr>Planeación</vt:lpstr>
      <vt:lpstr>SprintPlaning</vt:lpstr>
      <vt:lpstr>Diseño</vt:lpstr>
      <vt:lpstr>Diseño Técnico</vt:lpstr>
      <vt:lpstr>G. de Incidentes</vt:lpstr>
      <vt:lpstr>Avance Agil</vt:lpstr>
      <vt:lpstr>Evidencias</vt:lpstr>
      <vt:lpstr>Avance</vt:lpstr>
      <vt:lpstr>Carta de Certificación</vt:lpstr>
      <vt:lpstr>Matriz_Trazabilidad</vt:lpstr>
      <vt:lpstr>SharePoint</vt:lpstr>
      <vt:lpstr>Inf. Ambiente</vt:lpstr>
      <vt:lpstr>Param_General</vt:lpstr>
      <vt:lpstr>TiemposRendimiento</vt:lpstr>
      <vt:lpstr>aplicaincidente</vt:lpstr>
      <vt:lpstr>Complejidad</vt:lpstr>
      <vt:lpstr>dedicacion</vt:lpstr>
      <vt:lpstr>estados</vt:lpstr>
      <vt:lpstr>etapa</vt:lpstr>
      <vt:lpstr>FASE_TERMINADA</vt:lpstr>
      <vt:lpstr>funcionalidades</vt:lpstr>
      <vt:lpstr>icoa</vt:lpstr>
      <vt:lpstr>naturaleza</vt:lpstr>
      <vt:lpstr>'Carta de Certificación'!Print_Area</vt:lpstr>
      <vt:lpstr>prioridad</vt:lpstr>
      <vt:lpstr>proveedor</vt:lpstr>
      <vt:lpstr>reabiertos</vt:lpstr>
      <vt:lpstr>rutacritica</vt:lpstr>
      <vt:lpstr>tipo</vt:lpstr>
      <vt:lpstr>tipoaplicacion</vt:lpstr>
      <vt:lpstr>TipoRQ</vt:lpstr>
      <vt:lpstr>tipospruebas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F-TAI-010-001 Prueba interna</dc:title>
  <dc:creator>Elmer Andres Vanegas</dc:creator>
  <cp:lastModifiedBy>Elvis Mieles Guarin</cp:lastModifiedBy>
  <cp:lastPrinted>2019-09-20T18:57:22Z</cp:lastPrinted>
  <dcterms:created xsi:type="dcterms:W3CDTF">2013-12-19T14:57:29Z</dcterms:created>
  <dcterms:modified xsi:type="dcterms:W3CDTF">2020-01-12T14:53:12Z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0x010100E0807BC05669974DAA6245E4F97D91F2</vt:lpwstr>
  </property>
</Properties>
</file>